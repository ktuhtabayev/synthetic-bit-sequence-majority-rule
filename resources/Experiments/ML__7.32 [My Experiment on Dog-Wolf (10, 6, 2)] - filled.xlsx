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2" activeTab="6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Normalized_Dataset" sheetId="2" state="visible" r:id="rId2"/>
    <sheet xmlns:r="http://schemas.openxmlformats.org/officeDocument/2006/relationships" name="Distance_Matrix" sheetId="3" state="visible" r:id="rId3"/>
    <sheet xmlns:r="http://schemas.openxmlformats.org/officeDocument/2006/relationships" name="Metrics_Neighbors &amp; A(S)" sheetId="4" state="visible" r:id="rId4"/>
    <sheet xmlns:r="http://schemas.openxmlformats.org/officeDocument/2006/relationships" name="Binary_Matrix (b(S))" sheetId="5" state="visible" r:id="rId5"/>
    <sheet xmlns:r="http://schemas.openxmlformats.org/officeDocument/2006/relationships" name="Binary_Sequence_Statistics" sheetId="6" state="visible" r:id="rId6"/>
    <sheet xmlns:r="http://schemas.openxmlformats.org/officeDocument/2006/relationships" name="Stability" sheetId="7" state="visible" r:id="rId7"/>
    <sheet xmlns:r="http://schemas.openxmlformats.org/officeDocument/2006/relationships" name="Dominant Metric" sheetId="8" state="visible" r:id="rId8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Times New Roman"/>
      <family val="1"/>
      <color theme="1"/>
      <sz val="12"/>
    </font>
    <font>
      <name val="Calibri"/>
      <family val="2"/>
      <b val="1"/>
      <i val="1"/>
      <color theme="1"/>
      <sz val="12"/>
      <u val="single"/>
      <scheme val="minor"/>
    </font>
    <font>
      <name val="Calibri"/>
      <family val="2"/>
      <sz val="8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theme="1"/>
      <sz val="14"/>
    </font>
    <font>
      <name val="Times New Roman"/>
      <family val="1"/>
      <b val="1"/>
      <color theme="1"/>
      <sz val="14"/>
    </font>
  </fonts>
  <fills count="2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9F72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/>
    </xf>
    <xf numFmtId="0" fontId="5" fillId="5" borderId="1" applyAlignment="1" pivotButton="0" quotePrefix="0" xfId="0">
      <alignment horizontal="center" vertical="center"/>
    </xf>
    <xf numFmtId="0" fontId="0" fillId="0" borderId="13" pivotButton="0" quotePrefix="0" xfId="0"/>
    <xf numFmtId="0" fontId="4" fillId="3" borderId="3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4" fillId="14" borderId="3" applyAlignment="1" pivotButton="0" quotePrefix="0" xfId="0">
      <alignment horizontal="center" vertical="center"/>
    </xf>
    <xf numFmtId="0" fontId="4" fillId="20" borderId="3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center" vertical="center" wrapText="1"/>
    </xf>
    <xf numFmtId="0" fontId="4" fillId="18" borderId="3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9" borderId="3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4" fillId="23" borderId="3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/>
    </xf>
    <xf numFmtId="0" fontId="4" fillId="25" borderId="3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0" fillId="0" borderId="13" pivotButton="0" quotePrefix="0" xfId="0"/>
    <xf numFmtId="0" fontId="2" fillId="8" borderId="1" applyAlignment="1" pivotButton="0" quotePrefix="0" xfId="0">
      <alignment horizontal="center"/>
    </xf>
    <xf numFmtId="0" fontId="9" fillId="11" borderId="3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top"/>
    </xf>
    <xf numFmtId="0" fontId="6" fillId="0" borderId="7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/>
    </xf>
    <xf numFmtId="0" fontId="6" fillId="0" borderId="1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6" fillId="0" borderId="12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top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4" fillId="8" borderId="2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4" fillId="0" borderId="6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 vertical="top"/>
    </xf>
    <xf numFmtId="0" fontId="4" fillId="0" borderId="13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  <xf numFmtId="0" fontId="10" fillId="1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21" applyAlignment="1" pivotButton="0" quotePrefix="0" xfId="0">
      <alignment horizontal="center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2" borderId="21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/>
    </xf>
    <xf numFmtId="0" fontId="3" fillId="0" borderId="21" applyAlignment="1" pivotButton="0" quotePrefix="0" xfId="0">
      <alignment horizontal="center" vertical="center"/>
    </xf>
    <xf numFmtId="0" fontId="0" fillId="0" borderId="18" pivotButton="0" quotePrefix="0" xfId="0"/>
    <xf numFmtId="0" fontId="3" fillId="0" borderId="21" applyAlignment="1" pivotButton="0" quotePrefix="0" xfId="0">
      <alignment horizontal="center"/>
    </xf>
    <xf numFmtId="0" fontId="4" fillId="0" borderId="2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zoomScaleNormal="100" workbookViewId="0">
      <selection activeCell="J2" sqref="J2"/>
    </sheetView>
  </sheetViews>
  <sheetFormatPr baseColWidth="8" defaultRowHeight="14.4"/>
  <cols>
    <col width="8.109375" customWidth="1" min="1" max="1"/>
    <col width="10.77734375" customWidth="1" min="2" max="7"/>
    <col width="8" customWidth="1" min="8" max="8"/>
    <col width="10.77734375" customWidth="1" min="9" max="13"/>
    <col width="9.77734375" customWidth="1" min="14" max="14"/>
    <col width="10.77734375" customWidth="1" min="17" max="19"/>
  </cols>
  <sheetData>
    <row r="1" ht="15.6" customHeight="1">
      <c r="A1" s="77" t="inlineStr">
        <is>
          <t>Dog-Wolf (10, 6, 2)</t>
        </is>
      </c>
      <c r="B1" s="100" t="n"/>
      <c r="C1" s="100" t="n"/>
      <c r="D1" s="100" t="n"/>
      <c r="E1" s="100" t="n"/>
      <c r="F1" s="100" t="n"/>
      <c r="G1" s="100" t="n"/>
      <c r="H1" s="101" t="n"/>
    </row>
    <row r="2" ht="15.6" customHeight="1">
      <c r="A2" s="3" t="inlineStr">
        <is>
          <t>№</t>
        </is>
      </c>
      <c r="B2" s="9" t="n"/>
      <c r="C2" s="9" t="n"/>
      <c r="D2" s="9" t="n"/>
      <c r="E2" s="9" t="n"/>
      <c r="F2" s="9" t="n"/>
      <c r="G2" s="9" t="n"/>
      <c r="H2" s="4" t="inlineStr">
        <is>
          <t>Class</t>
        </is>
      </c>
      <c r="J2" s="49" t="inlineStr">
        <is>
          <t>|K1| = 6</t>
        </is>
      </c>
      <c r="K2" s="7" t="n"/>
      <c r="L2" s="2" t="n"/>
      <c r="M2" s="2" t="n"/>
      <c r="Y2" s="1" t="n"/>
    </row>
    <row r="3" ht="15.6" customHeight="1">
      <c r="A3" s="4" t="n"/>
      <c r="B3" s="13" t="n">
        <v>129</v>
      </c>
      <c r="C3" s="13" t="n">
        <v>64</v>
      </c>
      <c r="D3" s="13" t="n">
        <v>95</v>
      </c>
      <c r="E3" s="13" t="n">
        <v>17.5</v>
      </c>
      <c r="F3" s="13" t="n">
        <v>11.2</v>
      </c>
      <c r="G3" s="13" t="n">
        <v>13.8</v>
      </c>
      <c r="H3" s="5" t="n">
        <v>1</v>
      </c>
      <c r="J3" s="49" t="inlineStr">
        <is>
          <t>|K2| = 4</t>
        </is>
      </c>
      <c r="K3" s="2" t="n"/>
      <c r="L3" s="2" t="n"/>
      <c r="M3" s="2" t="n"/>
    </row>
    <row r="4" ht="15.6" customHeight="1">
      <c r="A4" s="4" t="n"/>
      <c r="B4" s="13" t="n">
        <v>154</v>
      </c>
      <c r="C4" s="13" t="n">
        <v>74</v>
      </c>
      <c r="D4" s="13" t="n">
        <v>76</v>
      </c>
      <c r="E4" s="13" t="n">
        <v>20</v>
      </c>
      <c r="F4" s="13" t="n">
        <v>14.2</v>
      </c>
      <c r="G4" s="13" t="n">
        <v>16.5</v>
      </c>
      <c r="H4" s="5" t="n">
        <v>1</v>
      </c>
      <c r="J4" s="2" t="n"/>
      <c r="K4" s="2" t="n"/>
      <c r="L4" s="2" t="n"/>
      <c r="M4" s="2" t="n"/>
    </row>
    <row r="5" ht="15.6" customHeight="1">
      <c r="A5" s="4" t="n"/>
      <c r="B5" s="13" t="n">
        <v>199</v>
      </c>
      <c r="C5" s="13" t="n">
        <v>105</v>
      </c>
      <c r="D5" s="13" t="n">
        <v>73</v>
      </c>
      <c r="E5" s="13" t="n">
        <v>23.4</v>
      </c>
      <c r="F5" s="13" t="n">
        <v>15</v>
      </c>
      <c r="G5" s="13" t="n">
        <v>19.1</v>
      </c>
      <c r="H5" s="5" t="n">
        <v>2</v>
      </c>
      <c r="J5" s="55" t="inlineStr">
        <is>
          <t xml:space="preserve">Sign of Quantitative Features - </t>
        </is>
      </c>
      <c r="K5" s="100" t="n"/>
      <c r="L5" s="101" t="n"/>
      <c r="M5" s="8" t="n">
        <v>1</v>
      </c>
    </row>
    <row r="6" ht="15.6" customHeight="1">
      <c r="A6" s="4" t="n"/>
      <c r="B6" s="13" t="n">
        <v>170</v>
      </c>
      <c r="C6" s="13" t="n">
        <v>87</v>
      </c>
      <c r="D6" s="13" t="n">
        <v>71</v>
      </c>
      <c r="E6" s="13" t="n">
        <v>17.9</v>
      </c>
      <c r="F6" s="13" t="n">
        <v>12.3</v>
      </c>
      <c r="G6" s="13" t="n">
        <v>15.9</v>
      </c>
      <c r="H6" s="5" t="n">
        <v>1</v>
      </c>
    </row>
    <row r="7" ht="15.6" customHeight="1">
      <c r="A7" s="4" t="n"/>
      <c r="B7" s="13" t="n">
        <v>227</v>
      </c>
      <c r="C7" s="13" t="n">
        <v>117</v>
      </c>
      <c r="D7" s="13" t="n">
        <v>77</v>
      </c>
      <c r="E7" s="13" t="n">
        <v>25</v>
      </c>
      <c r="F7" s="13" t="n">
        <v>15.3</v>
      </c>
      <c r="G7" s="13" t="n">
        <v>18.6</v>
      </c>
      <c r="H7" s="5" t="n">
        <v>2</v>
      </c>
    </row>
    <row r="8" ht="15.6" customHeight="1">
      <c r="A8" s="4" t="n"/>
      <c r="B8" s="13" t="n">
        <v>188</v>
      </c>
      <c r="C8" s="13" t="n">
        <v>94</v>
      </c>
      <c r="D8" s="13" t="n">
        <v>73</v>
      </c>
      <c r="E8" s="13" t="n">
        <v>19.5</v>
      </c>
      <c r="F8" s="13" t="n">
        <v>13.3</v>
      </c>
      <c r="G8" s="13" t="n">
        <v>14.8</v>
      </c>
      <c r="H8" s="5" t="n">
        <v>1</v>
      </c>
    </row>
    <row r="9" ht="15.6" customHeight="1">
      <c r="A9" s="4" t="n"/>
      <c r="B9" s="13" t="n">
        <v>161</v>
      </c>
      <c r="C9" s="13" t="n">
        <v>81</v>
      </c>
      <c r="D9" s="13" t="n">
        <v>55</v>
      </c>
      <c r="E9" s="13" t="n">
        <v>17.1</v>
      </c>
      <c r="F9" s="13" t="n">
        <v>12.1</v>
      </c>
      <c r="G9" s="13" t="n">
        <v>13</v>
      </c>
      <c r="H9" s="5" t="n">
        <v>1</v>
      </c>
    </row>
    <row r="10" ht="15.6" customHeight="1">
      <c r="A10" s="4" t="n"/>
      <c r="B10" s="13" t="n">
        <v>164</v>
      </c>
      <c r="C10" s="13" t="n">
        <v>90</v>
      </c>
      <c r="D10" s="13" t="n">
        <v>58</v>
      </c>
      <c r="E10" s="13" t="n">
        <v>17.5</v>
      </c>
      <c r="F10" s="13" t="n">
        <v>12.7</v>
      </c>
      <c r="G10" s="13" t="n">
        <v>14.7</v>
      </c>
      <c r="H10" s="5" t="n">
        <v>1</v>
      </c>
    </row>
    <row r="11" ht="15.6" customHeight="1">
      <c r="A11" s="4" t="n"/>
      <c r="B11" s="13" t="n">
        <v>228</v>
      </c>
      <c r="C11" s="13" t="n">
        <v>122</v>
      </c>
      <c r="D11" s="13" t="n">
        <v>82</v>
      </c>
      <c r="E11" s="13" t="n">
        <v>24.7</v>
      </c>
      <c r="F11" s="13" t="n">
        <v>15</v>
      </c>
      <c r="G11" s="13" t="n">
        <v>18.5</v>
      </c>
      <c r="H11" s="5" t="n">
        <v>2</v>
      </c>
    </row>
    <row r="12" ht="15.6" customHeight="1">
      <c r="A12" s="4" t="n"/>
      <c r="B12" s="13" t="n">
        <v>232</v>
      </c>
      <c r="C12" s="13" t="n">
        <v>123</v>
      </c>
      <c r="D12" s="13" t="n">
        <v>83</v>
      </c>
      <c r="E12" s="13" t="n">
        <v>25.3</v>
      </c>
      <c r="F12" s="13" t="n">
        <v>16.8</v>
      </c>
      <c r="G12" s="13" t="n">
        <v>15.5</v>
      </c>
      <c r="H12" s="5" t="n">
        <v>2</v>
      </c>
    </row>
    <row r="13" ht="15.6" customHeight="1">
      <c r="A13" s="2" t="n"/>
      <c r="B13" s="65" t="n">
        <v>1</v>
      </c>
      <c r="C13" s="65" t="n">
        <v>1</v>
      </c>
      <c r="D13" s="65" t="n">
        <v>1</v>
      </c>
      <c r="E13" s="65" t="n">
        <v>1</v>
      </c>
      <c r="F13" s="65" t="n">
        <v>1</v>
      </c>
      <c r="G13" s="65" t="n">
        <v>1</v>
      </c>
      <c r="O13" s="2" t="n"/>
    </row>
  </sheetData>
  <mergeCells count="2">
    <mergeCell ref="J5:L5"/>
    <mergeCell ref="A1:H1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topLeftCell="A19" workbookViewId="0">
      <selection activeCell="B27" sqref="B27"/>
    </sheetView>
  </sheetViews>
  <sheetFormatPr baseColWidth="8" defaultRowHeight="14.4"/>
  <cols>
    <col width="12.77734375" customWidth="1" min="2" max="7"/>
    <col width="12.77734375" customWidth="1" min="11" max="16"/>
    <col width="8.88671875" customWidth="1" min="17" max="21"/>
  </cols>
  <sheetData>
    <row r="1" ht="15.6" customHeight="1">
      <c r="A1" s="77" t="inlineStr">
        <is>
          <t>Dog-Wolf (10, 6, 2)</t>
        </is>
      </c>
      <c r="B1" s="100" t="n"/>
      <c r="C1" s="100" t="n"/>
      <c r="D1" s="100" t="n"/>
      <c r="E1" s="100" t="n"/>
      <c r="F1" s="100" t="n"/>
      <c r="G1" s="100" t="n"/>
      <c r="H1" s="101" t="n"/>
    </row>
    <row r="2" ht="15.6" customHeight="1">
      <c r="A2" s="3" t="inlineStr">
        <is>
          <t>№</t>
        </is>
      </c>
      <c r="B2" s="9" t="n"/>
      <c r="C2" s="9" t="n"/>
      <c r="D2" s="9" t="n"/>
      <c r="E2" s="9" t="n"/>
      <c r="F2" s="9" t="n"/>
      <c r="G2" s="9" t="n"/>
      <c r="H2" s="4" t="inlineStr">
        <is>
          <t>Class</t>
        </is>
      </c>
      <c r="J2" s="49" t="inlineStr">
        <is>
          <t>|K1| = 6</t>
        </is>
      </c>
      <c r="K2" s="7" t="n"/>
      <c r="L2" s="2" t="n"/>
      <c r="M2" s="2" t="n"/>
    </row>
    <row r="3" ht="15.6" customHeight="1">
      <c r="A3" s="4" t="n"/>
      <c r="B3" s="13" t="n">
        <v>129</v>
      </c>
      <c r="C3" s="13" t="n">
        <v>64</v>
      </c>
      <c r="D3" s="13" t="n">
        <v>95</v>
      </c>
      <c r="E3" s="13" t="n">
        <v>17.5</v>
      </c>
      <c r="F3" s="13" t="n">
        <v>11.2</v>
      </c>
      <c r="G3" s="13" t="n">
        <v>13.8</v>
      </c>
      <c r="H3" s="5" t="n">
        <v>1</v>
      </c>
      <c r="J3" s="49" t="inlineStr">
        <is>
          <t>|K2| = 4</t>
        </is>
      </c>
      <c r="K3" s="2" t="n"/>
      <c r="L3" s="2" t="n"/>
      <c r="M3" s="2" t="n"/>
    </row>
    <row r="4" ht="15.6" customHeight="1">
      <c r="A4" s="4" t="n"/>
      <c r="B4" s="13" t="n">
        <v>154</v>
      </c>
      <c r="C4" s="13" t="n">
        <v>74</v>
      </c>
      <c r="D4" s="13" t="n">
        <v>76</v>
      </c>
      <c r="E4" s="13" t="n">
        <v>20</v>
      </c>
      <c r="F4" s="13" t="n">
        <v>14.2</v>
      </c>
      <c r="G4" s="13" t="n">
        <v>16.5</v>
      </c>
      <c r="H4" s="5" t="n">
        <v>1</v>
      </c>
      <c r="J4" s="2" t="n"/>
      <c r="K4" s="2" t="n"/>
      <c r="L4" s="2" t="n"/>
      <c r="M4" s="2" t="n"/>
    </row>
    <row r="5" ht="15.6" customHeight="1">
      <c r="A5" s="4" t="n"/>
      <c r="B5" s="13" t="n">
        <v>199</v>
      </c>
      <c r="C5" s="13" t="n">
        <v>105</v>
      </c>
      <c r="D5" s="13" t="n">
        <v>73</v>
      </c>
      <c r="E5" s="13" t="n">
        <v>23.4</v>
      </c>
      <c r="F5" s="13" t="n">
        <v>15</v>
      </c>
      <c r="G5" s="13" t="n">
        <v>19.1</v>
      </c>
      <c r="H5" s="5" t="n">
        <v>2</v>
      </c>
    </row>
    <row r="6" ht="15.6" customHeight="1">
      <c r="A6" s="4" t="n"/>
      <c r="B6" s="13" t="n">
        <v>170</v>
      </c>
      <c r="C6" s="13" t="n">
        <v>87</v>
      </c>
      <c r="D6" s="13" t="n">
        <v>71</v>
      </c>
      <c r="E6" s="13" t="n">
        <v>17.9</v>
      </c>
      <c r="F6" s="13" t="n">
        <v>12.3</v>
      </c>
      <c r="G6" s="13" t="n">
        <v>15.9</v>
      </c>
      <c r="H6" s="5" t="n">
        <v>1</v>
      </c>
    </row>
    <row r="7" ht="15.6" customHeight="1">
      <c r="A7" s="4" t="n"/>
      <c r="B7" s="13" t="n">
        <v>227</v>
      </c>
      <c r="C7" s="13" t="n">
        <v>117</v>
      </c>
      <c r="D7" s="13" t="n">
        <v>77</v>
      </c>
      <c r="E7" s="13" t="n">
        <v>25</v>
      </c>
      <c r="F7" s="13" t="n">
        <v>15.3</v>
      </c>
      <c r="G7" s="13" t="n">
        <v>18.6</v>
      </c>
      <c r="H7" s="5" t="n">
        <v>2</v>
      </c>
    </row>
    <row r="8" ht="15.6" customHeight="1">
      <c r="A8" s="4" t="n"/>
      <c r="B8" s="13" t="n">
        <v>188</v>
      </c>
      <c r="C8" s="13" t="n">
        <v>94</v>
      </c>
      <c r="D8" s="13" t="n">
        <v>73</v>
      </c>
      <c r="E8" s="13" t="n">
        <v>19.5</v>
      </c>
      <c r="F8" s="13" t="n">
        <v>13.3</v>
      </c>
      <c r="G8" s="13" t="n">
        <v>14.8</v>
      </c>
      <c r="H8" s="5" t="n">
        <v>1</v>
      </c>
    </row>
    <row r="9" ht="15.6" customHeight="1">
      <c r="A9" s="4" t="n"/>
      <c r="B9" s="13" t="n">
        <v>161</v>
      </c>
      <c r="C9" s="13" t="n">
        <v>81</v>
      </c>
      <c r="D9" s="13" t="n">
        <v>55</v>
      </c>
      <c r="E9" s="13" t="n">
        <v>17.1</v>
      </c>
      <c r="F9" s="13" t="n">
        <v>12.1</v>
      </c>
      <c r="G9" s="13" t="n">
        <v>13</v>
      </c>
      <c r="H9" s="5" t="n">
        <v>1</v>
      </c>
    </row>
    <row r="10" ht="15.6" customHeight="1">
      <c r="A10" s="4" t="n"/>
      <c r="B10" s="13" t="n">
        <v>164</v>
      </c>
      <c r="C10" s="13" t="n">
        <v>90</v>
      </c>
      <c r="D10" s="13" t="n">
        <v>58</v>
      </c>
      <c r="E10" s="13" t="n">
        <v>17.5</v>
      </c>
      <c r="F10" s="13" t="n">
        <v>12.7</v>
      </c>
      <c r="G10" s="13" t="n">
        <v>14.7</v>
      </c>
      <c r="H10" s="5" t="n">
        <v>1</v>
      </c>
    </row>
    <row r="11" ht="15.6" customHeight="1">
      <c r="A11" s="4" t="n"/>
      <c r="B11" s="13" t="n">
        <v>228</v>
      </c>
      <c r="C11" s="13" t="n">
        <v>122</v>
      </c>
      <c r="D11" s="13" t="n">
        <v>82</v>
      </c>
      <c r="E11" s="13" t="n">
        <v>24.7</v>
      </c>
      <c r="F11" s="13" t="n">
        <v>15</v>
      </c>
      <c r="G11" s="13" t="n">
        <v>18.5</v>
      </c>
      <c r="H11" s="5" t="n">
        <v>2</v>
      </c>
    </row>
    <row r="12" ht="15.6" customHeight="1">
      <c r="A12" s="4" t="n"/>
      <c r="B12" s="13" t="n">
        <v>232</v>
      </c>
      <c r="C12" s="13" t="n">
        <v>123</v>
      </c>
      <c r="D12" s="13" t="n">
        <v>83</v>
      </c>
      <c r="E12" s="13" t="n">
        <v>25.3</v>
      </c>
      <c r="F12" s="13" t="n">
        <v>16.8</v>
      </c>
      <c r="G12" s="13" t="n">
        <v>15.5</v>
      </c>
      <c r="H12" s="5" t="n">
        <v>2</v>
      </c>
    </row>
    <row r="13" ht="15.6" customHeight="1">
      <c r="A13" s="2" t="n"/>
      <c r="B13" s="65" t="n">
        <v>1</v>
      </c>
      <c r="C13" s="65" t="n">
        <v>1</v>
      </c>
      <c r="D13" s="65" t="n">
        <v>1</v>
      </c>
      <c r="E13" s="65" t="n">
        <v>1</v>
      </c>
      <c r="F13" s="65" t="n">
        <v>1</v>
      </c>
      <c r="G13" s="65" t="n">
        <v>1</v>
      </c>
    </row>
    <row r="14" ht="15" customHeight="1"/>
    <row r="15" ht="15" customHeight="1"/>
    <row r="16" ht="15" customHeight="1" thickBot="1"/>
    <row r="17" ht="15" customHeight="1">
      <c r="D17" s="102" t="inlineStr">
        <is>
          <t>min-max Normalization</t>
        </is>
      </c>
      <c r="E17" s="103" t="n"/>
      <c r="M17" s="12" t="n"/>
      <c r="N17" s="12" t="n"/>
    </row>
    <row r="18" ht="15" customHeight="1">
      <c r="D18" s="104" t="n"/>
      <c r="E18" s="105" t="n"/>
      <c r="M18" s="12" t="n"/>
      <c r="N18" s="12" t="n"/>
    </row>
    <row r="19" ht="15" customHeight="1">
      <c r="D19" s="104" t="n"/>
      <c r="E19" s="105" t="n"/>
      <c r="M19" s="12" t="n"/>
      <c r="N19" s="12" t="n"/>
    </row>
    <row r="20" ht="15" customHeight="1" thickBot="1">
      <c r="D20" s="106" t="n"/>
      <c r="E20" s="107" t="n"/>
      <c r="M20" s="12" t="n"/>
      <c r="N20" s="12" t="n"/>
    </row>
    <row r="21" ht="15" customHeight="1"/>
    <row r="22" ht="15" customHeight="1"/>
    <row r="23" ht="15" customHeight="1">
      <c r="A23" s="77" t="inlineStr">
        <is>
          <t>min-max Normalized Dog-Wolf (10, 6, 2)</t>
        </is>
      </c>
      <c r="B23" s="100" t="n"/>
      <c r="C23" s="100" t="n"/>
      <c r="D23" s="100" t="n"/>
      <c r="E23" s="100" t="n"/>
      <c r="F23" s="100" t="n"/>
      <c r="G23" s="100" t="n"/>
      <c r="H23" s="101" t="n"/>
    </row>
    <row r="24" ht="15" customHeight="1">
      <c r="A24" s="3" t="inlineStr">
        <is>
          <t>№</t>
        </is>
      </c>
      <c r="B24" s="9" t="n"/>
      <c r="C24" s="9" t="n"/>
      <c r="D24" s="9" t="n"/>
      <c r="E24" s="9" t="n"/>
      <c r="F24" s="9" t="n"/>
      <c r="G24" s="9" t="n"/>
      <c r="H24" s="4" t="inlineStr">
        <is>
          <t>Class</t>
        </is>
      </c>
    </row>
    <row r="25" ht="15" customHeight="1">
      <c r="A25" s="4" t="n"/>
      <c r="B25" s="13">
        <f>IFERROR(ROUND((B3-MIN(B$3:B$12))/(MAX(B$3:B$12)-MIN(B$3:B$12)),6),0)</f>
        <v/>
      </c>
      <c r="C25" s="13">
        <f>IFERROR(ROUND((C3-MIN(C$3:C$12))/(MAX(C$3:C$12)-MIN(C$3:C$12)),6),0)</f>
        <v/>
      </c>
      <c r="D25" s="13">
        <f>IFERROR(ROUND((D3-MIN(D$3:D$12))/(MAX(D$3:D$12)-MIN(D$3:D$12)),6),0)</f>
        <v/>
      </c>
      <c r="E25" s="13">
        <f>IFERROR(ROUND((E3-MIN(E$3:E$12))/(MAX(E$3:E$12)-MIN(E$3:E$12)),6),0)</f>
        <v/>
      </c>
      <c r="F25" s="13">
        <f>IFERROR(ROUND((F3-MIN(F$3:F$12))/(MAX(F$3:F$12)-MIN(F$3:F$12)),6),0)</f>
        <v/>
      </c>
      <c r="G25" s="13">
        <f>IFERROR(ROUND((G3-MIN(G$3:G$12))/(MAX(G$3:G$12)-MIN(G$3:G$12)),6),0)</f>
        <v/>
      </c>
      <c r="H25" s="5" t="n">
        <v>1</v>
      </c>
    </row>
    <row r="26" ht="15" customHeight="1">
      <c r="A26" s="4" t="n"/>
      <c r="B26" s="13">
        <f>IFERROR(ROUND((B4-MIN(B$3:B$12))/(MAX(B$3:B$12)-MIN(B$3:B$12)),6),0)</f>
        <v/>
      </c>
      <c r="C26" s="13">
        <f>IFERROR(ROUND((C4-MIN(C$3:C$12))/(MAX(C$3:C$12)-MIN(C$3:C$12)),6),0)</f>
        <v/>
      </c>
      <c r="D26" s="13">
        <f>IFERROR(ROUND((D4-MIN(D$3:D$12))/(MAX(D$3:D$12)-MIN(D$3:D$12)),6),0)</f>
        <v/>
      </c>
      <c r="E26" s="13">
        <f>IFERROR(ROUND((E4-MIN(E$3:E$12))/(MAX(E$3:E$12)-MIN(E$3:E$12)),6),0)</f>
        <v/>
      </c>
      <c r="F26" s="13">
        <f>IFERROR(ROUND((F4-MIN(F$3:F$12))/(MAX(F$3:F$12)-MIN(F$3:F$12)),6),0)</f>
        <v/>
      </c>
      <c r="G26" s="13">
        <f>IFERROR(ROUND((G4-MIN(G$3:G$12))/(MAX(G$3:G$12)-MIN(G$3:G$12)),6),0)</f>
        <v/>
      </c>
      <c r="H26" s="5" t="n">
        <v>1</v>
      </c>
    </row>
    <row r="27" ht="15" customHeight="1">
      <c r="A27" s="4" t="n"/>
      <c r="B27" s="13">
        <f>IFERROR(ROUND((B5-MIN(B$3:B$12))/(MAX(B$3:B$12)-MIN(B$3:B$12)),6),0)</f>
        <v/>
      </c>
      <c r="C27" s="13">
        <f>IFERROR(ROUND((C5-MIN(C$3:C$12))/(MAX(C$3:C$12)-MIN(C$3:C$12)),6),0)</f>
        <v/>
      </c>
      <c r="D27" s="13">
        <f>IFERROR(ROUND((D5-MIN(D$3:D$12))/(MAX(D$3:D$12)-MIN(D$3:D$12)),6),0)</f>
        <v/>
      </c>
      <c r="E27" s="13">
        <f>IFERROR(ROUND((E5-MIN(E$3:E$12))/(MAX(E$3:E$12)-MIN(E$3:E$12)),6),0)</f>
        <v/>
      </c>
      <c r="F27" s="13">
        <f>IFERROR(ROUND((F5-MIN(F$3:F$12))/(MAX(F$3:F$12)-MIN(F$3:F$12)),6),0)</f>
        <v/>
      </c>
      <c r="G27" s="13">
        <f>IFERROR(ROUND((G5-MIN(G$3:G$12))/(MAX(G$3:G$12)-MIN(G$3:G$12)),6),0)</f>
        <v/>
      </c>
      <c r="H27" s="5" t="n">
        <v>2</v>
      </c>
    </row>
    <row r="28" ht="15" customHeight="1">
      <c r="A28" s="4" t="n"/>
      <c r="B28" s="13">
        <f>IFERROR(ROUND((B6-MIN(B$3:B$12))/(MAX(B$3:B$12)-MIN(B$3:B$12)),6),0)</f>
        <v/>
      </c>
      <c r="C28" s="13">
        <f>IFERROR(ROUND((C6-MIN(C$3:C$12))/(MAX(C$3:C$12)-MIN(C$3:C$12)),6),0)</f>
        <v/>
      </c>
      <c r="D28" s="13">
        <f>IFERROR(ROUND((D6-MIN(D$3:D$12))/(MAX(D$3:D$12)-MIN(D$3:D$12)),6),0)</f>
        <v/>
      </c>
      <c r="E28" s="13">
        <f>IFERROR(ROUND((E6-MIN(E$3:E$12))/(MAX(E$3:E$12)-MIN(E$3:E$12)),6),0)</f>
        <v/>
      </c>
      <c r="F28" s="13">
        <f>IFERROR(ROUND((F6-MIN(F$3:F$12))/(MAX(F$3:F$12)-MIN(F$3:F$12)),6),0)</f>
        <v/>
      </c>
      <c r="G28" s="13">
        <f>IFERROR(ROUND((G6-MIN(G$3:G$12))/(MAX(G$3:G$12)-MIN(G$3:G$12)),6),0)</f>
        <v/>
      </c>
      <c r="H28" s="5" t="n">
        <v>1</v>
      </c>
    </row>
    <row r="29" ht="15" customHeight="1">
      <c r="A29" s="4" t="n"/>
      <c r="B29" s="13">
        <f>IFERROR(ROUND((B7-MIN(B$3:B$12))/(MAX(B$3:B$12)-MIN(B$3:B$12)),6),0)</f>
        <v/>
      </c>
      <c r="C29" s="13">
        <f>IFERROR(ROUND((C7-MIN(C$3:C$12))/(MAX(C$3:C$12)-MIN(C$3:C$12)),6),0)</f>
        <v/>
      </c>
      <c r="D29" s="13">
        <f>IFERROR(ROUND((D7-MIN(D$3:D$12))/(MAX(D$3:D$12)-MIN(D$3:D$12)),6),0)</f>
        <v/>
      </c>
      <c r="E29" s="13">
        <f>IFERROR(ROUND((E7-MIN(E$3:E$12))/(MAX(E$3:E$12)-MIN(E$3:E$12)),6),0)</f>
        <v/>
      </c>
      <c r="F29" s="13">
        <f>IFERROR(ROUND((F7-MIN(F$3:F$12))/(MAX(F$3:F$12)-MIN(F$3:F$12)),6),0)</f>
        <v/>
      </c>
      <c r="G29" s="13">
        <f>IFERROR(ROUND((G7-MIN(G$3:G$12))/(MAX(G$3:G$12)-MIN(G$3:G$12)),6),0)</f>
        <v/>
      </c>
      <c r="H29" s="5" t="n">
        <v>2</v>
      </c>
    </row>
    <row r="30" ht="15" customHeight="1">
      <c r="A30" s="4" t="n"/>
      <c r="B30" s="13">
        <f>IFERROR(ROUND((B8-MIN(B$3:B$12))/(MAX(B$3:B$12)-MIN(B$3:B$12)),6),0)</f>
        <v/>
      </c>
      <c r="C30" s="13">
        <f>IFERROR(ROUND((C8-MIN(C$3:C$12))/(MAX(C$3:C$12)-MIN(C$3:C$12)),6),0)</f>
        <v/>
      </c>
      <c r="D30" s="13">
        <f>IFERROR(ROUND((D8-MIN(D$3:D$12))/(MAX(D$3:D$12)-MIN(D$3:D$12)),6),0)</f>
        <v/>
      </c>
      <c r="E30" s="13">
        <f>IFERROR(ROUND((E8-MIN(E$3:E$12))/(MAX(E$3:E$12)-MIN(E$3:E$12)),6),0)</f>
        <v/>
      </c>
      <c r="F30" s="13">
        <f>IFERROR(ROUND((F8-MIN(F$3:F$12))/(MAX(F$3:F$12)-MIN(F$3:F$12)),6),0)</f>
        <v/>
      </c>
      <c r="G30" s="13">
        <f>IFERROR(ROUND((G8-MIN(G$3:G$12))/(MAX(G$3:G$12)-MIN(G$3:G$12)),6),0)</f>
        <v/>
      </c>
      <c r="H30" s="5" t="n">
        <v>1</v>
      </c>
    </row>
    <row r="31" ht="15" customHeight="1">
      <c r="A31" s="4" t="n"/>
      <c r="B31" s="13">
        <f>IFERROR(ROUND((B9-MIN(B$3:B$12))/(MAX(B$3:B$12)-MIN(B$3:B$12)),6),0)</f>
        <v/>
      </c>
      <c r="C31" s="13">
        <f>IFERROR(ROUND((C9-MIN(C$3:C$12))/(MAX(C$3:C$12)-MIN(C$3:C$12)),6),0)</f>
        <v/>
      </c>
      <c r="D31" s="13">
        <f>IFERROR(ROUND((D9-MIN(D$3:D$12))/(MAX(D$3:D$12)-MIN(D$3:D$12)),6),0)</f>
        <v/>
      </c>
      <c r="E31" s="13">
        <f>IFERROR(ROUND((E9-MIN(E$3:E$12))/(MAX(E$3:E$12)-MIN(E$3:E$12)),6),0)</f>
        <v/>
      </c>
      <c r="F31" s="13">
        <f>IFERROR(ROUND((F9-MIN(F$3:F$12))/(MAX(F$3:F$12)-MIN(F$3:F$12)),6),0)</f>
        <v/>
      </c>
      <c r="G31" s="13">
        <f>IFERROR(ROUND((G9-MIN(G$3:G$12))/(MAX(G$3:G$12)-MIN(G$3:G$12)),6),0)</f>
        <v/>
      </c>
      <c r="H31" s="5" t="n">
        <v>1</v>
      </c>
    </row>
    <row r="32" ht="15" customHeight="1">
      <c r="A32" s="4" t="n"/>
      <c r="B32" s="13">
        <f>IFERROR(ROUND((B10-MIN(B$3:B$12))/(MAX(B$3:B$12)-MIN(B$3:B$12)),6),0)</f>
        <v/>
      </c>
      <c r="C32" s="13">
        <f>IFERROR(ROUND((C10-MIN(C$3:C$12))/(MAX(C$3:C$12)-MIN(C$3:C$12)),6),0)</f>
        <v/>
      </c>
      <c r="D32" s="13">
        <f>IFERROR(ROUND((D10-MIN(D$3:D$12))/(MAX(D$3:D$12)-MIN(D$3:D$12)),6),0)</f>
        <v/>
      </c>
      <c r="E32" s="13">
        <f>IFERROR(ROUND((E10-MIN(E$3:E$12))/(MAX(E$3:E$12)-MIN(E$3:E$12)),6),0)</f>
        <v/>
      </c>
      <c r="F32" s="13">
        <f>IFERROR(ROUND((F10-MIN(F$3:F$12))/(MAX(F$3:F$12)-MIN(F$3:F$12)),6),0)</f>
        <v/>
      </c>
      <c r="G32" s="13">
        <f>IFERROR(ROUND((G10-MIN(G$3:G$12))/(MAX(G$3:G$12)-MIN(G$3:G$12)),6),0)</f>
        <v/>
      </c>
      <c r="H32" s="5" t="n">
        <v>1</v>
      </c>
    </row>
    <row r="33" ht="15" customHeight="1">
      <c r="A33" s="4" t="n"/>
      <c r="B33" s="13">
        <f>IFERROR(ROUND((B11-MIN(B$3:B$12))/(MAX(B$3:B$12)-MIN(B$3:B$12)),6),0)</f>
        <v/>
      </c>
      <c r="C33" s="13">
        <f>IFERROR(ROUND((C11-MIN(C$3:C$12))/(MAX(C$3:C$12)-MIN(C$3:C$12)),6),0)</f>
        <v/>
      </c>
      <c r="D33" s="13">
        <f>IFERROR(ROUND((D11-MIN(D$3:D$12))/(MAX(D$3:D$12)-MIN(D$3:D$12)),6),0)</f>
        <v/>
      </c>
      <c r="E33" s="13">
        <f>IFERROR(ROUND((E11-MIN(E$3:E$12))/(MAX(E$3:E$12)-MIN(E$3:E$12)),6),0)</f>
        <v/>
      </c>
      <c r="F33" s="13">
        <f>IFERROR(ROUND((F11-MIN(F$3:F$12))/(MAX(F$3:F$12)-MIN(F$3:F$12)),6),0)</f>
        <v/>
      </c>
      <c r="G33" s="13">
        <f>IFERROR(ROUND((G11-MIN(G$3:G$12))/(MAX(G$3:G$12)-MIN(G$3:G$12)),6),0)</f>
        <v/>
      </c>
      <c r="H33" s="5" t="n">
        <v>2</v>
      </c>
    </row>
    <row r="34" ht="15" customHeight="1">
      <c r="A34" s="4" t="n"/>
      <c r="B34" s="13">
        <f>IFERROR(ROUND((B12-MIN(B$3:B$12))/(MAX(B$3:B$12)-MIN(B$3:B$12)),6),0)</f>
        <v/>
      </c>
      <c r="C34" s="13">
        <f>IFERROR(ROUND((C12-MIN(C$3:C$12))/(MAX(C$3:C$12)-MIN(C$3:C$12)),6),0)</f>
        <v/>
      </c>
      <c r="D34" s="13">
        <f>IFERROR(ROUND((D12-MIN(D$3:D$12))/(MAX(D$3:D$12)-MIN(D$3:D$12)),6),0)</f>
        <v/>
      </c>
      <c r="E34" s="13">
        <f>IFERROR(ROUND((E12-MIN(E$3:E$12))/(MAX(E$3:E$12)-MIN(E$3:E$12)),6),0)</f>
        <v/>
      </c>
      <c r="F34" s="13">
        <f>IFERROR(ROUND((F12-MIN(F$3:F$12))/(MAX(F$3:F$12)-MIN(F$3:F$12)),6),0)</f>
        <v/>
      </c>
      <c r="G34" s="13">
        <f>IFERROR(ROUND((G12-MIN(G$3:G$12))/(MAX(G$3:G$12)-MIN(G$3:G$12)),6),0)</f>
        <v/>
      </c>
      <c r="H34" s="5" t="n">
        <v>2</v>
      </c>
    </row>
    <row r="35" ht="15" customHeight="1">
      <c r="A35" s="2" t="n"/>
      <c r="B35" s="65" t="n">
        <v>1</v>
      </c>
      <c r="C35" s="65" t="n">
        <v>1</v>
      </c>
      <c r="D35" s="65" t="n">
        <v>1</v>
      </c>
      <c r="E35" s="65" t="n">
        <v>1</v>
      </c>
      <c r="F35" s="65" t="n">
        <v>1</v>
      </c>
      <c r="G35" s="65" t="n">
        <v>1</v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3">
    <mergeCell ref="A23:H23"/>
    <mergeCell ref="D17:E20"/>
    <mergeCell ref="A1:H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7"/>
  <sheetViews>
    <sheetView topLeftCell="A102" workbookViewId="0">
      <selection activeCell="J107" sqref="J107"/>
    </sheetView>
  </sheetViews>
  <sheetFormatPr baseColWidth="8" defaultRowHeight="14.4"/>
  <cols>
    <col width="12.77734375" customWidth="1" min="2" max="11"/>
  </cols>
  <sheetData>
    <row r="1" ht="15.6" customHeight="1">
      <c r="A1" s="77" t="inlineStr">
        <is>
          <t>Dog-Wolf (10, 6, 2)</t>
        </is>
      </c>
      <c r="B1" s="100" t="n"/>
      <c r="C1" s="100" t="n"/>
      <c r="D1" s="100" t="n"/>
      <c r="E1" s="100" t="n"/>
      <c r="F1" s="100" t="n"/>
      <c r="G1" s="100" t="n"/>
      <c r="H1" s="101" t="n"/>
    </row>
    <row r="2" ht="15.6" customHeight="1">
      <c r="A2" s="3" t="inlineStr">
        <is>
          <t>№</t>
        </is>
      </c>
      <c r="B2" s="9" t="n"/>
      <c r="C2" s="9" t="n"/>
      <c r="D2" s="9" t="n"/>
      <c r="E2" s="9" t="n"/>
      <c r="F2" s="9" t="n"/>
      <c r="G2" s="9" t="n"/>
      <c r="H2" s="4" t="inlineStr">
        <is>
          <t>Class</t>
        </is>
      </c>
      <c r="J2" s="49" t="inlineStr">
        <is>
          <t>|K1| = 6</t>
        </is>
      </c>
      <c r="K2" s="7" t="n"/>
      <c r="L2" s="2" t="n"/>
      <c r="M2" s="2" t="n"/>
    </row>
    <row r="3" ht="15.6" customHeight="1">
      <c r="A3" s="4" t="n"/>
      <c r="B3" s="13" t="n">
        <v>129</v>
      </c>
      <c r="C3" s="13" t="n">
        <v>64</v>
      </c>
      <c r="D3" s="13" t="n">
        <v>95</v>
      </c>
      <c r="E3" s="13" t="n">
        <v>17.5</v>
      </c>
      <c r="F3" s="13" t="n">
        <v>11.2</v>
      </c>
      <c r="G3" s="13" t="n">
        <v>13.8</v>
      </c>
      <c r="H3" s="5" t="n">
        <v>1</v>
      </c>
      <c r="J3" s="49" t="inlineStr">
        <is>
          <t>|K2| = 4</t>
        </is>
      </c>
      <c r="K3" s="2" t="n"/>
      <c r="L3" s="2" t="n"/>
      <c r="M3" s="2" t="n"/>
    </row>
    <row r="4" ht="15.6" customHeight="1">
      <c r="A4" s="4" t="n"/>
      <c r="B4" s="13" t="n">
        <v>154</v>
      </c>
      <c r="C4" s="13" t="n">
        <v>74</v>
      </c>
      <c r="D4" s="13" t="n">
        <v>76</v>
      </c>
      <c r="E4" s="13" t="n">
        <v>20</v>
      </c>
      <c r="F4" s="13" t="n">
        <v>14.2</v>
      </c>
      <c r="G4" s="13" t="n">
        <v>16.5</v>
      </c>
      <c r="H4" s="5" t="n">
        <v>1</v>
      </c>
      <c r="J4" s="2" t="n"/>
      <c r="K4" s="2" t="n"/>
      <c r="L4" s="2" t="n"/>
      <c r="M4" s="2" t="n"/>
    </row>
    <row r="5" ht="15.6" customHeight="1">
      <c r="A5" s="4" t="n"/>
      <c r="B5" s="13" t="n">
        <v>199</v>
      </c>
      <c r="C5" s="13" t="n">
        <v>105</v>
      </c>
      <c r="D5" s="13" t="n">
        <v>73</v>
      </c>
      <c r="E5" s="13" t="n">
        <v>23.4</v>
      </c>
      <c r="F5" s="13" t="n">
        <v>15</v>
      </c>
      <c r="G5" s="13" t="n">
        <v>19.1</v>
      </c>
      <c r="H5" s="5" t="n">
        <v>2</v>
      </c>
    </row>
    <row r="6" ht="15.6" customHeight="1">
      <c r="A6" s="4" t="n"/>
      <c r="B6" s="13" t="n">
        <v>170</v>
      </c>
      <c r="C6" s="13" t="n">
        <v>87</v>
      </c>
      <c r="D6" s="13" t="n">
        <v>71</v>
      </c>
      <c r="E6" s="13" t="n">
        <v>17.9</v>
      </c>
      <c r="F6" s="13" t="n">
        <v>12.3</v>
      </c>
      <c r="G6" s="13" t="n">
        <v>15.9</v>
      </c>
      <c r="H6" s="5" t="n">
        <v>1</v>
      </c>
    </row>
    <row r="7" ht="15.6" customHeight="1">
      <c r="A7" s="4" t="n"/>
      <c r="B7" s="13" t="n">
        <v>227</v>
      </c>
      <c r="C7" s="13" t="n">
        <v>117</v>
      </c>
      <c r="D7" s="13" t="n">
        <v>77</v>
      </c>
      <c r="E7" s="13" t="n">
        <v>25</v>
      </c>
      <c r="F7" s="13" t="n">
        <v>15.3</v>
      </c>
      <c r="G7" s="13" t="n">
        <v>18.6</v>
      </c>
      <c r="H7" s="5" t="n">
        <v>2</v>
      </c>
    </row>
    <row r="8" ht="15.6" customHeight="1">
      <c r="A8" s="4" t="n"/>
      <c r="B8" s="13" t="n">
        <v>188</v>
      </c>
      <c r="C8" s="13" t="n">
        <v>94</v>
      </c>
      <c r="D8" s="13" t="n">
        <v>73</v>
      </c>
      <c r="E8" s="13" t="n">
        <v>19.5</v>
      </c>
      <c r="F8" s="13" t="n">
        <v>13.3</v>
      </c>
      <c r="G8" s="13" t="n">
        <v>14.8</v>
      </c>
      <c r="H8" s="5" t="n">
        <v>1</v>
      </c>
    </row>
    <row r="9" ht="15.6" customHeight="1">
      <c r="A9" s="4" t="n"/>
      <c r="B9" s="13" t="n">
        <v>161</v>
      </c>
      <c r="C9" s="13" t="n">
        <v>81</v>
      </c>
      <c r="D9" s="13" t="n">
        <v>55</v>
      </c>
      <c r="E9" s="13" t="n">
        <v>17.1</v>
      </c>
      <c r="F9" s="13" t="n">
        <v>12.1</v>
      </c>
      <c r="G9" s="13" t="n">
        <v>13</v>
      </c>
      <c r="H9" s="5" t="n">
        <v>1</v>
      </c>
    </row>
    <row r="10" ht="15.6" customHeight="1">
      <c r="A10" s="4" t="n"/>
      <c r="B10" s="13" t="n">
        <v>164</v>
      </c>
      <c r="C10" s="13" t="n">
        <v>90</v>
      </c>
      <c r="D10" s="13" t="n">
        <v>58</v>
      </c>
      <c r="E10" s="13" t="n">
        <v>17.5</v>
      </c>
      <c r="F10" s="13" t="n">
        <v>12.7</v>
      </c>
      <c r="G10" s="13" t="n">
        <v>14.7</v>
      </c>
      <c r="H10" s="5" t="n">
        <v>1</v>
      </c>
    </row>
    <row r="11" ht="15.6" customHeight="1">
      <c r="A11" s="4" t="n"/>
      <c r="B11" s="13" t="n">
        <v>228</v>
      </c>
      <c r="C11" s="13" t="n">
        <v>122</v>
      </c>
      <c r="D11" s="13" t="n">
        <v>82</v>
      </c>
      <c r="E11" s="13" t="n">
        <v>24.7</v>
      </c>
      <c r="F11" s="13" t="n">
        <v>15</v>
      </c>
      <c r="G11" s="13" t="n">
        <v>18.5</v>
      </c>
      <c r="H11" s="5" t="n">
        <v>2</v>
      </c>
    </row>
    <row r="12" ht="15.6" customHeight="1">
      <c r="A12" s="4" t="n"/>
      <c r="B12" s="13" t="n">
        <v>232</v>
      </c>
      <c r="C12" s="13" t="n">
        <v>123</v>
      </c>
      <c r="D12" s="13" t="n">
        <v>83</v>
      </c>
      <c r="E12" s="13" t="n">
        <v>25.3</v>
      </c>
      <c r="F12" s="13" t="n">
        <v>16.8</v>
      </c>
      <c r="G12" s="13" t="n">
        <v>15.5</v>
      </c>
      <c r="H12" s="5" t="n">
        <v>2</v>
      </c>
    </row>
    <row r="13" ht="15.6" customHeight="1">
      <c r="A13" s="2" t="n"/>
      <c r="B13" s="65" t="n">
        <v>1</v>
      </c>
      <c r="C13" s="65" t="n">
        <v>1</v>
      </c>
      <c r="D13" s="65" t="n">
        <v>1</v>
      </c>
      <c r="E13" s="65" t="n">
        <v>1</v>
      </c>
      <c r="F13" s="65" t="n">
        <v>1</v>
      </c>
      <c r="G13" s="65" t="n">
        <v>1</v>
      </c>
    </row>
    <row r="14" ht="15" customHeight="1"/>
    <row r="15" ht="15" customHeight="1"/>
    <row r="16" ht="15" customHeight="1" thickBot="1"/>
    <row r="17" ht="15" customHeight="1">
      <c r="E17" s="102" t="inlineStr">
        <is>
          <t>Euclidean distance</t>
        </is>
      </c>
      <c r="F17" s="108" t="n"/>
      <c r="G17" s="103" t="n"/>
    </row>
    <row r="18" ht="15" customHeight="1">
      <c r="E18" s="104" t="n"/>
      <c r="G18" s="105" t="n"/>
    </row>
    <row r="19" ht="15" customHeight="1">
      <c r="E19" s="104" t="n"/>
      <c r="G19" s="105" t="n"/>
    </row>
    <row r="20" ht="15" customHeight="1">
      <c r="E20" s="104" t="n"/>
      <c r="G20" s="105" t="n"/>
    </row>
    <row r="21" ht="15" customHeight="1" thickBot="1">
      <c r="E21" s="106" t="n"/>
      <c r="F21" s="48" t="n"/>
      <c r="G21" s="107" t="n"/>
    </row>
    <row r="22" ht="15" customHeight="1"/>
    <row r="23" ht="15" customHeight="1">
      <c r="A23" s="65" t="inlineStr">
        <is>
          <t>Euclidean Distance Matrix of Dog-Wolf (10, 6, 2)</t>
        </is>
      </c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1" t="n"/>
    </row>
    <row r="24" ht="15" customHeight="1">
      <c r="A24" s="3" t="inlineStr">
        <is>
          <t>№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15" customHeight="1">
      <c r="A25" s="4" t="n"/>
      <c r="B25" s="13">
        <f>ROUND(SQRT(SUMXMY2(INDEX($B$3:$G$12,ROW()-24,0),INDEX($B$3:$G$12,COLUMN()-1,0))),6)</f>
        <v/>
      </c>
      <c r="C25" s="13">
        <f>ROUND(SQRT(SUMXMY2(INDEX($B$3:$G$12,ROW()-24,0),INDEX($B$3:$G$12,COLUMN()-1,0))),6)</f>
        <v/>
      </c>
      <c r="D25" s="13">
        <f>ROUND(SQRT(SUMXMY2(INDEX($B$3:$G$12,ROW()-24,0),INDEX($B$3:$G$12,COLUMN()-1,0))),6)</f>
        <v/>
      </c>
      <c r="E25" s="13">
        <f>ROUND(SQRT(SUMXMY2(INDEX($B$3:$G$12,ROW()-24,0),INDEX($B$3:$G$12,COLUMN()-1,0))),6)</f>
        <v/>
      </c>
      <c r="F25" s="13">
        <f>ROUND(SQRT(SUMXMY2(INDEX($B$3:$G$12,ROW()-24,0),INDEX($B$3:$G$12,COLUMN()-1,0))),6)</f>
        <v/>
      </c>
      <c r="G25" s="13">
        <f>ROUND(SQRT(SUMXMY2(INDEX($B$3:$G$12,ROW()-24,0),INDEX($B$3:$G$12,COLUMN()-1,0))),6)</f>
        <v/>
      </c>
      <c r="H25" s="13">
        <f>ROUND(SQRT(SUMXMY2(INDEX($B$3:$G$12,ROW()-24,0),INDEX($B$3:$G$12,COLUMN()-1,0))),6)</f>
        <v/>
      </c>
      <c r="I25" s="13">
        <f>ROUND(SQRT(SUMXMY2(INDEX($B$3:$G$12,ROW()-24,0),INDEX($B$3:$G$12,COLUMN()-1,0))),6)</f>
        <v/>
      </c>
      <c r="J25" s="13">
        <f>ROUND(SQRT(SUMXMY2(INDEX($B$3:$G$12,ROW()-24,0),INDEX($B$3:$G$12,COLUMN()-1,0))),6)</f>
        <v/>
      </c>
      <c r="K25" s="13">
        <f>ROUND(SQRT(SUMXMY2(INDEX($B$3:$G$12,ROW()-24,0),INDEX($B$3:$G$12,COLUMN()-1,0))),6)</f>
        <v/>
      </c>
    </row>
    <row r="26" ht="15" customHeight="1">
      <c r="A26" s="4" t="n"/>
      <c r="B26" s="13">
        <f>ROUND(SQRT(SUMXMY2(INDEX($B$3:$G$12,ROW()-24,0),INDEX($B$3:$G$12,COLUMN()-1,0))),6)</f>
        <v/>
      </c>
      <c r="C26" s="13">
        <f>ROUND(SQRT(SUMXMY2(INDEX($B$3:$G$12,ROW()-24,0),INDEX($B$3:$G$12,COLUMN()-1,0))),6)</f>
        <v/>
      </c>
      <c r="D26" s="13">
        <f>ROUND(SQRT(SUMXMY2(INDEX($B$3:$G$12,ROW()-24,0),INDEX($B$3:$G$12,COLUMN()-1,0))),6)</f>
        <v/>
      </c>
      <c r="E26" s="13">
        <f>ROUND(SQRT(SUMXMY2(INDEX($B$3:$G$12,ROW()-24,0),INDEX($B$3:$G$12,COLUMN()-1,0))),6)</f>
        <v/>
      </c>
      <c r="F26" s="13">
        <f>ROUND(SQRT(SUMXMY2(INDEX($B$3:$G$12,ROW()-24,0),INDEX($B$3:$G$12,COLUMN()-1,0))),6)</f>
        <v/>
      </c>
      <c r="G26" s="13">
        <f>ROUND(SQRT(SUMXMY2(INDEX($B$3:$G$12,ROW()-24,0),INDEX($B$3:$G$12,COLUMN()-1,0))),6)</f>
        <v/>
      </c>
      <c r="H26" s="13">
        <f>ROUND(SQRT(SUMXMY2(INDEX($B$3:$G$12,ROW()-24,0),INDEX($B$3:$G$12,COLUMN()-1,0))),6)</f>
        <v/>
      </c>
      <c r="I26" s="13">
        <f>ROUND(SQRT(SUMXMY2(INDEX($B$3:$G$12,ROW()-24,0),INDEX($B$3:$G$12,COLUMN()-1,0))),6)</f>
        <v/>
      </c>
      <c r="J26" s="13">
        <f>ROUND(SQRT(SUMXMY2(INDEX($B$3:$G$12,ROW()-24,0),INDEX($B$3:$G$12,COLUMN()-1,0))),6)</f>
        <v/>
      </c>
      <c r="K26" s="13">
        <f>ROUND(SQRT(SUMXMY2(INDEX($B$3:$G$12,ROW()-24,0),INDEX($B$3:$G$12,COLUMN()-1,0))),6)</f>
        <v/>
      </c>
    </row>
    <row r="27" ht="15" customHeight="1">
      <c r="A27" s="4" t="n"/>
      <c r="B27" s="13">
        <f>ROUND(SQRT(SUMXMY2(INDEX($B$3:$G$12,ROW()-24,0),INDEX($B$3:$G$12,COLUMN()-1,0))),6)</f>
        <v/>
      </c>
      <c r="C27" s="13">
        <f>ROUND(SQRT(SUMXMY2(INDEX($B$3:$G$12,ROW()-24,0),INDEX($B$3:$G$12,COLUMN()-1,0))),6)</f>
        <v/>
      </c>
      <c r="D27" s="13">
        <f>ROUND(SQRT(SUMXMY2(INDEX($B$3:$G$12,ROW()-24,0),INDEX($B$3:$G$12,COLUMN()-1,0))),6)</f>
        <v/>
      </c>
      <c r="E27" s="13">
        <f>ROUND(SQRT(SUMXMY2(INDEX($B$3:$G$12,ROW()-24,0),INDEX($B$3:$G$12,COLUMN()-1,0))),6)</f>
        <v/>
      </c>
      <c r="F27" s="13">
        <f>ROUND(SQRT(SUMXMY2(INDEX($B$3:$G$12,ROW()-24,0),INDEX($B$3:$G$12,COLUMN()-1,0))),6)</f>
        <v/>
      </c>
      <c r="G27" s="13">
        <f>ROUND(SQRT(SUMXMY2(INDEX($B$3:$G$12,ROW()-24,0),INDEX($B$3:$G$12,COLUMN()-1,0))),6)</f>
        <v/>
      </c>
      <c r="H27" s="13">
        <f>ROUND(SQRT(SUMXMY2(INDEX($B$3:$G$12,ROW()-24,0),INDEX($B$3:$G$12,COLUMN()-1,0))),6)</f>
        <v/>
      </c>
      <c r="I27" s="13">
        <f>ROUND(SQRT(SUMXMY2(INDEX($B$3:$G$12,ROW()-24,0),INDEX($B$3:$G$12,COLUMN()-1,0))),6)</f>
        <v/>
      </c>
      <c r="J27" s="13">
        <f>ROUND(SQRT(SUMXMY2(INDEX($B$3:$G$12,ROW()-24,0),INDEX($B$3:$G$12,COLUMN()-1,0))),6)</f>
        <v/>
      </c>
      <c r="K27" s="13">
        <f>ROUND(SQRT(SUMXMY2(INDEX($B$3:$G$12,ROW()-24,0),INDEX($B$3:$G$12,COLUMN()-1,0))),6)</f>
        <v/>
      </c>
    </row>
    <row r="28" ht="15" customHeight="1">
      <c r="A28" s="4" t="n"/>
      <c r="B28" s="13">
        <f>ROUND(SQRT(SUMXMY2(INDEX($B$3:$G$12,ROW()-24,0),INDEX($B$3:$G$12,COLUMN()-1,0))),6)</f>
        <v/>
      </c>
      <c r="C28" s="13">
        <f>ROUND(SQRT(SUMXMY2(INDEX($B$3:$G$12,ROW()-24,0),INDEX($B$3:$G$12,COLUMN()-1,0))),6)</f>
        <v/>
      </c>
      <c r="D28" s="13">
        <f>ROUND(SQRT(SUMXMY2(INDEX($B$3:$G$12,ROW()-24,0),INDEX($B$3:$G$12,COLUMN()-1,0))),6)</f>
        <v/>
      </c>
      <c r="E28" s="13">
        <f>ROUND(SQRT(SUMXMY2(INDEX($B$3:$G$12,ROW()-24,0),INDEX($B$3:$G$12,COLUMN()-1,0))),6)</f>
        <v/>
      </c>
      <c r="F28" s="13">
        <f>ROUND(SQRT(SUMXMY2(INDEX($B$3:$G$12,ROW()-24,0),INDEX($B$3:$G$12,COLUMN()-1,0))),6)</f>
        <v/>
      </c>
      <c r="G28" s="13">
        <f>ROUND(SQRT(SUMXMY2(INDEX($B$3:$G$12,ROW()-24,0),INDEX($B$3:$G$12,COLUMN()-1,0))),6)</f>
        <v/>
      </c>
      <c r="H28" s="13">
        <f>ROUND(SQRT(SUMXMY2(INDEX($B$3:$G$12,ROW()-24,0),INDEX($B$3:$G$12,COLUMN()-1,0))),6)</f>
        <v/>
      </c>
      <c r="I28" s="13">
        <f>ROUND(SQRT(SUMXMY2(INDEX($B$3:$G$12,ROW()-24,0),INDEX($B$3:$G$12,COLUMN()-1,0))),6)</f>
        <v/>
      </c>
      <c r="J28" s="13">
        <f>ROUND(SQRT(SUMXMY2(INDEX($B$3:$G$12,ROW()-24,0),INDEX($B$3:$G$12,COLUMN()-1,0))),6)</f>
        <v/>
      </c>
      <c r="K28" s="13">
        <f>ROUND(SQRT(SUMXMY2(INDEX($B$3:$G$12,ROW()-24,0),INDEX($B$3:$G$12,COLUMN()-1,0))),6)</f>
        <v/>
      </c>
    </row>
    <row r="29" ht="15" customHeight="1">
      <c r="A29" s="4" t="n"/>
      <c r="B29" s="13">
        <f>ROUND(SQRT(SUMXMY2(INDEX($B$3:$G$12,ROW()-24,0),INDEX($B$3:$G$12,COLUMN()-1,0))),6)</f>
        <v/>
      </c>
      <c r="C29" s="13">
        <f>ROUND(SQRT(SUMXMY2(INDEX($B$3:$G$12,ROW()-24,0),INDEX($B$3:$G$12,COLUMN()-1,0))),6)</f>
        <v/>
      </c>
      <c r="D29" s="13">
        <f>ROUND(SQRT(SUMXMY2(INDEX($B$3:$G$12,ROW()-24,0),INDEX($B$3:$G$12,COLUMN()-1,0))),6)</f>
        <v/>
      </c>
      <c r="E29" s="13">
        <f>ROUND(SQRT(SUMXMY2(INDEX($B$3:$G$12,ROW()-24,0),INDEX($B$3:$G$12,COLUMN()-1,0))),6)</f>
        <v/>
      </c>
      <c r="F29" s="13">
        <f>ROUND(SQRT(SUMXMY2(INDEX($B$3:$G$12,ROW()-24,0),INDEX($B$3:$G$12,COLUMN()-1,0))),6)</f>
        <v/>
      </c>
      <c r="G29" s="13">
        <f>ROUND(SQRT(SUMXMY2(INDEX($B$3:$G$12,ROW()-24,0),INDEX($B$3:$G$12,COLUMN()-1,0))),6)</f>
        <v/>
      </c>
      <c r="H29" s="13">
        <f>ROUND(SQRT(SUMXMY2(INDEX($B$3:$G$12,ROW()-24,0),INDEX($B$3:$G$12,COLUMN()-1,0))),6)</f>
        <v/>
      </c>
      <c r="I29" s="13">
        <f>ROUND(SQRT(SUMXMY2(INDEX($B$3:$G$12,ROW()-24,0),INDEX($B$3:$G$12,COLUMN()-1,0))),6)</f>
        <v/>
      </c>
      <c r="J29" s="13">
        <f>ROUND(SQRT(SUMXMY2(INDEX($B$3:$G$12,ROW()-24,0),INDEX($B$3:$G$12,COLUMN()-1,0))),6)</f>
        <v/>
      </c>
      <c r="K29" s="13">
        <f>ROUND(SQRT(SUMXMY2(INDEX($B$3:$G$12,ROW()-24,0),INDEX($B$3:$G$12,COLUMN()-1,0))),6)</f>
        <v/>
      </c>
    </row>
    <row r="30" ht="15" customHeight="1">
      <c r="A30" s="4" t="n"/>
      <c r="B30" s="13">
        <f>ROUND(SQRT(SUMXMY2(INDEX($B$3:$G$12,ROW()-24,0),INDEX($B$3:$G$12,COLUMN()-1,0))),6)</f>
        <v/>
      </c>
      <c r="C30" s="13">
        <f>ROUND(SQRT(SUMXMY2(INDEX($B$3:$G$12,ROW()-24,0),INDEX($B$3:$G$12,COLUMN()-1,0))),6)</f>
        <v/>
      </c>
      <c r="D30" s="13">
        <f>ROUND(SQRT(SUMXMY2(INDEX($B$3:$G$12,ROW()-24,0),INDEX($B$3:$G$12,COLUMN()-1,0))),6)</f>
        <v/>
      </c>
      <c r="E30" s="13">
        <f>ROUND(SQRT(SUMXMY2(INDEX($B$3:$G$12,ROW()-24,0),INDEX($B$3:$G$12,COLUMN()-1,0))),6)</f>
        <v/>
      </c>
      <c r="F30" s="13">
        <f>ROUND(SQRT(SUMXMY2(INDEX($B$3:$G$12,ROW()-24,0),INDEX($B$3:$G$12,COLUMN()-1,0))),6)</f>
        <v/>
      </c>
      <c r="G30" s="13">
        <f>ROUND(SQRT(SUMXMY2(INDEX($B$3:$G$12,ROW()-24,0),INDEX($B$3:$G$12,COLUMN()-1,0))),6)</f>
        <v/>
      </c>
      <c r="H30" s="13">
        <f>ROUND(SQRT(SUMXMY2(INDEX($B$3:$G$12,ROW()-24,0),INDEX($B$3:$G$12,COLUMN()-1,0))),6)</f>
        <v/>
      </c>
      <c r="I30" s="13">
        <f>ROUND(SQRT(SUMXMY2(INDEX($B$3:$G$12,ROW()-24,0),INDEX($B$3:$G$12,COLUMN()-1,0))),6)</f>
        <v/>
      </c>
      <c r="J30" s="13">
        <f>ROUND(SQRT(SUMXMY2(INDEX($B$3:$G$12,ROW()-24,0),INDEX($B$3:$G$12,COLUMN()-1,0))),6)</f>
        <v/>
      </c>
      <c r="K30" s="13">
        <f>ROUND(SQRT(SUMXMY2(INDEX($B$3:$G$12,ROW()-24,0),INDEX($B$3:$G$12,COLUMN()-1,0))),6)</f>
        <v/>
      </c>
    </row>
    <row r="31" ht="15" customHeight="1">
      <c r="A31" s="4" t="n"/>
      <c r="B31" s="13">
        <f>ROUND(SQRT(SUMXMY2(INDEX($B$3:$G$12,ROW()-24,0),INDEX($B$3:$G$12,COLUMN()-1,0))),6)</f>
        <v/>
      </c>
      <c r="C31" s="13">
        <f>ROUND(SQRT(SUMXMY2(INDEX($B$3:$G$12,ROW()-24,0),INDEX($B$3:$G$12,COLUMN()-1,0))),6)</f>
        <v/>
      </c>
      <c r="D31" s="13">
        <f>ROUND(SQRT(SUMXMY2(INDEX($B$3:$G$12,ROW()-24,0),INDEX($B$3:$G$12,COLUMN()-1,0))),6)</f>
        <v/>
      </c>
      <c r="E31" s="13">
        <f>ROUND(SQRT(SUMXMY2(INDEX($B$3:$G$12,ROW()-24,0),INDEX($B$3:$G$12,COLUMN()-1,0))),6)</f>
        <v/>
      </c>
      <c r="F31" s="13">
        <f>ROUND(SQRT(SUMXMY2(INDEX($B$3:$G$12,ROW()-24,0),INDEX($B$3:$G$12,COLUMN()-1,0))),6)</f>
        <v/>
      </c>
      <c r="G31" s="13">
        <f>ROUND(SQRT(SUMXMY2(INDEX($B$3:$G$12,ROW()-24,0),INDEX($B$3:$G$12,COLUMN()-1,0))),6)</f>
        <v/>
      </c>
      <c r="H31" s="13">
        <f>ROUND(SQRT(SUMXMY2(INDEX($B$3:$G$12,ROW()-24,0),INDEX($B$3:$G$12,COLUMN()-1,0))),6)</f>
        <v/>
      </c>
      <c r="I31" s="13">
        <f>ROUND(SQRT(SUMXMY2(INDEX($B$3:$G$12,ROW()-24,0),INDEX($B$3:$G$12,COLUMN()-1,0))),6)</f>
        <v/>
      </c>
      <c r="J31" s="13">
        <f>ROUND(SQRT(SUMXMY2(INDEX($B$3:$G$12,ROW()-24,0),INDEX($B$3:$G$12,COLUMN()-1,0))),6)</f>
        <v/>
      </c>
      <c r="K31" s="13">
        <f>ROUND(SQRT(SUMXMY2(INDEX($B$3:$G$12,ROW()-24,0),INDEX($B$3:$G$12,COLUMN()-1,0))),6)</f>
        <v/>
      </c>
    </row>
    <row r="32" ht="15" customHeight="1">
      <c r="A32" s="4" t="n"/>
      <c r="B32" s="13">
        <f>ROUND(SQRT(SUMXMY2(INDEX($B$3:$G$12,ROW()-24,0),INDEX($B$3:$G$12,COLUMN()-1,0))),6)</f>
        <v/>
      </c>
      <c r="C32" s="13">
        <f>ROUND(SQRT(SUMXMY2(INDEX($B$3:$G$12,ROW()-24,0),INDEX($B$3:$G$12,COLUMN()-1,0))),6)</f>
        <v/>
      </c>
      <c r="D32" s="13">
        <f>ROUND(SQRT(SUMXMY2(INDEX($B$3:$G$12,ROW()-24,0),INDEX($B$3:$G$12,COLUMN()-1,0))),6)</f>
        <v/>
      </c>
      <c r="E32" s="13">
        <f>ROUND(SQRT(SUMXMY2(INDEX($B$3:$G$12,ROW()-24,0),INDEX($B$3:$G$12,COLUMN()-1,0))),6)</f>
        <v/>
      </c>
      <c r="F32" s="13">
        <f>ROUND(SQRT(SUMXMY2(INDEX($B$3:$G$12,ROW()-24,0),INDEX($B$3:$G$12,COLUMN()-1,0))),6)</f>
        <v/>
      </c>
      <c r="G32" s="13">
        <f>ROUND(SQRT(SUMXMY2(INDEX($B$3:$G$12,ROW()-24,0),INDEX($B$3:$G$12,COLUMN()-1,0))),6)</f>
        <v/>
      </c>
      <c r="H32" s="13">
        <f>ROUND(SQRT(SUMXMY2(INDEX($B$3:$G$12,ROW()-24,0),INDEX($B$3:$G$12,COLUMN()-1,0))),6)</f>
        <v/>
      </c>
      <c r="I32" s="13">
        <f>ROUND(SQRT(SUMXMY2(INDEX($B$3:$G$12,ROW()-24,0),INDEX($B$3:$G$12,COLUMN()-1,0))),6)</f>
        <v/>
      </c>
      <c r="J32" s="13">
        <f>ROUND(SQRT(SUMXMY2(INDEX($B$3:$G$12,ROW()-24,0),INDEX($B$3:$G$12,COLUMN()-1,0))),6)</f>
        <v/>
      </c>
      <c r="K32" s="13">
        <f>ROUND(SQRT(SUMXMY2(INDEX($B$3:$G$12,ROW()-24,0),INDEX($B$3:$G$12,COLUMN()-1,0))),6)</f>
        <v/>
      </c>
    </row>
    <row r="33" ht="15" customHeight="1">
      <c r="A33" s="4" t="n"/>
      <c r="B33" s="13">
        <f>ROUND(SQRT(SUMXMY2(INDEX($B$3:$G$12,ROW()-24,0),INDEX($B$3:$G$12,COLUMN()-1,0))),6)</f>
        <v/>
      </c>
      <c r="C33" s="13">
        <f>ROUND(SQRT(SUMXMY2(INDEX($B$3:$G$12,ROW()-24,0),INDEX($B$3:$G$12,COLUMN()-1,0))),6)</f>
        <v/>
      </c>
      <c r="D33" s="13">
        <f>ROUND(SQRT(SUMXMY2(INDEX($B$3:$G$12,ROW()-24,0),INDEX($B$3:$G$12,COLUMN()-1,0))),6)</f>
        <v/>
      </c>
      <c r="E33" s="13">
        <f>ROUND(SQRT(SUMXMY2(INDEX($B$3:$G$12,ROW()-24,0),INDEX($B$3:$G$12,COLUMN()-1,0))),6)</f>
        <v/>
      </c>
      <c r="F33" s="13">
        <f>ROUND(SQRT(SUMXMY2(INDEX($B$3:$G$12,ROW()-24,0),INDEX($B$3:$G$12,COLUMN()-1,0))),6)</f>
        <v/>
      </c>
      <c r="G33" s="13">
        <f>ROUND(SQRT(SUMXMY2(INDEX($B$3:$G$12,ROW()-24,0),INDEX($B$3:$G$12,COLUMN()-1,0))),6)</f>
        <v/>
      </c>
      <c r="H33" s="13">
        <f>ROUND(SQRT(SUMXMY2(INDEX($B$3:$G$12,ROW()-24,0),INDEX($B$3:$G$12,COLUMN()-1,0))),6)</f>
        <v/>
      </c>
      <c r="I33" s="13">
        <f>ROUND(SQRT(SUMXMY2(INDEX($B$3:$G$12,ROW()-24,0),INDEX($B$3:$G$12,COLUMN()-1,0))),6)</f>
        <v/>
      </c>
      <c r="J33" s="13">
        <f>ROUND(SQRT(SUMXMY2(INDEX($B$3:$G$12,ROW()-24,0),INDEX($B$3:$G$12,COLUMN()-1,0))),6)</f>
        <v/>
      </c>
      <c r="K33" s="13">
        <f>ROUND(SQRT(SUMXMY2(INDEX($B$3:$G$12,ROW()-24,0),INDEX($B$3:$G$12,COLUMN()-1,0))),6)</f>
        <v/>
      </c>
    </row>
    <row r="34" ht="15" customHeight="1">
      <c r="A34" s="4" t="n"/>
      <c r="B34" s="13">
        <f>ROUND(SQRT(SUMXMY2(INDEX($B$3:$G$12,ROW()-24,0),INDEX($B$3:$G$12,COLUMN()-1,0))),6)</f>
        <v/>
      </c>
      <c r="C34" s="13">
        <f>ROUND(SQRT(SUMXMY2(INDEX($B$3:$G$12,ROW()-24,0),INDEX($B$3:$G$12,COLUMN()-1,0))),6)</f>
        <v/>
      </c>
      <c r="D34" s="13">
        <f>ROUND(SQRT(SUMXMY2(INDEX($B$3:$G$12,ROW()-24,0),INDEX($B$3:$G$12,COLUMN()-1,0))),6)</f>
        <v/>
      </c>
      <c r="E34" s="13">
        <f>ROUND(SQRT(SUMXMY2(INDEX($B$3:$G$12,ROW()-24,0),INDEX($B$3:$G$12,COLUMN()-1,0))),6)</f>
        <v/>
      </c>
      <c r="F34" s="13">
        <f>ROUND(SQRT(SUMXMY2(INDEX($B$3:$G$12,ROW()-24,0),INDEX($B$3:$G$12,COLUMN()-1,0))),6)</f>
        <v/>
      </c>
      <c r="G34" s="13">
        <f>ROUND(SQRT(SUMXMY2(INDEX($B$3:$G$12,ROW()-24,0),INDEX($B$3:$G$12,COLUMN()-1,0))),6)</f>
        <v/>
      </c>
      <c r="H34" s="13">
        <f>ROUND(SQRT(SUMXMY2(INDEX($B$3:$G$12,ROW()-24,0),INDEX($B$3:$G$12,COLUMN()-1,0))),6)</f>
        <v/>
      </c>
      <c r="I34" s="13">
        <f>ROUND(SQRT(SUMXMY2(INDEX($B$3:$G$12,ROW()-24,0),INDEX($B$3:$G$12,COLUMN()-1,0))),6)</f>
        <v/>
      </c>
      <c r="J34" s="13">
        <f>ROUND(SQRT(SUMXMY2(INDEX($B$3:$G$12,ROW()-24,0),INDEX($B$3:$G$12,COLUMN()-1,0))),6)</f>
        <v/>
      </c>
      <c r="K34" s="13">
        <f>ROUND(SQRT(SUMXMY2(INDEX($B$3:$G$12,ROW()-24,0),INDEX($B$3:$G$12,COLUMN()-1,0))),6)</f>
        <v/>
      </c>
    </row>
    <row r="35" ht="15" customHeight="1"/>
    <row r="36" ht="15" customHeight="1"/>
    <row r="37" ht="15" customHeight="1" thickBot="1"/>
    <row r="38" ht="15" customHeight="1">
      <c r="E38" s="102" t="inlineStr">
        <is>
          <t>Chebyshev distance</t>
        </is>
      </c>
      <c r="F38" s="108" t="n"/>
      <c r="G38" s="103" t="n"/>
    </row>
    <row r="39" ht="15" customHeight="1">
      <c r="E39" s="104" t="n"/>
      <c r="G39" s="105" t="n"/>
    </row>
    <row r="40" ht="15" customHeight="1">
      <c r="E40" s="104" t="n"/>
      <c r="G40" s="105" t="n"/>
    </row>
    <row r="41" ht="15" customHeight="1" thickBot="1">
      <c r="E41" s="106" t="n"/>
      <c r="F41" s="48" t="n"/>
      <c r="G41" s="107" t="n"/>
    </row>
    <row r="42" ht="15" customHeight="1"/>
    <row r="43" ht="15" customHeight="1">
      <c r="A43" s="65" t="inlineStr">
        <is>
          <t>Chebyshev Distance Matrix of Dog-Wolf (10, 6, 2)</t>
        </is>
      </c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1" t="n"/>
    </row>
    <row r="44" ht="15" customHeight="1">
      <c r="A44" s="3" t="inlineStr">
        <is>
          <t>№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15" customHeight="1">
      <c r="A45" s="4" t="n"/>
      <c r="B45" s="13">
        <f t="array" ref="B45">ROUND(MAX(ABS(INDEX($B$3:$G$12,ROW()-44,0)-INDEX($B$3:$G$12,COLUMN()-1,0))),6)</f>
        <v/>
      </c>
      <c r="C45" s="13">
        <f t="array" ref="C45">ROUND(MAX(ABS(INDEX($B$3:$G$12,ROW()-44,0)-INDEX($B$3:$G$12,COLUMN()-1,0))),6)</f>
        <v/>
      </c>
      <c r="D45" s="13">
        <f t="array" ref="D45">ROUND(MAX(ABS(INDEX($B$3:$G$12,ROW()-44,0)-INDEX($B$3:$G$12,COLUMN()-1,0))),6)</f>
        <v/>
      </c>
      <c r="E45" s="13">
        <f t="array" ref="E45">ROUND(MAX(ABS(INDEX($B$3:$G$12,ROW()-44,0)-INDEX($B$3:$G$12,COLUMN()-1,0))),6)</f>
        <v/>
      </c>
      <c r="F45" s="13">
        <f t="array" ref="F45">ROUND(MAX(ABS(INDEX($B$3:$G$12,ROW()-44,0)-INDEX($B$3:$G$12,COLUMN()-1,0))),6)</f>
        <v/>
      </c>
      <c r="G45" s="13">
        <f t="array" ref="G45">ROUND(MAX(ABS(INDEX($B$3:$G$12,ROW()-44,0)-INDEX($B$3:$G$12,COLUMN()-1,0))),6)</f>
        <v/>
      </c>
      <c r="H45" s="13">
        <f t="array" ref="H45">ROUND(MAX(ABS(INDEX($B$3:$G$12,ROW()-44,0)-INDEX($B$3:$G$12,COLUMN()-1,0))),6)</f>
        <v/>
      </c>
      <c r="I45" s="13">
        <f t="array" ref="I45">ROUND(MAX(ABS(INDEX($B$3:$G$12,ROW()-44,0)-INDEX($B$3:$G$12,COLUMN()-1,0))),6)</f>
        <v/>
      </c>
      <c r="J45" s="13">
        <f t="array" ref="J45">ROUND(MAX(ABS(INDEX($B$3:$G$12,ROW()-44,0)-INDEX($B$3:$G$12,COLUMN()-1,0))),6)</f>
        <v/>
      </c>
      <c r="K45" s="13">
        <f t="array" ref="K45">ROUND(MAX(ABS(INDEX($B$3:$G$12,ROW()-44,0)-INDEX($B$3:$G$12,COLUMN()-1,0))),6)</f>
        <v/>
      </c>
    </row>
    <row r="46" ht="15" customHeight="1">
      <c r="A46" s="4" t="n"/>
      <c r="B46" s="13">
        <f t="array" ref="B46">ROUND(MAX(ABS(INDEX($B$3:$G$12,ROW()-44,0)-INDEX($B$3:$G$12,COLUMN()-1,0))),6)</f>
        <v/>
      </c>
      <c r="C46" s="13">
        <f t="array" ref="C46">ROUND(MAX(ABS(INDEX($B$3:$G$12,ROW()-44,0)-INDEX($B$3:$G$12,COLUMN()-1,0))),6)</f>
        <v/>
      </c>
      <c r="D46" s="13">
        <f t="array" ref="D46">ROUND(MAX(ABS(INDEX($B$3:$G$12,ROW()-44,0)-INDEX($B$3:$G$12,COLUMN()-1,0))),6)</f>
        <v/>
      </c>
      <c r="E46" s="13">
        <f t="array" ref="E46">ROUND(MAX(ABS(INDEX($B$3:$G$12,ROW()-44,0)-INDEX($B$3:$G$12,COLUMN()-1,0))),6)</f>
        <v/>
      </c>
      <c r="F46" s="13">
        <f t="array" ref="F46">ROUND(MAX(ABS(INDEX($B$3:$G$12,ROW()-44,0)-INDEX($B$3:$G$12,COLUMN()-1,0))),6)</f>
        <v/>
      </c>
      <c r="G46" s="13">
        <f t="array" ref="G46">ROUND(MAX(ABS(INDEX($B$3:$G$12,ROW()-44,0)-INDEX($B$3:$G$12,COLUMN()-1,0))),6)</f>
        <v/>
      </c>
      <c r="H46" s="13">
        <f t="array" ref="H46">ROUND(MAX(ABS(INDEX($B$3:$G$12,ROW()-44,0)-INDEX($B$3:$G$12,COLUMN()-1,0))),6)</f>
        <v/>
      </c>
      <c r="I46" s="13">
        <f t="array" ref="I46">ROUND(MAX(ABS(INDEX($B$3:$G$12,ROW()-44,0)-INDEX($B$3:$G$12,COLUMN()-1,0))),6)</f>
        <v/>
      </c>
      <c r="J46" s="13">
        <f t="array" ref="J46">ROUND(MAX(ABS(INDEX($B$3:$G$12,ROW()-44,0)-INDEX($B$3:$G$12,COLUMN()-1,0))),6)</f>
        <v/>
      </c>
      <c r="K46" s="13">
        <f t="array" ref="K46">ROUND(MAX(ABS(INDEX($B$3:$G$12,ROW()-44,0)-INDEX($B$3:$G$12,COLUMN()-1,0))),6)</f>
        <v/>
      </c>
    </row>
    <row r="47" ht="15" customHeight="1">
      <c r="A47" s="4" t="n"/>
      <c r="B47" s="13">
        <f t="array" ref="B47">ROUND(MAX(ABS(INDEX($B$3:$G$12,ROW()-44,0)-INDEX($B$3:$G$12,COLUMN()-1,0))),6)</f>
        <v/>
      </c>
      <c r="C47" s="13">
        <f t="array" ref="C47">ROUND(MAX(ABS(INDEX($B$3:$G$12,ROW()-44,0)-INDEX($B$3:$G$12,COLUMN()-1,0))),6)</f>
        <v/>
      </c>
      <c r="D47" s="13">
        <f t="array" ref="D47">ROUND(MAX(ABS(INDEX($B$3:$G$12,ROW()-44,0)-INDEX($B$3:$G$12,COLUMN()-1,0))),6)</f>
        <v/>
      </c>
      <c r="E47" s="13">
        <f t="array" ref="E47">ROUND(MAX(ABS(INDEX($B$3:$G$12,ROW()-44,0)-INDEX($B$3:$G$12,COLUMN()-1,0))),6)</f>
        <v/>
      </c>
      <c r="F47" s="13">
        <f t="array" ref="F47">ROUND(MAX(ABS(INDEX($B$3:$G$12,ROW()-44,0)-INDEX($B$3:$G$12,COLUMN()-1,0))),6)</f>
        <v/>
      </c>
      <c r="G47" s="13">
        <f t="array" ref="G47">ROUND(MAX(ABS(INDEX($B$3:$G$12,ROW()-44,0)-INDEX($B$3:$G$12,COLUMN()-1,0))),6)</f>
        <v/>
      </c>
      <c r="H47" s="13">
        <f t="array" ref="H47">ROUND(MAX(ABS(INDEX($B$3:$G$12,ROW()-44,0)-INDEX($B$3:$G$12,COLUMN()-1,0))),6)</f>
        <v/>
      </c>
      <c r="I47" s="13">
        <f t="array" ref="I47">ROUND(MAX(ABS(INDEX($B$3:$G$12,ROW()-44,0)-INDEX($B$3:$G$12,COLUMN()-1,0))),6)</f>
        <v/>
      </c>
      <c r="J47" s="13">
        <f t="array" ref="J47">ROUND(MAX(ABS(INDEX($B$3:$G$12,ROW()-44,0)-INDEX($B$3:$G$12,COLUMN()-1,0))),6)</f>
        <v/>
      </c>
      <c r="K47" s="13">
        <f t="array" ref="K47">ROUND(MAX(ABS(INDEX($B$3:$G$12,ROW()-44,0)-INDEX($B$3:$G$12,COLUMN()-1,0))),6)</f>
        <v/>
      </c>
    </row>
    <row r="48" ht="15" customHeight="1">
      <c r="A48" s="4" t="n"/>
      <c r="B48" s="13">
        <f t="array" ref="B48">ROUND(MAX(ABS(INDEX($B$3:$G$12,ROW()-44,0)-INDEX($B$3:$G$12,COLUMN()-1,0))),6)</f>
        <v/>
      </c>
      <c r="C48" s="13">
        <f t="array" ref="C48">ROUND(MAX(ABS(INDEX($B$3:$G$12,ROW()-44,0)-INDEX($B$3:$G$12,COLUMN()-1,0))),6)</f>
        <v/>
      </c>
      <c r="D48" s="13">
        <f t="array" ref="D48">ROUND(MAX(ABS(INDEX($B$3:$G$12,ROW()-44,0)-INDEX($B$3:$G$12,COLUMN()-1,0))),6)</f>
        <v/>
      </c>
      <c r="E48" s="13">
        <f t="array" ref="E48">ROUND(MAX(ABS(INDEX($B$3:$G$12,ROW()-44,0)-INDEX($B$3:$G$12,COLUMN()-1,0))),6)</f>
        <v/>
      </c>
      <c r="F48" s="13">
        <f t="array" ref="F48">ROUND(MAX(ABS(INDEX($B$3:$G$12,ROW()-44,0)-INDEX($B$3:$G$12,COLUMN()-1,0))),6)</f>
        <v/>
      </c>
      <c r="G48" s="13">
        <f t="array" ref="G48">ROUND(MAX(ABS(INDEX($B$3:$G$12,ROW()-44,0)-INDEX($B$3:$G$12,COLUMN()-1,0))),6)</f>
        <v/>
      </c>
      <c r="H48" s="13">
        <f t="array" ref="H48">ROUND(MAX(ABS(INDEX($B$3:$G$12,ROW()-44,0)-INDEX($B$3:$G$12,COLUMN()-1,0))),6)</f>
        <v/>
      </c>
      <c r="I48" s="13">
        <f t="array" ref="I48">ROUND(MAX(ABS(INDEX($B$3:$G$12,ROW()-44,0)-INDEX($B$3:$G$12,COLUMN()-1,0))),6)</f>
        <v/>
      </c>
      <c r="J48" s="13">
        <f t="array" ref="J48">ROUND(MAX(ABS(INDEX($B$3:$G$12,ROW()-44,0)-INDEX($B$3:$G$12,COLUMN()-1,0))),6)</f>
        <v/>
      </c>
      <c r="K48" s="13">
        <f t="array" ref="K48">ROUND(MAX(ABS(INDEX($B$3:$G$12,ROW()-44,0)-INDEX($B$3:$G$12,COLUMN()-1,0))),6)</f>
        <v/>
      </c>
    </row>
    <row r="49" ht="15" customHeight="1">
      <c r="A49" s="4" t="n"/>
      <c r="B49" s="13">
        <f t="array" ref="B49">ROUND(MAX(ABS(INDEX($B$3:$G$12,ROW()-44,0)-INDEX($B$3:$G$12,COLUMN()-1,0))),6)</f>
        <v/>
      </c>
      <c r="C49" s="13">
        <f t="array" ref="C49">ROUND(MAX(ABS(INDEX($B$3:$G$12,ROW()-44,0)-INDEX($B$3:$G$12,COLUMN()-1,0))),6)</f>
        <v/>
      </c>
      <c r="D49" s="13">
        <f t="array" ref="D49">ROUND(MAX(ABS(INDEX($B$3:$G$12,ROW()-44,0)-INDEX($B$3:$G$12,COLUMN()-1,0))),6)</f>
        <v/>
      </c>
      <c r="E49" s="13">
        <f t="array" ref="E49">ROUND(MAX(ABS(INDEX($B$3:$G$12,ROW()-44,0)-INDEX($B$3:$G$12,COLUMN()-1,0))),6)</f>
        <v/>
      </c>
      <c r="F49" s="13">
        <f t="array" ref="F49">ROUND(MAX(ABS(INDEX($B$3:$G$12,ROW()-44,0)-INDEX($B$3:$G$12,COLUMN()-1,0))),6)</f>
        <v/>
      </c>
      <c r="G49" s="13">
        <f t="array" ref="G49">ROUND(MAX(ABS(INDEX($B$3:$G$12,ROW()-44,0)-INDEX($B$3:$G$12,COLUMN()-1,0))),6)</f>
        <v/>
      </c>
      <c r="H49" s="13">
        <f t="array" ref="H49">ROUND(MAX(ABS(INDEX($B$3:$G$12,ROW()-44,0)-INDEX($B$3:$G$12,COLUMN()-1,0))),6)</f>
        <v/>
      </c>
      <c r="I49" s="13">
        <f t="array" ref="I49">ROUND(MAX(ABS(INDEX($B$3:$G$12,ROW()-44,0)-INDEX($B$3:$G$12,COLUMN()-1,0))),6)</f>
        <v/>
      </c>
      <c r="J49" s="13">
        <f t="array" ref="J49">ROUND(MAX(ABS(INDEX($B$3:$G$12,ROW()-44,0)-INDEX($B$3:$G$12,COLUMN()-1,0))),6)</f>
        <v/>
      </c>
      <c r="K49" s="13">
        <f t="array" ref="K49">ROUND(MAX(ABS(INDEX($B$3:$G$12,ROW()-44,0)-INDEX($B$3:$G$12,COLUMN()-1,0))),6)</f>
        <v/>
      </c>
    </row>
    <row r="50" ht="15" customHeight="1">
      <c r="A50" s="4" t="n"/>
      <c r="B50" s="13">
        <f t="array" ref="B50">ROUND(MAX(ABS(INDEX($B$3:$G$12,ROW()-44,0)-INDEX($B$3:$G$12,COLUMN()-1,0))),6)</f>
        <v/>
      </c>
      <c r="C50" s="13">
        <f t="array" ref="C50">ROUND(MAX(ABS(INDEX($B$3:$G$12,ROW()-44,0)-INDEX($B$3:$G$12,COLUMN()-1,0))),6)</f>
        <v/>
      </c>
      <c r="D50" s="13">
        <f t="array" ref="D50">ROUND(MAX(ABS(INDEX($B$3:$G$12,ROW()-44,0)-INDEX($B$3:$G$12,COLUMN()-1,0))),6)</f>
        <v/>
      </c>
      <c r="E50" s="13">
        <f t="array" ref="E50">ROUND(MAX(ABS(INDEX($B$3:$G$12,ROW()-44,0)-INDEX($B$3:$G$12,COLUMN()-1,0))),6)</f>
        <v/>
      </c>
      <c r="F50" s="13">
        <f t="array" ref="F50">ROUND(MAX(ABS(INDEX($B$3:$G$12,ROW()-44,0)-INDEX($B$3:$G$12,COLUMN()-1,0))),6)</f>
        <v/>
      </c>
      <c r="G50" s="13">
        <f t="array" ref="G50">ROUND(MAX(ABS(INDEX($B$3:$G$12,ROW()-44,0)-INDEX($B$3:$G$12,COLUMN()-1,0))),6)</f>
        <v/>
      </c>
      <c r="H50" s="13">
        <f t="array" ref="H50">ROUND(MAX(ABS(INDEX($B$3:$G$12,ROW()-44,0)-INDEX($B$3:$G$12,COLUMN()-1,0))),6)</f>
        <v/>
      </c>
      <c r="I50" s="13">
        <f t="array" ref="I50">ROUND(MAX(ABS(INDEX($B$3:$G$12,ROW()-44,0)-INDEX($B$3:$G$12,COLUMN()-1,0))),6)</f>
        <v/>
      </c>
      <c r="J50" s="13">
        <f t="array" ref="J50">ROUND(MAX(ABS(INDEX($B$3:$G$12,ROW()-44,0)-INDEX($B$3:$G$12,COLUMN()-1,0))),6)</f>
        <v/>
      </c>
      <c r="K50" s="13">
        <f t="array" ref="K50">ROUND(MAX(ABS(INDEX($B$3:$G$12,ROW()-44,0)-INDEX($B$3:$G$12,COLUMN()-1,0))),6)</f>
        <v/>
      </c>
    </row>
    <row r="51" ht="15" customHeight="1">
      <c r="A51" s="4" t="n"/>
      <c r="B51" s="13">
        <f t="array" ref="B51">ROUND(MAX(ABS(INDEX($B$3:$G$12,ROW()-44,0)-INDEX($B$3:$G$12,COLUMN()-1,0))),6)</f>
        <v/>
      </c>
      <c r="C51" s="13">
        <f t="array" ref="C51">ROUND(MAX(ABS(INDEX($B$3:$G$12,ROW()-44,0)-INDEX($B$3:$G$12,COLUMN()-1,0))),6)</f>
        <v/>
      </c>
      <c r="D51" s="13">
        <f t="array" ref="D51">ROUND(MAX(ABS(INDEX($B$3:$G$12,ROW()-44,0)-INDEX($B$3:$G$12,COLUMN()-1,0))),6)</f>
        <v/>
      </c>
      <c r="E51" s="13">
        <f t="array" ref="E51">ROUND(MAX(ABS(INDEX($B$3:$G$12,ROW()-44,0)-INDEX($B$3:$G$12,COLUMN()-1,0))),6)</f>
        <v/>
      </c>
      <c r="F51" s="13">
        <f t="array" ref="F51">ROUND(MAX(ABS(INDEX($B$3:$G$12,ROW()-44,0)-INDEX($B$3:$G$12,COLUMN()-1,0))),6)</f>
        <v/>
      </c>
      <c r="G51" s="13">
        <f t="array" ref="G51">ROUND(MAX(ABS(INDEX($B$3:$G$12,ROW()-44,0)-INDEX($B$3:$G$12,COLUMN()-1,0))),6)</f>
        <v/>
      </c>
      <c r="H51" s="13">
        <f t="array" ref="H51">ROUND(MAX(ABS(INDEX($B$3:$G$12,ROW()-44,0)-INDEX($B$3:$G$12,COLUMN()-1,0))),6)</f>
        <v/>
      </c>
      <c r="I51" s="13">
        <f t="array" ref="I51">ROUND(MAX(ABS(INDEX($B$3:$G$12,ROW()-44,0)-INDEX($B$3:$G$12,COLUMN()-1,0))),6)</f>
        <v/>
      </c>
      <c r="J51" s="13">
        <f t="array" ref="J51">ROUND(MAX(ABS(INDEX($B$3:$G$12,ROW()-44,0)-INDEX($B$3:$G$12,COLUMN()-1,0))),6)</f>
        <v/>
      </c>
      <c r="K51" s="13">
        <f t="array" ref="K51">ROUND(MAX(ABS(INDEX($B$3:$G$12,ROW()-44,0)-INDEX($B$3:$G$12,COLUMN()-1,0))),6)</f>
        <v/>
      </c>
    </row>
    <row r="52" ht="15" customHeight="1">
      <c r="A52" s="4" t="n"/>
      <c r="B52" s="13">
        <f t="array" ref="B52">ROUND(MAX(ABS(INDEX($B$3:$G$12,ROW()-44,0)-INDEX($B$3:$G$12,COLUMN()-1,0))),6)</f>
        <v/>
      </c>
      <c r="C52" s="13">
        <f t="array" ref="C52">ROUND(MAX(ABS(INDEX($B$3:$G$12,ROW()-44,0)-INDEX($B$3:$G$12,COLUMN()-1,0))),6)</f>
        <v/>
      </c>
      <c r="D52" s="13">
        <f t="array" ref="D52">ROUND(MAX(ABS(INDEX($B$3:$G$12,ROW()-44,0)-INDEX($B$3:$G$12,COLUMN()-1,0))),6)</f>
        <v/>
      </c>
      <c r="E52" s="13">
        <f t="array" ref="E52">ROUND(MAX(ABS(INDEX($B$3:$G$12,ROW()-44,0)-INDEX($B$3:$G$12,COLUMN()-1,0))),6)</f>
        <v/>
      </c>
      <c r="F52" s="13">
        <f t="array" ref="F52">ROUND(MAX(ABS(INDEX($B$3:$G$12,ROW()-44,0)-INDEX($B$3:$G$12,COLUMN()-1,0))),6)</f>
        <v/>
      </c>
      <c r="G52" s="13">
        <f t="array" ref="G52">ROUND(MAX(ABS(INDEX($B$3:$G$12,ROW()-44,0)-INDEX($B$3:$G$12,COLUMN()-1,0))),6)</f>
        <v/>
      </c>
      <c r="H52" s="13">
        <f t="array" ref="H52">ROUND(MAX(ABS(INDEX($B$3:$G$12,ROW()-44,0)-INDEX($B$3:$G$12,COLUMN()-1,0))),6)</f>
        <v/>
      </c>
      <c r="I52" s="13">
        <f t="array" ref="I52">ROUND(MAX(ABS(INDEX($B$3:$G$12,ROW()-44,0)-INDEX($B$3:$G$12,COLUMN()-1,0))),6)</f>
        <v/>
      </c>
      <c r="J52" s="13">
        <f t="array" ref="J52">ROUND(MAX(ABS(INDEX($B$3:$G$12,ROW()-44,0)-INDEX($B$3:$G$12,COLUMN()-1,0))),6)</f>
        <v/>
      </c>
      <c r="K52" s="13">
        <f t="array" ref="K52">ROUND(MAX(ABS(INDEX($B$3:$G$12,ROW()-44,0)-INDEX($B$3:$G$12,COLUMN()-1,0))),6)</f>
        <v/>
      </c>
    </row>
    <row r="53" ht="15" customHeight="1">
      <c r="A53" s="4" t="n"/>
      <c r="B53" s="13">
        <f t="array" ref="B53">ROUND(MAX(ABS(INDEX($B$3:$G$12,ROW()-44,0)-INDEX($B$3:$G$12,COLUMN()-1,0))),6)</f>
        <v/>
      </c>
      <c r="C53" s="13">
        <f t="array" ref="C53">ROUND(MAX(ABS(INDEX($B$3:$G$12,ROW()-44,0)-INDEX($B$3:$G$12,COLUMN()-1,0))),6)</f>
        <v/>
      </c>
      <c r="D53" s="13">
        <f t="array" ref="D53">ROUND(MAX(ABS(INDEX($B$3:$G$12,ROW()-44,0)-INDEX($B$3:$G$12,COLUMN()-1,0))),6)</f>
        <v/>
      </c>
      <c r="E53" s="13">
        <f t="array" ref="E53">ROUND(MAX(ABS(INDEX($B$3:$G$12,ROW()-44,0)-INDEX($B$3:$G$12,COLUMN()-1,0))),6)</f>
        <v/>
      </c>
      <c r="F53" s="13">
        <f t="array" ref="F53">ROUND(MAX(ABS(INDEX($B$3:$G$12,ROW()-44,0)-INDEX($B$3:$G$12,COLUMN()-1,0))),6)</f>
        <v/>
      </c>
      <c r="G53" s="13">
        <f t="array" ref="G53">ROUND(MAX(ABS(INDEX($B$3:$G$12,ROW()-44,0)-INDEX($B$3:$G$12,COLUMN()-1,0))),6)</f>
        <v/>
      </c>
      <c r="H53" s="13">
        <f t="array" ref="H53">ROUND(MAX(ABS(INDEX($B$3:$G$12,ROW()-44,0)-INDEX($B$3:$G$12,COLUMN()-1,0))),6)</f>
        <v/>
      </c>
      <c r="I53" s="13">
        <f t="array" ref="I53">ROUND(MAX(ABS(INDEX($B$3:$G$12,ROW()-44,0)-INDEX($B$3:$G$12,COLUMN()-1,0))),6)</f>
        <v/>
      </c>
      <c r="J53" s="13">
        <f t="array" ref="J53">ROUND(MAX(ABS(INDEX($B$3:$G$12,ROW()-44,0)-INDEX($B$3:$G$12,COLUMN()-1,0))),6)</f>
        <v/>
      </c>
      <c r="K53" s="13">
        <f t="array" ref="K53">ROUND(MAX(ABS(INDEX($B$3:$G$12,ROW()-44,0)-INDEX($B$3:$G$12,COLUMN()-1,0))),6)</f>
        <v/>
      </c>
    </row>
    <row r="54" ht="15" customHeight="1">
      <c r="A54" s="4" t="n"/>
      <c r="B54" s="13">
        <f t="array" ref="B54">ROUND(MAX(ABS(INDEX($B$3:$G$12,ROW()-44,0)-INDEX($B$3:$G$12,COLUMN()-1,0))),6)</f>
        <v/>
      </c>
      <c r="C54" s="13">
        <f t="array" ref="C54">ROUND(MAX(ABS(INDEX($B$3:$G$12,ROW()-44,0)-INDEX($B$3:$G$12,COLUMN()-1,0))),6)</f>
        <v/>
      </c>
      <c r="D54" s="13">
        <f t="array" ref="D54">ROUND(MAX(ABS(INDEX($B$3:$G$12,ROW()-44,0)-INDEX($B$3:$G$12,COLUMN()-1,0))),6)</f>
        <v/>
      </c>
      <c r="E54" s="13">
        <f t="array" ref="E54">ROUND(MAX(ABS(INDEX($B$3:$G$12,ROW()-44,0)-INDEX($B$3:$G$12,COLUMN()-1,0))),6)</f>
        <v/>
      </c>
      <c r="F54" s="13">
        <f t="array" ref="F54">ROUND(MAX(ABS(INDEX($B$3:$G$12,ROW()-44,0)-INDEX($B$3:$G$12,COLUMN()-1,0))),6)</f>
        <v/>
      </c>
      <c r="G54" s="13">
        <f t="array" ref="G54">ROUND(MAX(ABS(INDEX($B$3:$G$12,ROW()-44,0)-INDEX($B$3:$G$12,COLUMN()-1,0))),6)</f>
        <v/>
      </c>
      <c r="H54" s="13">
        <f t="array" ref="H54">ROUND(MAX(ABS(INDEX($B$3:$G$12,ROW()-44,0)-INDEX($B$3:$G$12,COLUMN()-1,0))),6)</f>
        <v/>
      </c>
      <c r="I54" s="13">
        <f t="array" ref="I54">ROUND(MAX(ABS(INDEX($B$3:$G$12,ROW()-44,0)-INDEX($B$3:$G$12,COLUMN()-1,0))),6)</f>
        <v/>
      </c>
      <c r="J54" s="13">
        <f t="array" ref="J54">ROUND(MAX(ABS(INDEX($B$3:$G$12,ROW()-44,0)-INDEX($B$3:$G$12,COLUMN()-1,0))),6)</f>
        <v/>
      </c>
      <c r="K54" s="13">
        <f t="array" ref="K54">ROUND(MAX(ABS(INDEX($B$3:$G$12,ROW()-44,0)-INDEX($B$3:$G$12,COLUMN()-1,0))),6)</f>
        <v/>
      </c>
    </row>
    <row r="55" ht="15" customHeight="1"/>
    <row r="56" ht="15" customHeight="1"/>
    <row r="57" ht="15" customHeight="1" thickBot="1"/>
    <row r="58" ht="15" customHeight="1">
      <c r="E58" s="102" t="inlineStr">
        <is>
          <t>Canberra distance</t>
        </is>
      </c>
      <c r="F58" s="108" t="n"/>
      <c r="G58" s="103" t="n"/>
    </row>
    <row r="59" ht="15" customHeight="1">
      <c r="E59" s="104" t="n"/>
      <c r="G59" s="105" t="n"/>
    </row>
    <row r="60" ht="15" customHeight="1">
      <c r="E60" s="104" t="n"/>
      <c r="G60" s="105" t="n"/>
    </row>
    <row r="61" ht="15" customHeight="1">
      <c r="E61" s="104" t="n"/>
      <c r="G61" s="105" t="n"/>
    </row>
    <row r="62" ht="15" customHeight="1" thickBot="1">
      <c r="E62" s="106" t="n"/>
      <c r="F62" s="48" t="n"/>
      <c r="G62" s="107" t="n"/>
    </row>
    <row r="63" ht="15" customHeight="1"/>
    <row r="64" ht="15" customHeight="1">
      <c r="A64" s="65" t="inlineStr">
        <is>
          <t>Canberra Distance Matrix of Dog-Wolf (10, 6, 2)</t>
        </is>
      </c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0" t="n"/>
      <c r="K64" s="101" t="n"/>
    </row>
    <row r="65" ht="15" customHeight="1">
      <c r="A65" s="3" t="inlineStr">
        <is>
          <t>№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15" customHeight="1">
      <c r="A66" s="4" t="n"/>
      <c r="B66" s="13">
        <f t="array" ref="B66">ROUND(SUMPRODUCT(ABS(INDEX($B$3:$G$12,ROW()-65,0)-INDEX($B$3:$G$12,COLUMN()-1,0))/(ABS(INDEX($B$3:$G$12,ROW()-65,0))+ABS(INDEX($B$3:$G$12,COLUMN()-1,0)))),6)</f>
        <v/>
      </c>
      <c r="C66" s="13">
        <f t="array" ref="C66">ROUND(SUMPRODUCT(ABS(INDEX($B$3:$G$12,ROW()-65,0)-INDEX($B$3:$G$12,COLUMN()-1,0))/(ABS(INDEX($B$3:$G$12,ROW()-65,0))+ABS(INDEX($B$3:$G$12,COLUMN()-1,0)))),6)</f>
        <v/>
      </c>
      <c r="D66" s="13">
        <f t="array" ref="D66">ROUND(SUMPRODUCT(ABS(INDEX($B$3:$G$12,ROW()-65,0)-INDEX($B$3:$G$12,COLUMN()-1,0))/(ABS(INDEX($B$3:$G$12,ROW()-65,0))+ABS(INDEX($B$3:$G$12,COLUMN()-1,0)))),6)</f>
        <v/>
      </c>
      <c r="E66" s="13">
        <f t="array" ref="E66">ROUND(SUMPRODUCT(ABS(INDEX($B$3:$G$12,ROW()-65,0)-INDEX($B$3:$G$12,COLUMN()-1,0))/(ABS(INDEX($B$3:$G$12,ROW()-65,0))+ABS(INDEX($B$3:$G$12,COLUMN()-1,0)))),6)</f>
        <v/>
      </c>
      <c r="F66" s="13">
        <f t="array" ref="F66">ROUND(SUMPRODUCT(ABS(INDEX($B$3:$G$12,ROW()-65,0)-INDEX($B$3:$G$12,COLUMN()-1,0))/(ABS(INDEX($B$3:$G$12,ROW()-65,0))+ABS(INDEX($B$3:$G$12,COLUMN()-1,0)))),6)</f>
        <v/>
      </c>
      <c r="G66" s="13">
        <f t="array" ref="G66">ROUND(SUMPRODUCT(ABS(INDEX($B$3:$G$12,ROW()-65,0)-INDEX($B$3:$G$12,COLUMN()-1,0))/(ABS(INDEX($B$3:$G$12,ROW()-65,0))+ABS(INDEX($B$3:$G$12,COLUMN()-1,0)))),6)</f>
        <v/>
      </c>
      <c r="H66" s="13">
        <f t="array" ref="H66">ROUND(SUMPRODUCT(ABS(INDEX($B$3:$G$12,ROW()-65,0)-INDEX($B$3:$G$12,COLUMN()-1,0))/(ABS(INDEX($B$3:$G$12,ROW()-65,0))+ABS(INDEX($B$3:$G$12,COLUMN()-1,0)))),6)</f>
        <v/>
      </c>
      <c r="I66" s="13">
        <f t="array" ref="I66">ROUND(SUMPRODUCT(ABS(INDEX($B$3:$G$12,ROW()-65,0)-INDEX($B$3:$G$12,COLUMN()-1,0))/(ABS(INDEX($B$3:$G$12,ROW()-65,0))+ABS(INDEX($B$3:$G$12,COLUMN()-1,0)))),6)</f>
        <v/>
      </c>
      <c r="J66" s="13">
        <f t="array" ref="J66">ROUND(SUMPRODUCT(ABS(INDEX($B$3:$G$12,ROW()-65,0)-INDEX($B$3:$G$12,COLUMN()-1,0))/(ABS(INDEX($B$3:$G$12,ROW()-65,0))+ABS(INDEX($B$3:$G$12,COLUMN()-1,0)))),6)</f>
        <v/>
      </c>
      <c r="K66" s="13">
        <f t="array" ref="K66">ROUND(SUMPRODUCT(ABS(INDEX($B$3:$G$12,ROW()-65,0)-INDEX($B$3:$G$12,COLUMN()-1,0))/(ABS(INDEX($B$3:$G$12,ROW()-65,0))+ABS(INDEX($B$3:$G$12,COLUMN()-1,0)))),6)</f>
        <v/>
      </c>
    </row>
    <row r="67" ht="15" customHeight="1">
      <c r="A67" s="4" t="n"/>
      <c r="B67" s="13">
        <f t="array" ref="B67">ROUND(SUMPRODUCT(ABS(INDEX($B$3:$G$12,ROW()-65,0)-INDEX($B$3:$G$12,COLUMN()-1,0))/(ABS(INDEX($B$3:$G$12,ROW()-65,0))+ABS(INDEX($B$3:$G$12,COLUMN()-1,0)))),6)</f>
        <v/>
      </c>
      <c r="C67" s="13">
        <f t="array" ref="C67">ROUND(SUMPRODUCT(ABS(INDEX($B$3:$G$12,ROW()-65,0)-INDEX($B$3:$G$12,COLUMN()-1,0))/(ABS(INDEX($B$3:$G$12,ROW()-65,0))+ABS(INDEX($B$3:$G$12,COLUMN()-1,0)))),6)</f>
        <v/>
      </c>
      <c r="D67" s="13">
        <f t="array" ref="D67">ROUND(SUMPRODUCT(ABS(INDEX($B$3:$G$12,ROW()-65,0)-INDEX($B$3:$G$12,COLUMN()-1,0))/(ABS(INDEX($B$3:$G$12,ROW()-65,0))+ABS(INDEX($B$3:$G$12,COLUMN()-1,0)))),6)</f>
        <v/>
      </c>
      <c r="E67" s="13">
        <f t="array" ref="E67">ROUND(SUMPRODUCT(ABS(INDEX($B$3:$G$12,ROW()-65,0)-INDEX($B$3:$G$12,COLUMN()-1,0))/(ABS(INDEX($B$3:$G$12,ROW()-65,0))+ABS(INDEX($B$3:$G$12,COLUMN()-1,0)))),6)</f>
        <v/>
      </c>
      <c r="F67" s="13">
        <f t="array" ref="F67">ROUND(SUMPRODUCT(ABS(INDEX($B$3:$G$12,ROW()-65,0)-INDEX($B$3:$G$12,COLUMN()-1,0))/(ABS(INDEX($B$3:$G$12,ROW()-65,0))+ABS(INDEX($B$3:$G$12,COLUMN()-1,0)))),6)</f>
        <v/>
      </c>
      <c r="G67" s="13">
        <f t="array" ref="G67">ROUND(SUMPRODUCT(ABS(INDEX($B$3:$G$12,ROW()-65,0)-INDEX($B$3:$G$12,COLUMN()-1,0))/(ABS(INDEX($B$3:$G$12,ROW()-65,0))+ABS(INDEX($B$3:$G$12,COLUMN()-1,0)))),6)</f>
        <v/>
      </c>
      <c r="H67" s="13">
        <f t="array" ref="H67">ROUND(SUMPRODUCT(ABS(INDEX($B$3:$G$12,ROW()-65,0)-INDEX($B$3:$G$12,COLUMN()-1,0))/(ABS(INDEX($B$3:$G$12,ROW()-65,0))+ABS(INDEX($B$3:$G$12,COLUMN()-1,0)))),6)</f>
        <v/>
      </c>
      <c r="I67" s="13">
        <f t="array" ref="I67">ROUND(SUMPRODUCT(ABS(INDEX($B$3:$G$12,ROW()-65,0)-INDEX($B$3:$G$12,COLUMN()-1,0))/(ABS(INDEX($B$3:$G$12,ROW()-65,0))+ABS(INDEX($B$3:$G$12,COLUMN()-1,0)))),6)</f>
        <v/>
      </c>
      <c r="J67" s="13">
        <f t="array" ref="J67">ROUND(SUMPRODUCT(ABS(INDEX($B$3:$G$12,ROW()-65,0)-INDEX($B$3:$G$12,COLUMN()-1,0))/(ABS(INDEX($B$3:$G$12,ROW()-65,0))+ABS(INDEX($B$3:$G$12,COLUMN()-1,0)))),6)</f>
        <v/>
      </c>
      <c r="K67" s="13">
        <f t="array" ref="K67">ROUND(SUMPRODUCT(ABS(INDEX($B$3:$G$12,ROW()-65,0)-INDEX($B$3:$G$12,COLUMN()-1,0))/(ABS(INDEX($B$3:$G$12,ROW()-65,0))+ABS(INDEX($B$3:$G$12,COLUMN()-1,0)))),6)</f>
        <v/>
      </c>
    </row>
    <row r="68" ht="15" customHeight="1">
      <c r="A68" s="4" t="n"/>
      <c r="B68" s="13">
        <f t="array" ref="B68">ROUND(SUMPRODUCT(ABS(INDEX($B$3:$G$12,ROW()-65,0)-INDEX($B$3:$G$12,COLUMN()-1,0))/(ABS(INDEX($B$3:$G$12,ROW()-65,0))+ABS(INDEX($B$3:$G$12,COLUMN()-1,0)))),6)</f>
        <v/>
      </c>
      <c r="C68" s="13">
        <f t="array" ref="C68">ROUND(SUMPRODUCT(ABS(INDEX($B$3:$G$12,ROW()-65,0)-INDEX($B$3:$G$12,COLUMN()-1,0))/(ABS(INDEX($B$3:$G$12,ROW()-65,0))+ABS(INDEX($B$3:$G$12,COLUMN()-1,0)))),6)</f>
        <v/>
      </c>
      <c r="D68" s="13">
        <f t="array" ref="D68">ROUND(SUMPRODUCT(ABS(INDEX($B$3:$G$12,ROW()-65,0)-INDEX($B$3:$G$12,COLUMN()-1,0))/(ABS(INDEX($B$3:$G$12,ROW()-65,0))+ABS(INDEX($B$3:$G$12,COLUMN()-1,0)))),6)</f>
        <v/>
      </c>
      <c r="E68" s="13">
        <f t="array" ref="E68">ROUND(SUMPRODUCT(ABS(INDEX($B$3:$G$12,ROW()-65,0)-INDEX($B$3:$G$12,COLUMN()-1,0))/(ABS(INDEX($B$3:$G$12,ROW()-65,0))+ABS(INDEX($B$3:$G$12,COLUMN()-1,0)))),6)</f>
        <v/>
      </c>
      <c r="F68" s="13">
        <f t="array" ref="F68">ROUND(SUMPRODUCT(ABS(INDEX($B$3:$G$12,ROW()-65,0)-INDEX($B$3:$G$12,COLUMN()-1,0))/(ABS(INDEX($B$3:$G$12,ROW()-65,0))+ABS(INDEX($B$3:$G$12,COLUMN()-1,0)))),6)</f>
        <v/>
      </c>
      <c r="G68" s="13">
        <f t="array" ref="G68">ROUND(SUMPRODUCT(ABS(INDEX($B$3:$G$12,ROW()-65,0)-INDEX($B$3:$G$12,COLUMN()-1,0))/(ABS(INDEX($B$3:$G$12,ROW()-65,0))+ABS(INDEX($B$3:$G$12,COLUMN()-1,0)))),6)</f>
        <v/>
      </c>
      <c r="H68" s="13">
        <f t="array" ref="H68">ROUND(SUMPRODUCT(ABS(INDEX($B$3:$G$12,ROW()-65,0)-INDEX($B$3:$G$12,COLUMN()-1,0))/(ABS(INDEX($B$3:$G$12,ROW()-65,0))+ABS(INDEX($B$3:$G$12,COLUMN()-1,0)))),6)</f>
        <v/>
      </c>
      <c r="I68" s="13">
        <f t="array" ref="I68">ROUND(SUMPRODUCT(ABS(INDEX($B$3:$G$12,ROW()-65,0)-INDEX($B$3:$G$12,COLUMN()-1,0))/(ABS(INDEX($B$3:$G$12,ROW()-65,0))+ABS(INDEX($B$3:$G$12,COLUMN()-1,0)))),6)</f>
        <v/>
      </c>
      <c r="J68" s="13">
        <f t="array" ref="J68">ROUND(SUMPRODUCT(ABS(INDEX($B$3:$G$12,ROW()-65,0)-INDEX($B$3:$G$12,COLUMN()-1,0))/(ABS(INDEX($B$3:$G$12,ROW()-65,0))+ABS(INDEX($B$3:$G$12,COLUMN()-1,0)))),6)</f>
        <v/>
      </c>
      <c r="K68" s="13">
        <f t="array" ref="K68">ROUND(SUMPRODUCT(ABS(INDEX($B$3:$G$12,ROW()-65,0)-INDEX($B$3:$G$12,COLUMN()-1,0))/(ABS(INDEX($B$3:$G$12,ROW()-65,0))+ABS(INDEX($B$3:$G$12,COLUMN()-1,0)))),6)</f>
        <v/>
      </c>
    </row>
    <row r="69" ht="15" customHeight="1">
      <c r="A69" s="4" t="n"/>
      <c r="B69" s="13">
        <f t="array" ref="B69">ROUND(SUMPRODUCT(ABS(INDEX($B$3:$G$12,ROW()-65,0)-INDEX($B$3:$G$12,COLUMN()-1,0))/(ABS(INDEX($B$3:$G$12,ROW()-65,0))+ABS(INDEX($B$3:$G$12,COLUMN()-1,0)))),6)</f>
        <v/>
      </c>
      <c r="C69" s="13">
        <f t="array" ref="C69">ROUND(SUMPRODUCT(ABS(INDEX($B$3:$G$12,ROW()-65,0)-INDEX($B$3:$G$12,COLUMN()-1,0))/(ABS(INDEX($B$3:$G$12,ROW()-65,0))+ABS(INDEX($B$3:$G$12,COLUMN()-1,0)))),6)</f>
        <v/>
      </c>
      <c r="D69" s="13">
        <f t="array" ref="D69">ROUND(SUMPRODUCT(ABS(INDEX($B$3:$G$12,ROW()-65,0)-INDEX($B$3:$G$12,COLUMN()-1,0))/(ABS(INDEX($B$3:$G$12,ROW()-65,0))+ABS(INDEX($B$3:$G$12,COLUMN()-1,0)))),6)</f>
        <v/>
      </c>
      <c r="E69" s="13">
        <f t="array" ref="E69">ROUND(SUMPRODUCT(ABS(INDEX($B$3:$G$12,ROW()-65,0)-INDEX($B$3:$G$12,COLUMN()-1,0))/(ABS(INDEX($B$3:$G$12,ROW()-65,0))+ABS(INDEX($B$3:$G$12,COLUMN()-1,0)))),6)</f>
        <v/>
      </c>
      <c r="F69" s="13">
        <f t="array" ref="F69">ROUND(SUMPRODUCT(ABS(INDEX($B$3:$G$12,ROW()-65,0)-INDEX($B$3:$G$12,COLUMN()-1,0))/(ABS(INDEX($B$3:$G$12,ROW()-65,0))+ABS(INDEX($B$3:$G$12,COLUMN()-1,0)))),6)</f>
        <v/>
      </c>
      <c r="G69" s="13">
        <f t="array" ref="G69">ROUND(SUMPRODUCT(ABS(INDEX($B$3:$G$12,ROW()-65,0)-INDEX($B$3:$G$12,COLUMN()-1,0))/(ABS(INDEX($B$3:$G$12,ROW()-65,0))+ABS(INDEX($B$3:$G$12,COLUMN()-1,0)))),6)</f>
        <v/>
      </c>
      <c r="H69" s="13">
        <f t="array" ref="H69">ROUND(SUMPRODUCT(ABS(INDEX($B$3:$G$12,ROW()-65,0)-INDEX($B$3:$G$12,COLUMN()-1,0))/(ABS(INDEX($B$3:$G$12,ROW()-65,0))+ABS(INDEX($B$3:$G$12,COLUMN()-1,0)))),6)</f>
        <v/>
      </c>
      <c r="I69" s="13">
        <f t="array" ref="I69">ROUND(SUMPRODUCT(ABS(INDEX($B$3:$G$12,ROW()-65,0)-INDEX($B$3:$G$12,COLUMN()-1,0))/(ABS(INDEX($B$3:$G$12,ROW()-65,0))+ABS(INDEX($B$3:$G$12,COLUMN()-1,0)))),6)</f>
        <v/>
      </c>
      <c r="J69" s="13">
        <f t="array" ref="J69">ROUND(SUMPRODUCT(ABS(INDEX($B$3:$G$12,ROW()-65,0)-INDEX($B$3:$G$12,COLUMN()-1,0))/(ABS(INDEX($B$3:$G$12,ROW()-65,0))+ABS(INDEX($B$3:$G$12,COLUMN()-1,0)))),6)</f>
        <v/>
      </c>
      <c r="K69" s="13">
        <f t="array" ref="K69">ROUND(SUMPRODUCT(ABS(INDEX($B$3:$G$12,ROW()-65,0)-INDEX($B$3:$G$12,COLUMN()-1,0))/(ABS(INDEX($B$3:$G$12,ROW()-65,0))+ABS(INDEX($B$3:$G$12,COLUMN()-1,0)))),6)</f>
        <v/>
      </c>
    </row>
    <row r="70" ht="15" customHeight="1">
      <c r="A70" s="4" t="n"/>
      <c r="B70" s="13">
        <f t="array" ref="B70">ROUND(SUMPRODUCT(ABS(INDEX($B$3:$G$12,ROW()-65,0)-INDEX($B$3:$G$12,COLUMN()-1,0))/(ABS(INDEX($B$3:$G$12,ROW()-65,0))+ABS(INDEX($B$3:$G$12,COLUMN()-1,0)))),6)</f>
        <v/>
      </c>
      <c r="C70" s="13">
        <f t="array" ref="C70">ROUND(SUMPRODUCT(ABS(INDEX($B$3:$G$12,ROW()-65,0)-INDEX($B$3:$G$12,COLUMN()-1,0))/(ABS(INDEX($B$3:$G$12,ROW()-65,0))+ABS(INDEX($B$3:$G$12,COLUMN()-1,0)))),6)</f>
        <v/>
      </c>
      <c r="D70" s="13">
        <f t="array" ref="D70">ROUND(SUMPRODUCT(ABS(INDEX($B$3:$G$12,ROW()-65,0)-INDEX($B$3:$G$12,COLUMN()-1,0))/(ABS(INDEX($B$3:$G$12,ROW()-65,0))+ABS(INDEX($B$3:$G$12,COLUMN()-1,0)))),6)</f>
        <v/>
      </c>
      <c r="E70" s="13">
        <f t="array" ref="E70">ROUND(SUMPRODUCT(ABS(INDEX($B$3:$G$12,ROW()-65,0)-INDEX($B$3:$G$12,COLUMN()-1,0))/(ABS(INDEX($B$3:$G$12,ROW()-65,0))+ABS(INDEX($B$3:$G$12,COLUMN()-1,0)))),6)</f>
        <v/>
      </c>
      <c r="F70" s="13">
        <f t="array" ref="F70">ROUND(SUMPRODUCT(ABS(INDEX($B$3:$G$12,ROW()-65,0)-INDEX($B$3:$G$12,COLUMN()-1,0))/(ABS(INDEX($B$3:$G$12,ROW()-65,0))+ABS(INDEX($B$3:$G$12,COLUMN()-1,0)))),6)</f>
        <v/>
      </c>
      <c r="G70" s="13">
        <f t="array" ref="G70">ROUND(SUMPRODUCT(ABS(INDEX($B$3:$G$12,ROW()-65,0)-INDEX($B$3:$G$12,COLUMN()-1,0))/(ABS(INDEX($B$3:$G$12,ROW()-65,0))+ABS(INDEX($B$3:$G$12,COLUMN()-1,0)))),6)</f>
        <v/>
      </c>
      <c r="H70" s="13">
        <f t="array" ref="H70">ROUND(SUMPRODUCT(ABS(INDEX($B$3:$G$12,ROW()-65,0)-INDEX($B$3:$G$12,COLUMN()-1,0))/(ABS(INDEX($B$3:$G$12,ROW()-65,0))+ABS(INDEX($B$3:$G$12,COLUMN()-1,0)))),6)</f>
        <v/>
      </c>
      <c r="I70" s="13">
        <f t="array" ref="I70">ROUND(SUMPRODUCT(ABS(INDEX($B$3:$G$12,ROW()-65,0)-INDEX($B$3:$G$12,COLUMN()-1,0))/(ABS(INDEX($B$3:$G$12,ROW()-65,0))+ABS(INDEX($B$3:$G$12,COLUMN()-1,0)))),6)</f>
        <v/>
      </c>
      <c r="J70" s="13">
        <f t="array" ref="J70">ROUND(SUMPRODUCT(ABS(INDEX($B$3:$G$12,ROW()-65,0)-INDEX($B$3:$G$12,COLUMN()-1,0))/(ABS(INDEX($B$3:$G$12,ROW()-65,0))+ABS(INDEX($B$3:$G$12,COLUMN()-1,0)))),6)</f>
        <v/>
      </c>
      <c r="K70" s="13">
        <f t="array" ref="K70">ROUND(SUMPRODUCT(ABS(INDEX($B$3:$G$12,ROW()-65,0)-INDEX($B$3:$G$12,COLUMN()-1,0))/(ABS(INDEX($B$3:$G$12,ROW()-65,0))+ABS(INDEX($B$3:$G$12,COLUMN()-1,0)))),6)</f>
        <v/>
      </c>
    </row>
    <row r="71" ht="15" customHeight="1">
      <c r="A71" s="4" t="n"/>
      <c r="B71" s="13">
        <f t="array" ref="B71">ROUND(SUMPRODUCT(ABS(INDEX($B$3:$G$12,ROW()-65,0)-INDEX($B$3:$G$12,COLUMN()-1,0))/(ABS(INDEX($B$3:$G$12,ROW()-65,0))+ABS(INDEX($B$3:$G$12,COLUMN()-1,0)))),6)</f>
        <v/>
      </c>
      <c r="C71" s="13">
        <f t="array" ref="C71">ROUND(SUMPRODUCT(ABS(INDEX($B$3:$G$12,ROW()-65,0)-INDEX($B$3:$G$12,COLUMN()-1,0))/(ABS(INDEX($B$3:$G$12,ROW()-65,0))+ABS(INDEX($B$3:$G$12,COLUMN()-1,0)))),6)</f>
        <v/>
      </c>
      <c r="D71" s="13">
        <f t="array" ref="D71">ROUND(SUMPRODUCT(ABS(INDEX($B$3:$G$12,ROW()-65,0)-INDEX($B$3:$G$12,COLUMN()-1,0))/(ABS(INDEX($B$3:$G$12,ROW()-65,0))+ABS(INDEX($B$3:$G$12,COLUMN()-1,0)))),6)</f>
        <v/>
      </c>
      <c r="E71" s="13">
        <f t="array" ref="E71">ROUND(SUMPRODUCT(ABS(INDEX($B$3:$G$12,ROW()-65,0)-INDEX($B$3:$G$12,COLUMN()-1,0))/(ABS(INDEX($B$3:$G$12,ROW()-65,0))+ABS(INDEX($B$3:$G$12,COLUMN()-1,0)))),6)</f>
        <v/>
      </c>
      <c r="F71" s="13">
        <f t="array" ref="F71">ROUND(SUMPRODUCT(ABS(INDEX($B$3:$G$12,ROW()-65,0)-INDEX($B$3:$G$12,COLUMN()-1,0))/(ABS(INDEX($B$3:$G$12,ROW()-65,0))+ABS(INDEX($B$3:$G$12,COLUMN()-1,0)))),6)</f>
        <v/>
      </c>
      <c r="G71" s="13">
        <f t="array" ref="G71">ROUND(SUMPRODUCT(ABS(INDEX($B$3:$G$12,ROW()-65,0)-INDEX($B$3:$G$12,COLUMN()-1,0))/(ABS(INDEX($B$3:$G$12,ROW()-65,0))+ABS(INDEX($B$3:$G$12,COLUMN()-1,0)))),6)</f>
        <v/>
      </c>
      <c r="H71" s="13">
        <f t="array" ref="H71">ROUND(SUMPRODUCT(ABS(INDEX($B$3:$G$12,ROW()-65,0)-INDEX($B$3:$G$12,COLUMN()-1,0))/(ABS(INDEX($B$3:$G$12,ROW()-65,0))+ABS(INDEX($B$3:$G$12,COLUMN()-1,0)))),6)</f>
        <v/>
      </c>
      <c r="I71" s="13">
        <f t="array" ref="I71">ROUND(SUMPRODUCT(ABS(INDEX($B$3:$G$12,ROW()-65,0)-INDEX($B$3:$G$12,COLUMN()-1,0))/(ABS(INDEX($B$3:$G$12,ROW()-65,0))+ABS(INDEX($B$3:$G$12,COLUMN()-1,0)))),6)</f>
        <v/>
      </c>
      <c r="J71" s="13">
        <f t="array" ref="J71">ROUND(SUMPRODUCT(ABS(INDEX($B$3:$G$12,ROW()-65,0)-INDEX($B$3:$G$12,COLUMN()-1,0))/(ABS(INDEX($B$3:$G$12,ROW()-65,0))+ABS(INDEX($B$3:$G$12,COLUMN()-1,0)))),6)</f>
        <v/>
      </c>
      <c r="K71" s="13">
        <f t="array" ref="K71">ROUND(SUMPRODUCT(ABS(INDEX($B$3:$G$12,ROW()-65,0)-INDEX($B$3:$G$12,COLUMN()-1,0))/(ABS(INDEX($B$3:$G$12,ROW()-65,0))+ABS(INDEX($B$3:$G$12,COLUMN()-1,0)))),6)</f>
        <v/>
      </c>
    </row>
    <row r="72" ht="15" customHeight="1">
      <c r="A72" s="4" t="n"/>
      <c r="B72" s="13">
        <f t="array" ref="B72">ROUND(SUMPRODUCT(ABS(INDEX($B$3:$G$12,ROW()-65,0)-INDEX($B$3:$G$12,COLUMN()-1,0))/(ABS(INDEX($B$3:$G$12,ROW()-65,0))+ABS(INDEX($B$3:$G$12,COLUMN()-1,0)))),6)</f>
        <v/>
      </c>
      <c r="C72" s="13">
        <f t="array" ref="C72">ROUND(SUMPRODUCT(ABS(INDEX($B$3:$G$12,ROW()-65,0)-INDEX($B$3:$G$12,COLUMN()-1,0))/(ABS(INDEX($B$3:$G$12,ROW()-65,0))+ABS(INDEX($B$3:$G$12,COLUMN()-1,0)))),6)</f>
        <v/>
      </c>
      <c r="D72" s="13">
        <f t="array" ref="D72">ROUND(SUMPRODUCT(ABS(INDEX($B$3:$G$12,ROW()-65,0)-INDEX($B$3:$G$12,COLUMN()-1,0))/(ABS(INDEX($B$3:$G$12,ROW()-65,0))+ABS(INDEX($B$3:$G$12,COLUMN()-1,0)))),6)</f>
        <v/>
      </c>
      <c r="E72" s="13">
        <f t="array" ref="E72">ROUND(SUMPRODUCT(ABS(INDEX($B$3:$G$12,ROW()-65,0)-INDEX($B$3:$G$12,COLUMN()-1,0))/(ABS(INDEX($B$3:$G$12,ROW()-65,0))+ABS(INDEX($B$3:$G$12,COLUMN()-1,0)))),6)</f>
        <v/>
      </c>
      <c r="F72" s="13">
        <f t="array" ref="F72">ROUND(SUMPRODUCT(ABS(INDEX($B$3:$G$12,ROW()-65,0)-INDEX($B$3:$G$12,COLUMN()-1,0))/(ABS(INDEX($B$3:$G$12,ROW()-65,0))+ABS(INDEX($B$3:$G$12,COLUMN()-1,0)))),6)</f>
        <v/>
      </c>
      <c r="G72" s="13">
        <f t="array" ref="G72">ROUND(SUMPRODUCT(ABS(INDEX($B$3:$G$12,ROW()-65,0)-INDEX($B$3:$G$12,COLUMN()-1,0))/(ABS(INDEX($B$3:$G$12,ROW()-65,0))+ABS(INDEX($B$3:$G$12,COLUMN()-1,0)))),6)</f>
        <v/>
      </c>
      <c r="H72" s="13">
        <f t="array" ref="H72">ROUND(SUMPRODUCT(ABS(INDEX($B$3:$G$12,ROW()-65,0)-INDEX($B$3:$G$12,COLUMN()-1,0))/(ABS(INDEX($B$3:$G$12,ROW()-65,0))+ABS(INDEX($B$3:$G$12,COLUMN()-1,0)))),6)</f>
        <v/>
      </c>
      <c r="I72" s="13">
        <f t="array" ref="I72">ROUND(SUMPRODUCT(ABS(INDEX($B$3:$G$12,ROW()-65,0)-INDEX($B$3:$G$12,COLUMN()-1,0))/(ABS(INDEX($B$3:$G$12,ROW()-65,0))+ABS(INDEX($B$3:$G$12,COLUMN()-1,0)))),6)</f>
        <v/>
      </c>
      <c r="J72" s="13">
        <f t="array" ref="J72">ROUND(SUMPRODUCT(ABS(INDEX($B$3:$G$12,ROW()-65,0)-INDEX($B$3:$G$12,COLUMN()-1,0))/(ABS(INDEX($B$3:$G$12,ROW()-65,0))+ABS(INDEX($B$3:$G$12,COLUMN()-1,0)))),6)</f>
        <v/>
      </c>
      <c r="K72" s="13">
        <f t="array" ref="K72">ROUND(SUMPRODUCT(ABS(INDEX($B$3:$G$12,ROW()-65,0)-INDEX($B$3:$G$12,COLUMN()-1,0))/(ABS(INDEX($B$3:$G$12,ROW()-65,0))+ABS(INDEX($B$3:$G$12,COLUMN()-1,0)))),6)</f>
        <v/>
      </c>
    </row>
    <row r="73" ht="15" customHeight="1">
      <c r="A73" s="4" t="n"/>
      <c r="B73" s="13">
        <f t="array" ref="B73">ROUND(SUMPRODUCT(ABS(INDEX($B$3:$G$12,ROW()-65,0)-INDEX($B$3:$G$12,COLUMN()-1,0))/(ABS(INDEX($B$3:$G$12,ROW()-65,0))+ABS(INDEX($B$3:$G$12,COLUMN()-1,0)))),6)</f>
        <v/>
      </c>
      <c r="C73" s="13">
        <f t="array" ref="C73">ROUND(SUMPRODUCT(ABS(INDEX($B$3:$G$12,ROW()-65,0)-INDEX($B$3:$G$12,COLUMN()-1,0))/(ABS(INDEX($B$3:$G$12,ROW()-65,0))+ABS(INDEX($B$3:$G$12,COLUMN()-1,0)))),6)</f>
        <v/>
      </c>
      <c r="D73" s="13">
        <f t="array" ref="D73">ROUND(SUMPRODUCT(ABS(INDEX($B$3:$G$12,ROW()-65,0)-INDEX($B$3:$G$12,COLUMN()-1,0))/(ABS(INDEX($B$3:$G$12,ROW()-65,0))+ABS(INDEX($B$3:$G$12,COLUMN()-1,0)))),6)</f>
        <v/>
      </c>
      <c r="E73" s="13">
        <f t="array" ref="E73">ROUND(SUMPRODUCT(ABS(INDEX($B$3:$G$12,ROW()-65,0)-INDEX($B$3:$G$12,COLUMN()-1,0))/(ABS(INDEX($B$3:$G$12,ROW()-65,0))+ABS(INDEX($B$3:$G$12,COLUMN()-1,0)))),6)</f>
        <v/>
      </c>
      <c r="F73" s="13">
        <f t="array" ref="F73">ROUND(SUMPRODUCT(ABS(INDEX($B$3:$G$12,ROW()-65,0)-INDEX($B$3:$G$12,COLUMN()-1,0))/(ABS(INDEX($B$3:$G$12,ROW()-65,0))+ABS(INDEX($B$3:$G$12,COLUMN()-1,0)))),6)</f>
        <v/>
      </c>
      <c r="G73" s="13">
        <f t="array" ref="G73">ROUND(SUMPRODUCT(ABS(INDEX($B$3:$G$12,ROW()-65,0)-INDEX($B$3:$G$12,COLUMN()-1,0))/(ABS(INDEX($B$3:$G$12,ROW()-65,0))+ABS(INDEX($B$3:$G$12,COLUMN()-1,0)))),6)</f>
        <v/>
      </c>
      <c r="H73" s="13">
        <f t="array" ref="H73">ROUND(SUMPRODUCT(ABS(INDEX($B$3:$G$12,ROW()-65,0)-INDEX($B$3:$G$12,COLUMN()-1,0))/(ABS(INDEX($B$3:$G$12,ROW()-65,0))+ABS(INDEX($B$3:$G$12,COLUMN()-1,0)))),6)</f>
        <v/>
      </c>
      <c r="I73" s="13">
        <f t="array" ref="I73">ROUND(SUMPRODUCT(ABS(INDEX($B$3:$G$12,ROW()-65,0)-INDEX($B$3:$G$12,COLUMN()-1,0))/(ABS(INDEX($B$3:$G$12,ROW()-65,0))+ABS(INDEX($B$3:$G$12,COLUMN()-1,0)))),6)</f>
        <v/>
      </c>
      <c r="J73" s="13">
        <f t="array" ref="J73">ROUND(SUMPRODUCT(ABS(INDEX($B$3:$G$12,ROW()-65,0)-INDEX($B$3:$G$12,COLUMN()-1,0))/(ABS(INDEX($B$3:$G$12,ROW()-65,0))+ABS(INDEX($B$3:$G$12,COLUMN()-1,0)))),6)</f>
        <v/>
      </c>
      <c r="K73" s="13">
        <f t="array" ref="K73">ROUND(SUMPRODUCT(ABS(INDEX($B$3:$G$12,ROW()-65,0)-INDEX($B$3:$G$12,COLUMN()-1,0))/(ABS(INDEX($B$3:$G$12,ROW()-65,0))+ABS(INDEX($B$3:$G$12,COLUMN()-1,0)))),6)</f>
        <v/>
      </c>
    </row>
    <row r="74" ht="15" customHeight="1">
      <c r="A74" s="4" t="n"/>
      <c r="B74" s="13">
        <f t="array" ref="B74">ROUND(SUMPRODUCT(ABS(INDEX($B$3:$G$12,ROW()-65,0)-INDEX($B$3:$G$12,COLUMN()-1,0))/(ABS(INDEX($B$3:$G$12,ROW()-65,0))+ABS(INDEX($B$3:$G$12,COLUMN()-1,0)))),6)</f>
        <v/>
      </c>
      <c r="C74" s="13">
        <f t="array" ref="C74">ROUND(SUMPRODUCT(ABS(INDEX($B$3:$G$12,ROW()-65,0)-INDEX($B$3:$G$12,COLUMN()-1,0))/(ABS(INDEX($B$3:$G$12,ROW()-65,0))+ABS(INDEX($B$3:$G$12,COLUMN()-1,0)))),6)</f>
        <v/>
      </c>
      <c r="D74" s="13">
        <f t="array" ref="D74">ROUND(SUMPRODUCT(ABS(INDEX($B$3:$G$12,ROW()-65,0)-INDEX($B$3:$G$12,COLUMN()-1,0))/(ABS(INDEX($B$3:$G$12,ROW()-65,0))+ABS(INDEX($B$3:$G$12,COLUMN()-1,0)))),6)</f>
        <v/>
      </c>
      <c r="E74" s="13">
        <f t="array" ref="E74">ROUND(SUMPRODUCT(ABS(INDEX($B$3:$G$12,ROW()-65,0)-INDEX($B$3:$G$12,COLUMN()-1,0))/(ABS(INDEX($B$3:$G$12,ROW()-65,0))+ABS(INDEX($B$3:$G$12,COLUMN()-1,0)))),6)</f>
        <v/>
      </c>
      <c r="F74" s="13">
        <f t="array" ref="F74">ROUND(SUMPRODUCT(ABS(INDEX($B$3:$G$12,ROW()-65,0)-INDEX($B$3:$G$12,COLUMN()-1,0))/(ABS(INDEX($B$3:$G$12,ROW()-65,0))+ABS(INDEX($B$3:$G$12,COLUMN()-1,0)))),6)</f>
        <v/>
      </c>
      <c r="G74" s="13">
        <f t="array" ref="G74">ROUND(SUMPRODUCT(ABS(INDEX($B$3:$G$12,ROW()-65,0)-INDEX($B$3:$G$12,COLUMN()-1,0))/(ABS(INDEX($B$3:$G$12,ROW()-65,0))+ABS(INDEX($B$3:$G$12,COLUMN()-1,0)))),6)</f>
        <v/>
      </c>
      <c r="H74" s="13">
        <f t="array" ref="H74">ROUND(SUMPRODUCT(ABS(INDEX($B$3:$G$12,ROW()-65,0)-INDEX($B$3:$G$12,COLUMN()-1,0))/(ABS(INDEX($B$3:$G$12,ROW()-65,0))+ABS(INDEX($B$3:$G$12,COLUMN()-1,0)))),6)</f>
        <v/>
      </c>
      <c r="I74" s="13">
        <f t="array" ref="I74">ROUND(SUMPRODUCT(ABS(INDEX($B$3:$G$12,ROW()-65,0)-INDEX($B$3:$G$12,COLUMN()-1,0))/(ABS(INDEX($B$3:$G$12,ROW()-65,0))+ABS(INDEX($B$3:$G$12,COLUMN()-1,0)))),6)</f>
        <v/>
      </c>
      <c r="J74" s="13">
        <f t="array" ref="J74">ROUND(SUMPRODUCT(ABS(INDEX($B$3:$G$12,ROW()-65,0)-INDEX($B$3:$G$12,COLUMN()-1,0))/(ABS(INDEX($B$3:$G$12,ROW()-65,0))+ABS(INDEX($B$3:$G$12,COLUMN()-1,0)))),6)</f>
        <v/>
      </c>
      <c r="K74" s="13">
        <f t="array" ref="K74">ROUND(SUMPRODUCT(ABS(INDEX($B$3:$G$12,ROW()-65,0)-INDEX($B$3:$G$12,COLUMN()-1,0))/(ABS(INDEX($B$3:$G$12,ROW()-65,0))+ABS(INDEX($B$3:$G$12,COLUMN()-1,0)))),6)</f>
        <v/>
      </c>
    </row>
    <row r="75" ht="15" customHeight="1">
      <c r="A75" s="4" t="n"/>
      <c r="B75" s="13">
        <f t="array" ref="B75">ROUND(SUMPRODUCT(ABS(INDEX($B$3:$G$12,ROW()-65,0)-INDEX($B$3:$G$12,COLUMN()-1,0))/(ABS(INDEX($B$3:$G$12,ROW()-65,0))+ABS(INDEX($B$3:$G$12,COLUMN()-1,0)))),6)</f>
        <v/>
      </c>
      <c r="C75" s="13">
        <f t="array" ref="C75">ROUND(SUMPRODUCT(ABS(INDEX($B$3:$G$12,ROW()-65,0)-INDEX($B$3:$G$12,COLUMN()-1,0))/(ABS(INDEX($B$3:$G$12,ROW()-65,0))+ABS(INDEX($B$3:$G$12,COLUMN()-1,0)))),6)</f>
        <v/>
      </c>
      <c r="D75" s="13">
        <f t="array" ref="D75">ROUND(SUMPRODUCT(ABS(INDEX($B$3:$G$12,ROW()-65,0)-INDEX($B$3:$G$12,COLUMN()-1,0))/(ABS(INDEX($B$3:$G$12,ROW()-65,0))+ABS(INDEX($B$3:$G$12,COLUMN()-1,0)))),6)</f>
        <v/>
      </c>
      <c r="E75" s="13">
        <f t="array" ref="E75">ROUND(SUMPRODUCT(ABS(INDEX($B$3:$G$12,ROW()-65,0)-INDEX($B$3:$G$12,COLUMN()-1,0))/(ABS(INDEX($B$3:$G$12,ROW()-65,0))+ABS(INDEX($B$3:$G$12,COLUMN()-1,0)))),6)</f>
        <v/>
      </c>
      <c r="F75" s="13">
        <f t="array" ref="F75">ROUND(SUMPRODUCT(ABS(INDEX($B$3:$G$12,ROW()-65,0)-INDEX($B$3:$G$12,COLUMN()-1,0))/(ABS(INDEX($B$3:$G$12,ROW()-65,0))+ABS(INDEX($B$3:$G$12,COLUMN()-1,0)))),6)</f>
        <v/>
      </c>
      <c r="G75" s="13">
        <f t="array" ref="G75">ROUND(SUMPRODUCT(ABS(INDEX($B$3:$G$12,ROW()-65,0)-INDEX($B$3:$G$12,COLUMN()-1,0))/(ABS(INDEX($B$3:$G$12,ROW()-65,0))+ABS(INDEX($B$3:$G$12,COLUMN()-1,0)))),6)</f>
        <v/>
      </c>
      <c r="H75" s="13">
        <f t="array" ref="H75">ROUND(SUMPRODUCT(ABS(INDEX($B$3:$G$12,ROW()-65,0)-INDEX($B$3:$G$12,COLUMN()-1,0))/(ABS(INDEX($B$3:$G$12,ROW()-65,0))+ABS(INDEX($B$3:$G$12,COLUMN()-1,0)))),6)</f>
        <v/>
      </c>
      <c r="I75" s="13">
        <f t="array" ref="I75">ROUND(SUMPRODUCT(ABS(INDEX($B$3:$G$12,ROW()-65,0)-INDEX($B$3:$G$12,COLUMN()-1,0))/(ABS(INDEX($B$3:$G$12,ROW()-65,0))+ABS(INDEX($B$3:$G$12,COLUMN()-1,0)))),6)</f>
        <v/>
      </c>
      <c r="J75" s="13">
        <f t="array" ref="J75">ROUND(SUMPRODUCT(ABS(INDEX($B$3:$G$12,ROW()-65,0)-INDEX($B$3:$G$12,COLUMN()-1,0))/(ABS(INDEX($B$3:$G$12,ROW()-65,0))+ABS(INDEX($B$3:$G$12,COLUMN()-1,0)))),6)</f>
        <v/>
      </c>
      <c r="K75" s="13">
        <f t="array" ref="K75">ROUND(SUMPRODUCT(ABS(INDEX($B$3:$G$12,ROW()-65,0)-INDEX($B$3:$G$12,COLUMN()-1,0))/(ABS(INDEX($B$3:$G$12,ROW()-65,0))+ABS(INDEX($B$3:$G$12,COLUMN()-1,0)))),6)</f>
        <v/>
      </c>
    </row>
    <row r="76" ht="15" customHeight="1"/>
    <row r="77" ht="15" customHeight="1"/>
    <row r="78" ht="15" customHeight="1" thickBot="1"/>
    <row r="79" ht="15" customHeight="1" thickBot="1">
      <c r="A79" s="109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1" t="n"/>
    </row>
    <row r="80" ht="15" customHeight="1"/>
    <row r="81" ht="15" customHeight="1"/>
    <row r="82" ht="15" customHeight="1"/>
    <row r="83" ht="15" customHeight="1">
      <c r="A83" s="77" t="inlineStr">
        <is>
          <t>min-max Normalized Dog-Wolf (10, 6, 2)</t>
        </is>
      </c>
      <c r="B83" s="100" t="n"/>
      <c r="C83" s="100" t="n"/>
      <c r="D83" s="100" t="n"/>
      <c r="E83" s="100" t="n"/>
      <c r="F83" s="100" t="n"/>
      <c r="G83" s="100" t="n"/>
      <c r="H83" s="101" t="n"/>
    </row>
    <row r="84" ht="15" customHeight="1">
      <c r="A84" s="3" t="inlineStr">
        <is>
          <t>№</t>
        </is>
      </c>
      <c r="B84" s="9" t="n"/>
      <c r="C84" s="9" t="n"/>
      <c r="D84" s="9" t="n"/>
      <c r="E84" s="9" t="n"/>
      <c r="F84" s="9" t="n"/>
      <c r="G84" s="9" t="n"/>
      <c r="H84" s="4" t="inlineStr">
        <is>
          <t>Class</t>
        </is>
      </c>
    </row>
    <row r="85" ht="15" customHeight="1">
      <c r="A85" s="4" t="n"/>
      <c r="B85" s="13" t="n">
        <v>0</v>
      </c>
      <c r="C85" s="13" t="n">
        <v>0</v>
      </c>
      <c r="D85" s="13" t="n">
        <v>1</v>
      </c>
      <c r="E85" s="13" t="n">
        <v>0.04878</v>
      </c>
      <c r="F85" s="13" t="n">
        <v>0</v>
      </c>
      <c r="G85" s="13" t="n">
        <v>0.131148</v>
      </c>
      <c r="H85" s="5" t="n">
        <v>1</v>
      </c>
    </row>
    <row r="86" ht="15" customHeight="1">
      <c r="A86" s="4" t="n"/>
      <c r="B86" s="13" t="n">
        <v>0.242718</v>
      </c>
      <c r="C86" s="13" t="n">
        <v>0.169492</v>
      </c>
      <c r="D86" s="13" t="n">
        <v>0.525</v>
      </c>
      <c r="E86" s="13" t="n">
        <v>0.353659</v>
      </c>
      <c r="F86" s="13" t="n">
        <v>0.535714</v>
      </c>
      <c r="G86" s="13" t="n">
        <v>0.57377</v>
      </c>
      <c r="H86" s="5" t="n">
        <v>1</v>
      </c>
    </row>
    <row r="87" ht="15" customHeight="1">
      <c r="A87" s="4" t="n"/>
      <c r="B87" s="13" t="n">
        <v>0.679612</v>
      </c>
      <c r="C87" s="13" t="n">
        <v>0.6949149999999999</v>
      </c>
      <c r="D87" s="13" t="n">
        <v>0.45</v>
      </c>
      <c r="E87" s="13" t="n">
        <v>0.768293</v>
      </c>
      <c r="F87" s="13" t="n">
        <v>0.678571</v>
      </c>
      <c r="G87" s="13" t="n">
        <v>1</v>
      </c>
      <c r="H87" s="5" t="n">
        <v>2</v>
      </c>
    </row>
    <row r="88" ht="15" customHeight="1">
      <c r="A88" s="4" t="n"/>
      <c r="B88" s="13" t="n">
        <v>0.398058</v>
      </c>
      <c r="C88" s="13" t="n">
        <v>0.389831</v>
      </c>
      <c r="D88" s="13" t="n">
        <v>0.4</v>
      </c>
      <c r="E88" s="13" t="n">
        <v>0.09756099999999999</v>
      </c>
      <c r="F88" s="13" t="n">
        <v>0.196429</v>
      </c>
      <c r="G88" s="13" t="n">
        <v>0.47541</v>
      </c>
      <c r="H88" s="5" t="n">
        <v>1</v>
      </c>
    </row>
    <row r="89" ht="15" customHeight="1">
      <c r="A89" s="4" t="n"/>
      <c r="B89" s="13" t="n">
        <v>0.951456</v>
      </c>
      <c r="C89" s="13" t="n">
        <v>0.898305</v>
      </c>
      <c r="D89" s="13" t="n">
        <v>0.55</v>
      </c>
      <c r="E89" s="13" t="n">
        <v>0.963415</v>
      </c>
      <c r="F89" s="13" t="n">
        <v>0.732143</v>
      </c>
      <c r="G89" s="13" t="n">
        <v>0.918033</v>
      </c>
      <c r="H89" s="5" t="n">
        <v>2</v>
      </c>
    </row>
    <row r="90" ht="15" customHeight="1">
      <c r="A90" s="4" t="n"/>
      <c r="B90" s="13" t="n">
        <v>0.572816</v>
      </c>
      <c r="C90" s="13" t="n">
        <v>0.508475</v>
      </c>
      <c r="D90" s="13" t="n">
        <v>0.45</v>
      </c>
      <c r="E90" s="13" t="n">
        <v>0.292683</v>
      </c>
      <c r="F90" s="13" t="n">
        <v>0.375</v>
      </c>
      <c r="G90" s="13" t="n">
        <v>0.295082</v>
      </c>
      <c r="H90" s="5" t="n">
        <v>1</v>
      </c>
    </row>
    <row r="91" ht="15" customHeight="1">
      <c r="A91" s="4" t="n"/>
      <c r="B91" s="13" t="n">
        <v>0.31068</v>
      </c>
      <c r="C91" s="13" t="n">
        <v>0.288136</v>
      </c>
      <c r="D91" s="13" t="n">
        <v>0</v>
      </c>
      <c r="E91" s="13" t="n">
        <v>0</v>
      </c>
      <c r="F91" s="13" t="n">
        <v>0.160714</v>
      </c>
      <c r="G91" s="13" t="n">
        <v>0</v>
      </c>
      <c r="H91" s="5" t="n">
        <v>1</v>
      </c>
    </row>
    <row r="92" ht="15" customHeight="1">
      <c r="A92" s="4" t="n"/>
      <c r="B92" s="13" t="n">
        <v>0.339806</v>
      </c>
      <c r="C92" s="13" t="n">
        <v>0.440678</v>
      </c>
      <c r="D92" s="13" t="n">
        <v>0.075</v>
      </c>
      <c r="E92" s="13" t="n">
        <v>0.04878</v>
      </c>
      <c r="F92" s="13" t="n">
        <v>0.267857</v>
      </c>
      <c r="G92" s="13" t="n">
        <v>0.278689</v>
      </c>
      <c r="H92" s="5" t="n">
        <v>1</v>
      </c>
    </row>
    <row r="93" ht="15" customHeight="1">
      <c r="A93" s="4" t="n"/>
      <c r="B93" s="13" t="n">
        <v>0.961165</v>
      </c>
      <c r="C93" s="13" t="n">
        <v>0.983051</v>
      </c>
      <c r="D93" s="13" t="n">
        <v>0.675</v>
      </c>
      <c r="E93" s="13" t="n">
        <v>0.926829</v>
      </c>
      <c r="F93" s="13" t="n">
        <v>0.678571</v>
      </c>
      <c r="G93" s="13" t="n">
        <v>0.901639</v>
      </c>
      <c r="H93" s="5" t="n">
        <v>2</v>
      </c>
    </row>
    <row r="94" ht="15" customHeight="1">
      <c r="A94" s="4" t="n"/>
      <c r="B94" s="13" t="n">
        <v>1</v>
      </c>
      <c r="C94" s="13" t="n">
        <v>1</v>
      </c>
      <c r="D94" s="13" t="n">
        <v>0.7</v>
      </c>
      <c r="E94" s="13" t="n">
        <v>1</v>
      </c>
      <c r="F94" s="13" t="n">
        <v>1</v>
      </c>
      <c r="G94" s="13" t="n">
        <v>0.409836</v>
      </c>
      <c r="H94" s="5" t="n">
        <v>2</v>
      </c>
    </row>
    <row r="95" ht="15" customHeight="1">
      <c r="A95" s="2" t="n"/>
      <c r="B95" s="65" t="n">
        <v>1</v>
      </c>
      <c r="C95" s="65" t="n">
        <v>1</v>
      </c>
      <c r="D95" s="65" t="n">
        <v>1</v>
      </c>
      <c r="E95" s="65" t="n">
        <v>1</v>
      </c>
      <c r="F95" s="65" t="n">
        <v>1</v>
      </c>
      <c r="G95" s="65" t="n">
        <v>1</v>
      </c>
    </row>
    <row r="96" ht="15" customHeight="1"/>
    <row r="97" ht="15" customHeight="1"/>
    <row r="98" ht="15" customHeight="1" thickBot="1"/>
    <row r="99" ht="15" customHeight="1">
      <c r="E99" s="102" t="inlineStr">
        <is>
          <t>Euclidean distance</t>
        </is>
      </c>
      <c r="F99" s="108" t="n"/>
      <c r="G99" s="103" t="n"/>
    </row>
    <row r="100" ht="15" customHeight="1">
      <c r="E100" s="104" t="n"/>
      <c r="G100" s="105" t="n"/>
    </row>
    <row r="101" ht="15" customHeight="1">
      <c r="E101" s="104" t="n"/>
      <c r="G101" s="105" t="n"/>
    </row>
    <row r="102" ht="15" customHeight="1">
      <c r="E102" s="104" t="n"/>
      <c r="G102" s="105" t="n"/>
    </row>
    <row r="103" ht="15" customHeight="1" thickBot="1">
      <c r="E103" s="106" t="n"/>
      <c r="F103" s="48" t="n"/>
      <c r="G103" s="107" t="n"/>
    </row>
    <row r="104" ht="15" customHeight="1"/>
    <row r="105" ht="15" customHeight="1">
      <c r="A105" s="65" t="inlineStr">
        <is>
          <t>Euclidean Distance Matrix of min-max Normalized Dog-Wolf (10, 6, 2)</t>
        </is>
      </c>
      <c r="B105" s="100" t="n"/>
      <c r="C105" s="100" t="n"/>
      <c r="D105" s="100" t="n"/>
      <c r="E105" s="100" t="n"/>
      <c r="F105" s="100" t="n"/>
      <c r="G105" s="100" t="n"/>
      <c r="H105" s="100" t="n"/>
      <c r="I105" s="100" t="n"/>
      <c r="J105" s="100" t="n"/>
      <c r="K105" s="101" t="n"/>
    </row>
    <row r="106" ht="15" customHeight="1">
      <c r="A106" s="3" t="inlineStr">
        <is>
          <t>№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 ht="15" customHeight="1">
      <c r="A107" s="4" t="n"/>
      <c r="B107" s="13">
        <f>ROUND(SQRT(SUMXMY2(INDEX($B$85:$G$94,ROW()-106,0),INDEX($B$85:$G$94,COLUMN()-1,0))),6)</f>
        <v/>
      </c>
      <c r="C107" s="13">
        <f>ROUND(SQRT(SUMXMY2(INDEX($B$85:$G$94,ROW()-106,0),INDEX($B$85:$G$94,COLUMN()-1,0))),6)</f>
        <v/>
      </c>
      <c r="D107" s="13">
        <f>ROUND(SQRT(SUMXMY2(INDEX($B$85:$G$94,ROW()-106,0),INDEX($B$85:$G$94,COLUMN()-1,0))),6)</f>
        <v/>
      </c>
      <c r="E107" s="13">
        <f>ROUND(SQRT(SUMXMY2(INDEX($B$85:$G$94,ROW()-106,0),INDEX($B$85:$G$94,COLUMN()-1,0))),6)</f>
        <v/>
      </c>
      <c r="F107" s="13">
        <f>ROUND(SQRT(SUMXMY2(INDEX($B$85:$G$94,ROW()-106,0),INDEX($B$85:$G$94,COLUMN()-1,0))),6)</f>
        <v/>
      </c>
      <c r="G107" s="13">
        <f>ROUND(SQRT(SUMXMY2(INDEX($B$85:$G$94,ROW()-106,0),INDEX($B$85:$G$94,COLUMN()-1,0))),6)</f>
        <v/>
      </c>
      <c r="H107" s="13">
        <f>ROUND(SQRT(SUMXMY2(INDEX($B$85:$G$94,ROW()-106,0),INDEX($B$85:$G$94,COLUMN()-1,0))),6)</f>
        <v/>
      </c>
      <c r="I107" s="13">
        <f>ROUND(SQRT(SUMXMY2(INDEX($B$85:$G$94,ROW()-106,0),INDEX($B$85:$G$94,COLUMN()-1,0))),6)</f>
        <v/>
      </c>
      <c r="J107" s="13">
        <f>ROUND(SQRT(SUMXMY2(INDEX($B$85:$G$94,ROW()-106,0),INDEX($B$85:$G$94,COLUMN()-1,0))),6)</f>
        <v/>
      </c>
      <c r="K107" s="13">
        <f>ROUND(SQRT(SUMXMY2(INDEX($B$85:$G$94,ROW()-106,0),INDEX($B$85:$G$94,COLUMN()-1,0))),6)</f>
        <v/>
      </c>
    </row>
    <row r="108" ht="15" customHeight="1">
      <c r="A108" s="4" t="n"/>
      <c r="B108" s="13">
        <f>ROUND(SQRT(SUMXMY2(INDEX($B$85:$G$94,ROW()-106,0),INDEX($B$85:$G$94,COLUMN()-1,0))),6)</f>
        <v/>
      </c>
      <c r="C108" s="13">
        <f>ROUND(SQRT(SUMXMY2(INDEX($B$85:$G$94,ROW()-106,0),INDEX($B$85:$G$94,COLUMN()-1,0))),6)</f>
        <v/>
      </c>
      <c r="D108" s="13">
        <f>ROUND(SQRT(SUMXMY2(INDEX($B$85:$G$94,ROW()-106,0),INDEX($B$85:$G$94,COLUMN()-1,0))),6)</f>
        <v/>
      </c>
      <c r="E108" s="13">
        <f>ROUND(SQRT(SUMXMY2(INDEX($B$85:$G$94,ROW()-106,0),INDEX($B$85:$G$94,COLUMN()-1,0))),6)</f>
        <v/>
      </c>
      <c r="F108" s="13">
        <f>ROUND(SQRT(SUMXMY2(INDEX($B$85:$G$94,ROW()-106,0),INDEX($B$85:$G$94,COLUMN()-1,0))),6)</f>
        <v/>
      </c>
      <c r="G108" s="13">
        <f>ROUND(SQRT(SUMXMY2(INDEX($B$85:$G$94,ROW()-106,0),INDEX($B$85:$G$94,COLUMN()-1,0))),6)</f>
        <v/>
      </c>
      <c r="H108" s="13">
        <f>ROUND(SQRT(SUMXMY2(INDEX($B$85:$G$94,ROW()-106,0),INDEX($B$85:$G$94,COLUMN()-1,0))),6)</f>
        <v/>
      </c>
      <c r="I108" s="13">
        <f>ROUND(SQRT(SUMXMY2(INDEX($B$85:$G$94,ROW()-106,0),INDEX($B$85:$G$94,COLUMN()-1,0))),6)</f>
        <v/>
      </c>
      <c r="J108" s="13">
        <f>ROUND(SQRT(SUMXMY2(INDEX($B$85:$G$94,ROW()-106,0),INDEX($B$85:$G$94,COLUMN()-1,0))),6)</f>
        <v/>
      </c>
      <c r="K108" s="13">
        <f>ROUND(SQRT(SUMXMY2(INDEX($B$85:$G$94,ROW()-106,0),INDEX($B$85:$G$94,COLUMN()-1,0))),6)</f>
        <v/>
      </c>
    </row>
    <row r="109" ht="15" customHeight="1">
      <c r="A109" s="4" t="n"/>
      <c r="B109" s="13">
        <f>ROUND(SQRT(SUMXMY2(INDEX($B$85:$G$94,ROW()-106,0),INDEX($B$85:$G$94,COLUMN()-1,0))),6)</f>
        <v/>
      </c>
      <c r="C109" s="13">
        <f>ROUND(SQRT(SUMXMY2(INDEX($B$85:$G$94,ROW()-106,0),INDEX($B$85:$G$94,COLUMN()-1,0))),6)</f>
        <v/>
      </c>
      <c r="D109" s="13">
        <f>ROUND(SQRT(SUMXMY2(INDEX($B$85:$G$94,ROW()-106,0),INDEX($B$85:$G$94,COLUMN()-1,0))),6)</f>
        <v/>
      </c>
      <c r="E109" s="13">
        <f>ROUND(SQRT(SUMXMY2(INDEX($B$85:$G$94,ROW()-106,0),INDEX($B$85:$G$94,COLUMN()-1,0))),6)</f>
        <v/>
      </c>
      <c r="F109" s="13">
        <f>ROUND(SQRT(SUMXMY2(INDEX($B$85:$G$94,ROW()-106,0),INDEX($B$85:$G$94,COLUMN()-1,0))),6)</f>
        <v/>
      </c>
      <c r="G109" s="13">
        <f>ROUND(SQRT(SUMXMY2(INDEX($B$85:$G$94,ROW()-106,0),INDEX($B$85:$G$94,COLUMN()-1,0))),6)</f>
        <v/>
      </c>
      <c r="H109" s="13">
        <f>ROUND(SQRT(SUMXMY2(INDEX($B$85:$G$94,ROW()-106,0),INDEX($B$85:$G$94,COLUMN()-1,0))),6)</f>
        <v/>
      </c>
      <c r="I109" s="13">
        <f>ROUND(SQRT(SUMXMY2(INDEX($B$85:$G$94,ROW()-106,0),INDEX($B$85:$G$94,COLUMN()-1,0))),6)</f>
        <v/>
      </c>
      <c r="J109" s="13">
        <f>ROUND(SQRT(SUMXMY2(INDEX($B$85:$G$94,ROW()-106,0),INDEX($B$85:$G$94,COLUMN()-1,0))),6)</f>
        <v/>
      </c>
      <c r="K109" s="13">
        <f>ROUND(SQRT(SUMXMY2(INDEX($B$85:$G$94,ROW()-106,0),INDEX($B$85:$G$94,COLUMN()-1,0))),6)</f>
        <v/>
      </c>
    </row>
    <row r="110" ht="15" customHeight="1">
      <c r="A110" s="4" t="n"/>
      <c r="B110" s="13">
        <f>ROUND(SQRT(SUMXMY2(INDEX($B$85:$G$94,ROW()-106,0),INDEX($B$85:$G$94,COLUMN()-1,0))),6)</f>
        <v/>
      </c>
      <c r="C110" s="13">
        <f>ROUND(SQRT(SUMXMY2(INDEX($B$85:$G$94,ROW()-106,0),INDEX($B$85:$G$94,COLUMN()-1,0))),6)</f>
        <v/>
      </c>
      <c r="D110" s="13">
        <f>ROUND(SQRT(SUMXMY2(INDEX($B$85:$G$94,ROW()-106,0),INDEX($B$85:$G$94,COLUMN()-1,0))),6)</f>
        <v/>
      </c>
      <c r="E110" s="13">
        <f>ROUND(SQRT(SUMXMY2(INDEX($B$85:$G$94,ROW()-106,0),INDEX($B$85:$G$94,COLUMN()-1,0))),6)</f>
        <v/>
      </c>
      <c r="F110" s="13">
        <f>ROUND(SQRT(SUMXMY2(INDEX($B$85:$G$94,ROW()-106,0),INDEX($B$85:$G$94,COLUMN()-1,0))),6)</f>
        <v/>
      </c>
      <c r="G110" s="13">
        <f>ROUND(SQRT(SUMXMY2(INDEX($B$85:$G$94,ROW()-106,0),INDEX($B$85:$G$94,COLUMN()-1,0))),6)</f>
        <v/>
      </c>
      <c r="H110" s="13">
        <f>ROUND(SQRT(SUMXMY2(INDEX($B$85:$G$94,ROW()-106,0),INDEX($B$85:$G$94,COLUMN()-1,0))),6)</f>
        <v/>
      </c>
      <c r="I110" s="13">
        <f>ROUND(SQRT(SUMXMY2(INDEX($B$85:$G$94,ROW()-106,0),INDEX($B$85:$G$94,COLUMN()-1,0))),6)</f>
        <v/>
      </c>
      <c r="J110" s="13">
        <f>ROUND(SQRT(SUMXMY2(INDEX($B$85:$G$94,ROW()-106,0),INDEX($B$85:$G$94,COLUMN()-1,0))),6)</f>
        <v/>
      </c>
      <c r="K110" s="13">
        <f>ROUND(SQRT(SUMXMY2(INDEX($B$85:$G$94,ROW()-106,0),INDEX($B$85:$G$94,COLUMN()-1,0))),6)</f>
        <v/>
      </c>
    </row>
    <row r="111" ht="15" customHeight="1">
      <c r="A111" s="4" t="n"/>
      <c r="B111" s="13">
        <f>ROUND(SQRT(SUMXMY2(INDEX($B$85:$G$94,ROW()-106,0),INDEX($B$85:$G$94,COLUMN()-1,0))),6)</f>
        <v/>
      </c>
      <c r="C111" s="13">
        <f>ROUND(SQRT(SUMXMY2(INDEX($B$85:$G$94,ROW()-106,0),INDEX($B$85:$G$94,COLUMN()-1,0))),6)</f>
        <v/>
      </c>
      <c r="D111" s="13">
        <f>ROUND(SQRT(SUMXMY2(INDEX($B$85:$G$94,ROW()-106,0),INDEX($B$85:$G$94,COLUMN()-1,0))),6)</f>
        <v/>
      </c>
      <c r="E111" s="13">
        <f>ROUND(SQRT(SUMXMY2(INDEX($B$85:$G$94,ROW()-106,0),INDEX($B$85:$G$94,COLUMN()-1,0))),6)</f>
        <v/>
      </c>
      <c r="F111" s="13">
        <f>ROUND(SQRT(SUMXMY2(INDEX($B$85:$G$94,ROW()-106,0),INDEX($B$85:$G$94,COLUMN()-1,0))),6)</f>
        <v/>
      </c>
      <c r="G111" s="13">
        <f>ROUND(SQRT(SUMXMY2(INDEX($B$85:$G$94,ROW()-106,0),INDEX($B$85:$G$94,COLUMN()-1,0))),6)</f>
        <v/>
      </c>
      <c r="H111" s="13">
        <f>ROUND(SQRT(SUMXMY2(INDEX($B$85:$G$94,ROW()-106,0),INDEX($B$85:$G$94,COLUMN()-1,0))),6)</f>
        <v/>
      </c>
      <c r="I111" s="13">
        <f>ROUND(SQRT(SUMXMY2(INDEX($B$85:$G$94,ROW()-106,0),INDEX($B$85:$G$94,COLUMN()-1,0))),6)</f>
        <v/>
      </c>
      <c r="J111" s="13">
        <f>ROUND(SQRT(SUMXMY2(INDEX($B$85:$G$94,ROW()-106,0),INDEX($B$85:$G$94,COLUMN()-1,0))),6)</f>
        <v/>
      </c>
      <c r="K111" s="13">
        <f>ROUND(SQRT(SUMXMY2(INDEX($B$85:$G$94,ROW()-106,0),INDEX($B$85:$G$94,COLUMN()-1,0))),6)</f>
        <v/>
      </c>
    </row>
    <row r="112" ht="15" customHeight="1">
      <c r="A112" s="4" t="n"/>
      <c r="B112" s="13">
        <f>ROUND(SQRT(SUMXMY2(INDEX($B$85:$G$94,ROW()-106,0),INDEX($B$85:$G$94,COLUMN()-1,0))),6)</f>
        <v/>
      </c>
      <c r="C112" s="13">
        <f>ROUND(SQRT(SUMXMY2(INDEX($B$85:$G$94,ROW()-106,0),INDEX($B$85:$G$94,COLUMN()-1,0))),6)</f>
        <v/>
      </c>
      <c r="D112" s="13">
        <f>ROUND(SQRT(SUMXMY2(INDEX($B$85:$G$94,ROW()-106,0),INDEX($B$85:$G$94,COLUMN()-1,0))),6)</f>
        <v/>
      </c>
      <c r="E112" s="13">
        <f>ROUND(SQRT(SUMXMY2(INDEX($B$85:$G$94,ROW()-106,0),INDEX($B$85:$G$94,COLUMN()-1,0))),6)</f>
        <v/>
      </c>
      <c r="F112" s="13">
        <f>ROUND(SQRT(SUMXMY2(INDEX($B$85:$G$94,ROW()-106,0),INDEX($B$85:$G$94,COLUMN()-1,0))),6)</f>
        <v/>
      </c>
      <c r="G112" s="13">
        <f>ROUND(SQRT(SUMXMY2(INDEX($B$85:$G$94,ROW()-106,0),INDEX($B$85:$G$94,COLUMN()-1,0))),6)</f>
        <v/>
      </c>
      <c r="H112" s="13">
        <f>ROUND(SQRT(SUMXMY2(INDEX($B$85:$G$94,ROW()-106,0),INDEX($B$85:$G$94,COLUMN()-1,0))),6)</f>
        <v/>
      </c>
      <c r="I112" s="13">
        <f>ROUND(SQRT(SUMXMY2(INDEX($B$85:$G$94,ROW()-106,0),INDEX($B$85:$G$94,COLUMN()-1,0))),6)</f>
        <v/>
      </c>
      <c r="J112" s="13">
        <f>ROUND(SQRT(SUMXMY2(INDEX($B$85:$G$94,ROW()-106,0),INDEX($B$85:$G$94,COLUMN()-1,0))),6)</f>
        <v/>
      </c>
      <c r="K112" s="13">
        <f>ROUND(SQRT(SUMXMY2(INDEX($B$85:$G$94,ROW()-106,0),INDEX($B$85:$G$94,COLUMN()-1,0))),6)</f>
        <v/>
      </c>
    </row>
    <row r="113" ht="15" customHeight="1">
      <c r="A113" s="4" t="n"/>
      <c r="B113" s="13">
        <f>ROUND(SQRT(SUMXMY2(INDEX($B$85:$G$94,ROW()-106,0),INDEX($B$85:$G$94,COLUMN()-1,0))),6)</f>
        <v/>
      </c>
      <c r="C113" s="13">
        <f>ROUND(SQRT(SUMXMY2(INDEX($B$85:$G$94,ROW()-106,0),INDEX($B$85:$G$94,COLUMN()-1,0))),6)</f>
        <v/>
      </c>
      <c r="D113" s="13">
        <f>ROUND(SQRT(SUMXMY2(INDEX($B$85:$G$94,ROW()-106,0),INDEX($B$85:$G$94,COLUMN()-1,0))),6)</f>
        <v/>
      </c>
      <c r="E113" s="13">
        <f>ROUND(SQRT(SUMXMY2(INDEX($B$85:$G$94,ROW()-106,0),INDEX($B$85:$G$94,COLUMN()-1,0))),6)</f>
        <v/>
      </c>
      <c r="F113" s="13">
        <f>ROUND(SQRT(SUMXMY2(INDEX($B$85:$G$94,ROW()-106,0),INDEX($B$85:$G$94,COLUMN()-1,0))),6)</f>
        <v/>
      </c>
      <c r="G113" s="13">
        <f>ROUND(SQRT(SUMXMY2(INDEX($B$85:$G$94,ROW()-106,0),INDEX($B$85:$G$94,COLUMN()-1,0))),6)</f>
        <v/>
      </c>
      <c r="H113" s="13">
        <f>ROUND(SQRT(SUMXMY2(INDEX($B$85:$G$94,ROW()-106,0),INDEX($B$85:$G$94,COLUMN()-1,0))),6)</f>
        <v/>
      </c>
      <c r="I113" s="13">
        <f>ROUND(SQRT(SUMXMY2(INDEX($B$85:$G$94,ROW()-106,0),INDEX($B$85:$G$94,COLUMN()-1,0))),6)</f>
        <v/>
      </c>
      <c r="J113" s="13">
        <f>ROUND(SQRT(SUMXMY2(INDEX($B$85:$G$94,ROW()-106,0),INDEX($B$85:$G$94,COLUMN()-1,0))),6)</f>
        <v/>
      </c>
      <c r="K113" s="13">
        <f>ROUND(SQRT(SUMXMY2(INDEX($B$85:$G$94,ROW()-106,0),INDEX($B$85:$G$94,COLUMN()-1,0))),6)</f>
        <v/>
      </c>
    </row>
    <row r="114" ht="15" customHeight="1">
      <c r="A114" s="4" t="n"/>
      <c r="B114" s="13">
        <f>ROUND(SQRT(SUMXMY2(INDEX($B$85:$G$94,ROW()-106,0),INDEX($B$85:$G$94,COLUMN()-1,0))),6)</f>
        <v/>
      </c>
      <c r="C114" s="13">
        <f>ROUND(SQRT(SUMXMY2(INDEX($B$85:$G$94,ROW()-106,0),INDEX($B$85:$G$94,COLUMN()-1,0))),6)</f>
        <v/>
      </c>
      <c r="D114" s="13">
        <f>ROUND(SQRT(SUMXMY2(INDEX($B$85:$G$94,ROW()-106,0),INDEX($B$85:$G$94,COLUMN()-1,0))),6)</f>
        <v/>
      </c>
      <c r="E114" s="13">
        <f>ROUND(SQRT(SUMXMY2(INDEX($B$85:$G$94,ROW()-106,0),INDEX($B$85:$G$94,COLUMN()-1,0))),6)</f>
        <v/>
      </c>
      <c r="F114" s="13">
        <f>ROUND(SQRT(SUMXMY2(INDEX($B$85:$G$94,ROW()-106,0),INDEX($B$85:$G$94,COLUMN()-1,0))),6)</f>
        <v/>
      </c>
      <c r="G114" s="13">
        <f>ROUND(SQRT(SUMXMY2(INDEX($B$85:$G$94,ROW()-106,0),INDEX($B$85:$G$94,COLUMN()-1,0))),6)</f>
        <v/>
      </c>
      <c r="H114" s="13">
        <f>ROUND(SQRT(SUMXMY2(INDEX($B$85:$G$94,ROW()-106,0),INDEX($B$85:$G$94,COLUMN()-1,0))),6)</f>
        <v/>
      </c>
      <c r="I114" s="13">
        <f>ROUND(SQRT(SUMXMY2(INDEX($B$85:$G$94,ROW()-106,0),INDEX($B$85:$G$94,COLUMN()-1,0))),6)</f>
        <v/>
      </c>
      <c r="J114" s="13">
        <f>ROUND(SQRT(SUMXMY2(INDEX($B$85:$G$94,ROW()-106,0),INDEX($B$85:$G$94,COLUMN()-1,0))),6)</f>
        <v/>
      </c>
      <c r="K114" s="13">
        <f>ROUND(SQRT(SUMXMY2(INDEX($B$85:$G$94,ROW()-106,0),INDEX($B$85:$G$94,COLUMN()-1,0))),6)</f>
        <v/>
      </c>
    </row>
    <row r="115" ht="15" customHeight="1">
      <c r="A115" s="4" t="n"/>
      <c r="B115" s="13">
        <f>ROUND(SQRT(SUMXMY2(INDEX($B$85:$G$94,ROW()-106,0),INDEX($B$85:$G$94,COLUMN()-1,0))),6)</f>
        <v/>
      </c>
      <c r="C115" s="13">
        <f>ROUND(SQRT(SUMXMY2(INDEX($B$85:$G$94,ROW()-106,0),INDEX($B$85:$G$94,COLUMN()-1,0))),6)</f>
        <v/>
      </c>
      <c r="D115" s="13">
        <f>ROUND(SQRT(SUMXMY2(INDEX($B$85:$G$94,ROW()-106,0),INDEX($B$85:$G$94,COLUMN()-1,0))),6)</f>
        <v/>
      </c>
      <c r="E115" s="13">
        <f>ROUND(SQRT(SUMXMY2(INDEX($B$85:$G$94,ROW()-106,0),INDEX($B$85:$G$94,COLUMN()-1,0))),6)</f>
        <v/>
      </c>
      <c r="F115" s="13">
        <f>ROUND(SQRT(SUMXMY2(INDEX($B$85:$G$94,ROW()-106,0),INDEX($B$85:$G$94,COLUMN()-1,0))),6)</f>
        <v/>
      </c>
      <c r="G115" s="13">
        <f>ROUND(SQRT(SUMXMY2(INDEX($B$85:$G$94,ROW()-106,0),INDEX($B$85:$G$94,COLUMN()-1,0))),6)</f>
        <v/>
      </c>
      <c r="H115" s="13">
        <f>ROUND(SQRT(SUMXMY2(INDEX($B$85:$G$94,ROW()-106,0),INDEX($B$85:$G$94,COLUMN()-1,0))),6)</f>
        <v/>
      </c>
      <c r="I115" s="13">
        <f>ROUND(SQRT(SUMXMY2(INDEX($B$85:$G$94,ROW()-106,0),INDEX($B$85:$G$94,COLUMN()-1,0))),6)</f>
        <v/>
      </c>
      <c r="J115" s="13">
        <f>ROUND(SQRT(SUMXMY2(INDEX($B$85:$G$94,ROW()-106,0),INDEX($B$85:$G$94,COLUMN()-1,0))),6)</f>
        <v/>
      </c>
      <c r="K115" s="13">
        <f>ROUND(SQRT(SUMXMY2(INDEX($B$85:$G$94,ROW()-106,0),INDEX($B$85:$G$94,COLUMN()-1,0))),6)</f>
        <v/>
      </c>
    </row>
    <row r="116" ht="15" customHeight="1">
      <c r="A116" s="4" t="n"/>
      <c r="B116" s="13">
        <f>ROUND(SQRT(SUMXMY2(INDEX($B$85:$G$94,ROW()-106,0),INDEX($B$85:$G$94,COLUMN()-1,0))),6)</f>
        <v/>
      </c>
      <c r="C116" s="13">
        <f>ROUND(SQRT(SUMXMY2(INDEX($B$85:$G$94,ROW()-106,0),INDEX($B$85:$G$94,COLUMN()-1,0))),6)</f>
        <v/>
      </c>
      <c r="D116" s="13">
        <f>ROUND(SQRT(SUMXMY2(INDEX($B$85:$G$94,ROW()-106,0),INDEX($B$85:$G$94,COLUMN()-1,0))),6)</f>
        <v/>
      </c>
      <c r="E116" s="13">
        <f>ROUND(SQRT(SUMXMY2(INDEX($B$85:$G$94,ROW()-106,0),INDEX($B$85:$G$94,COLUMN()-1,0))),6)</f>
        <v/>
      </c>
      <c r="F116" s="13">
        <f>ROUND(SQRT(SUMXMY2(INDEX($B$85:$G$94,ROW()-106,0),INDEX($B$85:$G$94,COLUMN()-1,0))),6)</f>
        <v/>
      </c>
      <c r="G116" s="13">
        <f>ROUND(SQRT(SUMXMY2(INDEX($B$85:$G$94,ROW()-106,0),INDEX($B$85:$G$94,COLUMN()-1,0))),6)</f>
        <v/>
      </c>
      <c r="H116" s="13">
        <f>ROUND(SQRT(SUMXMY2(INDEX($B$85:$G$94,ROW()-106,0),INDEX($B$85:$G$94,COLUMN()-1,0))),6)</f>
        <v/>
      </c>
      <c r="I116" s="13">
        <f>ROUND(SQRT(SUMXMY2(INDEX($B$85:$G$94,ROW()-106,0),INDEX($B$85:$G$94,COLUMN()-1,0))),6)</f>
        <v/>
      </c>
      <c r="J116" s="13">
        <f>ROUND(SQRT(SUMXMY2(INDEX($B$85:$G$94,ROW()-106,0),INDEX($B$85:$G$94,COLUMN()-1,0))),6)</f>
        <v/>
      </c>
      <c r="K116" s="13">
        <f>ROUND(SQRT(SUMXMY2(INDEX($B$85:$G$94,ROW()-106,0),INDEX($B$85:$G$94,COLUMN()-1,0))),6)</f>
        <v/>
      </c>
    </row>
    <row r="117" ht="15" customHeight="1"/>
    <row r="118" ht="15" customHeight="1"/>
    <row r="119" ht="15" customHeight="1" thickBot="1"/>
    <row r="120" ht="15" customHeight="1">
      <c r="E120" s="102" t="inlineStr">
        <is>
          <t>Chebyshev distance</t>
        </is>
      </c>
      <c r="F120" s="108" t="n"/>
      <c r="G120" s="103" t="n"/>
    </row>
    <row r="121" ht="15" customHeight="1">
      <c r="E121" s="104" t="n"/>
      <c r="G121" s="105" t="n"/>
    </row>
    <row r="122" ht="15" customHeight="1">
      <c r="E122" s="104" t="n"/>
      <c r="G122" s="105" t="n"/>
    </row>
    <row r="123" ht="15" customHeight="1" thickBot="1">
      <c r="E123" s="106" t="n"/>
      <c r="F123" s="48" t="n"/>
      <c r="G123" s="107" t="n"/>
    </row>
    <row r="124" ht="15" customHeight="1"/>
    <row r="125" ht="15" customHeight="1">
      <c r="A125" s="65" t="inlineStr">
        <is>
          <t>Chebyshev Distance Matrix of min-max Normalized Dog-Wolf (10, 6, 2)</t>
        </is>
      </c>
      <c r="B125" s="100" t="n"/>
      <c r="C125" s="100" t="n"/>
      <c r="D125" s="100" t="n"/>
      <c r="E125" s="100" t="n"/>
      <c r="F125" s="100" t="n"/>
      <c r="G125" s="100" t="n"/>
      <c r="H125" s="100" t="n"/>
      <c r="I125" s="100" t="n"/>
      <c r="J125" s="100" t="n"/>
      <c r="K125" s="101" t="n"/>
    </row>
    <row r="126" ht="15" customHeight="1">
      <c r="A126" s="3" t="inlineStr">
        <is>
          <t>№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 ht="15" customHeight="1">
      <c r="A127" s="4" t="n"/>
      <c r="B127" s="13">
        <f t="array" ref="B127">ROUND(MAX(ABS(INDEX($B$85:$G$94,ROW()-126,0)-INDEX($B$85:$G$94,COLUMN()-1,0))),6)</f>
        <v/>
      </c>
      <c r="C127" s="13">
        <f t="array" ref="C127">ROUND(MAX(ABS(INDEX($B$85:$G$94,ROW()-126,0)-INDEX($B$85:$G$94,COLUMN()-1,0))),6)</f>
        <v/>
      </c>
      <c r="D127" s="13">
        <f t="array" ref="D127">ROUND(MAX(ABS(INDEX($B$85:$G$94,ROW()-126,0)-INDEX($B$85:$G$94,COLUMN()-1,0))),6)</f>
        <v/>
      </c>
      <c r="E127" s="13">
        <f t="array" ref="E127">ROUND(MAX(ABS(INDEX($B$85:$G$94,ROW()-126,0)-INDEX($B$85:$G$94,COLUMN()-1,0))),6)</f>
        <v/>
      </c>
      <c r="F127" s="13">
        <f t="array" ref="F127">ROUND(MAX(ABS(INDEX($B$85:$G$94,ROW()-126,0)-INDEX($B$85:$G$94,COLUMN()-1,0))),6)</f>
        <v/>
      </c>
      <c r="G127" s="13">
        <f t="array" ref="G127">ROUND(MAX(ABS(INDEX($B$85:$G$94,ROW()-126,0)-INDEX($B$85:$G$94,COLUMN()-1,0))),6)</f>
        <v/>
      </c>
      <c r="H127" s="13">
        <f t="array" ref="H127">ROUND(MAX(ABS(INDEX($B$85:$G$94,ROW()-126,0)-INDEX($B$85:$G$94,COLUMN()-1,0))),6)</f>
        <v/>
      </c>
      <c r="I127" s="13">
        <f t="array" ref="I127">ROUND(MAX(ABS(INDEX($B$85:$G$94,ROW()-126,0)-INDEX($B$85:$G$94,COLUMN()-1,0))),6)</f>
        <v/>
      </c>
      <c r="J127" s="13">
        <f t="array" ref="J127">ROUND(MAX(ABS(INDEX($B$85:$G$94,ROW()-126,0)-INDEX($B$85:$G$94,COLUMN()-1,0))),6)</f>
        <v/>
      </c>
      <c r="K127" s="13">
        <f t="array" ref="K127">ROUND(MAX(ABS(INDEX($B$85:$G$94,ROW()-126,0)-INDEX($B$85:$G$94,COLUMN()-1,0))),6)</f>
        <v/>
      </c>
    </row>
    <row r="128" ht="15" customHeight="1">
      <c r="A128" s="4" t="n"/>
      <c r="B128" s="13">
        <f t="array" ref="B128">ROUND(MAX(ABS(INDEX($B$85:$G$94,ROW()-126,0)-INDEX($B$85:$G$94,COLUMN()-1,0))),6)</f>
        <v/>
      </c>
      <c r="C128" s="13">
        <f t="array" ref="C128">ROUND(MAX(ABS(INDEX($B$85:$G$94,ROW()-126,0)-INDEX($B$85:$G$94,COLUMN()-1,0))),6)</f>
        <v/>
      </c>
      <c r="D128" s="13">
        <f t="array" ref="D128">ROUND(MAX(ABS(INDEX($B$85:$G$94,ROW()-126,0)-INDEX($B$85:$G$94,COLUMN()-1,0))),6)</f>
        <v/>
      </c>
      <c r="E128" s="13">
        <f t="array" ref="E128">ROUND(MAX(ABS(INDEX($B$85:$G$94,ROW()-126,0)-INDEX($B$85:$G$94,COLUMN()-1,0))),6)</f>
        <v/>
      </c>
      <c r="F128" s="13">
        <f t="array" ref="F128">ROUND(MAX(ABS(INDEX($B$85:$G$94,ROW()-126,0)-INDEX($B$85:$G$94,COLUMN()-1,0))),6)</f>
        <v/>
      </c>
      <c r="G128" s="13">
        <f t="array" ref="G128">ROUND(MAX(ABS(INDEX($B$85:$G$94,ROW()-126,0)-INDEX($B$85:$G$94,COLUMN()-1,0))),6)</f>
        <v/>
      </c>
      <c r="H128" s="13">
        <f t="array" ref="H128">ROUND(MAX(ABS(INDEX($B$85:$G$94,ROW()-126,0)-INDEX($B$85:$G$94,COLUMN()-1,0))),6)</f>
        <v/>
      </c>
      <c r="I128" s="13">
        <f t="array" ref="I128">ROUND(MAX(ABS(INDEX($B$85:$G$94,ROW()-126,0)-INDEX($B$85:$G$94,COLUMN()-1,0))),6)</f>
        <v/>
      </c>
      <c r="J128" s="13">
        <f t="array" ref="J128">ROUND(MAX(ABS(INDEX($B$85:$G$94,ROW()-126,0)-INDEX($B$85:$G$94,COLUMN()-1,0))),6)</f>
        <v/>
      </c>
      <c r="K128" s="13">
        <f t="array" ref="K128">ROUND(MAX(ABS(INDEX($B$85:$G$94,ROW()-126,0)-INDEX($B$85:$G$94,COLUMN()-1,0))),6)</f>
        <v/>
      </c>
    </row>
    <row r="129" ht="15" customHeight="1">
      <c r="A129" s="4" t="n"/>
      <c r="B129" s="13">
        <f t="array" ref="B129">ROUND(MAX(ABS(INDEX($B$85:$G$94,ROW()-126,0)-INDEX($B$85:$G$94,COLUMN()-1,0))),6)</f>
        <v/>
      </c>
      <c r="C129" s="13">
        <f t="array" ref="C129">ROUND(MAX(ABS(INDEX($B$85:$G$94,ROW()-126,0)-INDEX($B$85:$G$94,COLUMN()-1,0))),6)</f>
        <v/>
      </c>
      <c r="D129" s="13">
        <f t="array" ref="D129">ROUND(MAX(ABS(INDEX($B$85:$G$94,ROW()-126,0)-INDEX($B$85:$G$94,COLUMN()-1,0))),6)</f>
        <v/>
      </c>
      <c r="E129" s="13">
        <f t="array" ref="E129">ROUND(MAX(ABS(INDEX($B$85:$G$94,ROW()-126,0)-INDEX($B$85:$G$94,COLUMN()-1,0))),6)</f>
        <v/>
      </c>
      <c r="F129" s="13">
        <f t="array" ref="F129">ROUND(MAX(ABS(INDEX($B$85:$G$94,ROW()-126,0)-INDEX($B$85:$G$94,COLUMN()-1,0))),6)</f>
        <v/>
      </c>
      <c r="G129" s="13">
        <f t="array" ref="G129">ROUND(MAX(ABS(INDEX($B$85:$G$94,ROW()-126,0)-INDEX($B$85:$G$94,COLUMN()-1,0))),6)</f>
        <v/>
      </c>
      <c r="H129" s="13">
        <f t="array" ref="H129">ROUND(MAX(ABS(INDEX($B$85:$G$94,ROW()-126,0)-INDEX($B$85:$G$94,COLUMN()-1,0))),6)</f>
        <v/>
      </c>
      <c r="I129" s="13">
        <f t="array" ref="I129">ROUND(MAX(ABS(INDEX($B$85:$G$94,ROW()-126,0)-INDEX($B$85:$G$94,COLUMN()-1,0))),6)</f>
        <v/>
      </c>
      <c r="J129" s="13">
        <f t="array" ref="J129">ROUND(MAX(ABS(INDEX($B$85:$G$94,ROW()-126,0)-INDEX($B$85:$G$94,COLUMN()-1,0))),6)</f>
        <v/>
      </c>
      <c r="K129" s="13">
        <f t="array" ref="K129">ROUND(MAX(ABS(INDEX($B$85:$G$94,ROW()-126,0)-INDEX($B$85:$G$94,COLUMN()-1,0))),6)</f>
        <v/>
      </c>
    </row>
    <row r="130" ht="15" customHeight="1">
      <c r="A130" s="4" t="n"/>
      <c r="B130" s="13">
        <f t="array" ref="B130">ROUND(MAX(ABS(INDEX($B$85:$G$94,ROW()-126,0)-INDEX($B$85:$G$94,COLUMN()-1,0))),6)</f>
        <v/>
      </c>
      <c r="C130" s="13">
        <f t="array" ref="C130">ROUND(MAX(ABS(INDEX($B$85:$G$94,ROW()-126,0)-INDEX($B$85:$G$94,COLUMN()-1,0))),6)</f>
        <v/>
      </c>
      <c r="D130" s="13">
        <f t="array" ref="D130">ROUND(MAX(ABS(INDEX($B$85:$G$94,ROW()-126,0)-INDEX($B$85:$G$94,COLUMN()-1,0))),6)</f>
        <v/>
      </c>
      <c r="E130" s="13">
        <f t="array" ref="E130">ROUND(MAX(ABS(INDEX($B$85:$G$94,ROW()-126,0)-INDEX($B$85:$G$94,COLUMN()-1,0))),6)</f>
        <v/>
      </c>
      <c r="F130" s="13">
        <f t="array" ref="F130">ROUND(MAX(ABS(INDEX($B$85:$G$94,ROW()-126,0)-INDEX($B$85:$G$94,COLUMN()-1,0))),6)</f>
        <v/>
      </c>
      <c r="G130" s="13">
        <f t="array" ref="G130">ROUND(MAX(ABS(INDEX($B$85:$G$94,ROW()-126,0)-INDEX($B$85:$G$94,COLUMN()-1,0))),6)</f>
        <v/>
      </c>
      <c r="H130" s="13">
        <f t="array" ref="H130">ROUND(MAX(ABS(INDEX($B$85:$G$94,ROW()-126,0)-INDEX($B$85:$G$94,COLUMN()-1,0))),6)</f>
        <v/>
      </c>
      <c r="I130" s="13">
        <f t="array" ref="I130">ROUND(MAX(ABS(INDEX($B$85:$G$94,ROW()-126,0)-INDEX($B$85:$G$94,COLUMN()-1,0))),6)</f>
        <v/>
      </c>
      <c r="J130" s="13">
        <f t="array" ref="J130">ROUND(MAX(ABS(INDEX($B$85:$G$94,ROW()-126,0)-INDEX($B$85:$G$94,COLUMN()-1,0))),6)</f>
        <v/>
      </c>
      <c r="K130" s="13">
        <f t="array" ref="K130">ROUND(MAX(ABS(INDEX($B$85:$G$94,ROW()-126,0)-INDEX($B$85:$G$94,COLUMN()-1,0))),6)</f>
        <v/>
      </c>
    </row>
    <row r="131" ht="15" customHeight="1">
      <c r="A131" s="4" t="n"/>
      <c r="B131" s="13">
        <f t="array" ref="B131">ROUND(MAX(ABS(INDEX($B$85:$G$94,ROW()-126,0)-INDEX($B$85:$G$94,COLUMN()-1,0))),6)</f>
        <v/>
      </c>
      <c r="C131" s="13">
        <f t="array" ref="C131">ROUND(MAX(ABS(INDEX($B$85:$G$94,ROW()-126,0)-INDEX($B$85:$G$94,COLUMN()-1,0))),6)</f>
        <v/>
      </c>
      <c r="D131" s="13">
        <f t="array" ref="D131">ROUND(MAX(ABS(INDEX($B$85:$G$94,ROW()-126,0)-INDEX($B$85:$G$94,COLUMN()-1,0))),6)</f>
        <v/>
      </c>
      <c r="E131" s="13">
        <f t="array" ref="E131">ROUND(MAX(ABS(INDEX($B$85:$G$94,ROW()-126,0)-INDEX($B$85:$G$94,COLUMN()-1,0))),6)</f>
        <v/>
      </c>
      <c r="F131" s="13">
        <f t="array" ref="F131">ROUND(MAX(ABS(INDEX($B$85:$G$94,ROW()-126,0)-INDEX($B$85:$G$94,COLUMN()-1,0))),6)</f>
        <v/>
      </c>
      <c r="G131" s="13">
        <f t="array" ref="G131">ROUND(MAX(ABS(INDEX($B$85:$G$94,ROW()-126,0)-INDEX($B$85:$G$94,COLUMN()-1,0))),6)</f>
        <v/>
      </c>
      <c r="H131" s="13">
        <f t="array" ref="H131">ROUND(MAX(ABS(INDEX($B$85:$G$94,ROW()-126,0)-INDEX($B$85:$G$94,COLUMN()-1,0))),6)</f>
        <v/>
      </c>
      <c r="I131" s="13">
        <f t="array" ref="I131">ROUND(MAX(ABS(INDEX($B$85:$G$94,ROW()-126,0)-INDEX($B$85:$G$94,COLUMN()-1,0))),6)</f>
        <v/>
      </c>
      <c r="J131" s="13">
        <f t="array" ref="J131">ROUND(MAX(ABS(INDEX($B$85:$G$94,ROW()-126,0)-INDEX($B$85:$G$94,COLUMN()-1,0))),6)</f>
        <v/>
      </c>
      <c r="K131" s="13">
        <f t="array" ref="K131">ROUND(MAX(ABS(INDEX($B$85:$G$94,ROW()-126,0)-INDEX($B$85:$G$94,COLUMN()-1,0))),6)</f>
        <v/>
      </c>
    </row>
    <row r="132" ht="15" customHeight="1">
      <c r="A132" s="4" t="n"/>
      <c r="B132" s="13">
        <f t="array" ref="B132">ROUND(MAX(ABS(INDEX($B$85:$G$94,ROW()-126,0)-INDEX($B$85:$G$94,COLUMN()-1,0))),6)</f>
        <v/>
      </c>
      <c r="C132" s="13">
        <f t="array" ref="C132">ROUND(MAX(ABS(INDEX($B$85:$G$94,ROW()-126,0)-INDEX($B$85:$G$94,COLUMN()-1,0))),6)</f>
        <v/>
      </c>
      <c r="D132" s="13">
        <f t="array" ref="D132">ROUND(MAX(ABS(INDEX($B$85:$G$94,ROW()-126,0)-INDEX($B$85:$G$94,COLUMN()-1,0))),6)</f>
        <v/>
      </c>
      <c r="E132" s="13">
        <f t="array" ref="E132">ROUND(MAX(ABS(INDEX($B$85:$G$94,ROW()-126,0)-INDEX($B$85:$G$94,COLUMN()-1,0))),6)</f>
        <v/>
      </c>
      <c r="F132" s="13">
        <f t="array" ref="F132">ROUND(MAX(ABS(INDEX($B$85:$G$94,ROW()-126,0)-INDEX($B$85:$G$94,COLUMN()-1,0))),6)</f>
        <v/>
      </c>
      <c r="G132" s="13">
        <f t="array" ref="G132">ROUND(MAX(ABS(INDEX($B$85:$G$94,ROW()-126,0)-INDEX($B$85:$G$94,COLUMN()-1,0))),6)</f>
        <v/>
      </c>
      <c r="H132" s="13">
        <f t="array" ref="H132">ROUND(MAX(ABS(INDEX($B$85:$G$94,ROW()-126,0)-INDEX($B$85:$G$94,COLUMN()-1,0))),6)</f>
        <v/>
      </c>
      <c r="I132" s="13">
        <f t="array" ref="I132">ROUND(MAX(ABS(INDEX($B$85:$G$94,ROW()-126,0)-INDEX($B$85:$G$94,COLUMN()-1,0))),6)</f>
        <v/>
      </c>
      <c r="J132" s="13">
        <f t="array" ref="J132">ROUND(MAX(ABS(INDEX($B$85:$G$94,ROW()-126,0)-INDEX($B$85:$G$94,COLUMN()-1,0))),6)</f>
        <v/>
      </c>
      <c r="K132" s="13">
        <f t="array" ref="K132">ROUND(MAX(ABS(INDEX($B$85:$G$94,ROW()-126,0)-INDEX($B$85:$G$94,COLUMN()-1,0))),6)</f>
        <v/>
      </c>
    </row>
    <row r="133" ht="15" customHeight="1">
      <c r="A133" s="4" t="n"/>
      <c r="B133" s="13">
        <f t="array" ref="B133">ROUND(MAX(ABS(INDEX($B$85:$G$94,ROW()-126,0)-INDEX($B$85:$G$94,COLUMN()-1,0))),6)</f>
        <v/>
      </c>
      <c r="C133" s="13">
        <f t="array" ref="C133">ROUND(MAX(ABS(INDEX($B$85:$G$94,ROW()-126,0)-INDEX($B$85:$G$94,COLUMN()-1,0))),6)</f>
        <v/>
      </c>
      <c r="D133" s="13">
        <f t="array" ref="D133">ROUND(MAX(ABS(INDEX($B$85:$G$94,ROW()-126,0)-INDEX($B$85:$G$94,COLUMN()-1,0))),6)</f>
        <v/>
      </c>
      <c r="E133" s="13">
        <f t="array" ref="E133">ROUND(MAX(ABS(INDEX($B$85:$G$94,ROW()-126,0)-INDEX($B$85:$G$94,COLUMN()-1,0))),6)</f>
        <v/>
      </c>
      <c r="F133" s="13">
        <f t="array" ref="F133">ROUND(MAX(ABS(INDEX($B$85:$G$94,ROW()-126,0)-INDEX($B$85:$G$94,COLUMN()-1,0))),6)</f>
        <v/>
      </c>
      <c r="G133" s="13">
        <f t="array" ref="G133">ROUND(MAX(ABS(INDEX($B$85:$G$94,ROW()-126,0)-INDEX($B$85:$G$94,COLUMN()-1,0))),6)</f>
        <v/>
      </c>
      <c r="H133" s="13">
        <f t="array" ref="H133">ROUND(MAX(ABS(INDEX($B$85:$G$94,ROW()-126,0)-INDEX($B$85:$G$94,COLUMN()-1,0))),6)</f>
        <v/>
      </c>
      <c r="I133" s="13">
        <f t="array" ref="I133">ROUND(MAX(ABS(INDEX($B$85:$G$94,ROW()-126,0)-INDEX($B$85:$G$94,COLUMN()-1,0))),6)</f>
        <v/>
      </c>
      <c r="J133" s="13">
        <f t="array" ref="J133">ROUND(MAX(ABS(INDEX($B$85:$G$94,ROW()-126,0)-INDEX($B$85:$G$94,COLUMN()-1,0))),6)</f>
        <v/>
      </c>
      <c r="K133" s="13">
        <f t="array" ref="K133">ROUND(MAX(ABS(INDEX($B$85:$G$94,ROW()-126,0)-INDEX($B$85:$G$94,COLUMN()-1,0))),6)</f>
        <v/>
      </c>
    </row>
    <row r="134" ht="15" customHeight="1">
      <c r="A134" s="4" t="n"/>
      <c r="B134" s="13">
        <f t="array" ref="B134">ROUND(MAX(ABS(INDEX($B$85:$G$94,ROW()-126,0)-INDEX($B$85:$G$94,COLUMN()-1,0))),6)</f>
        <v/>
      </c>
      <c r="C134" s="13">
        <f t="array" ref="C134">ROUND(MAX(ABS(INDEX($B$85:$G$94,ROW()-126,0)-INDEX($B$85:$G$94,COLUMN()-1,0))),6)</f>
        <v/>
      </c>
      <c r="D134" s="13">
        <f t="array" ref="D134">ROUND(MAX(ABS(INDEX($B$85:$G$94,ROW()-126,0)-INDEX($B$85:$G$94,COLUMN()-1,0))),6)</f>
        <v/>
      </c>
      <c r="E134" s="13">
        <f t="array" ref="E134">ROUND(MAX(ABS(INDEX($B$85:$G$94,ROW()-126,0)-INDEX($B$85:$G$94,COLUMN()-1,0))),6)</f>
        <v/>
      </c>
      <c r="F134" s="13">
        <f t="array" ref="F134">ROUND(MAX(ABS(INDEX($B$85:$G$94,ROW()-126,0)-INDEX($B$85:$G$94,COLUMN()-1,0))),6)</f>
        <v/>
      </c>
      <c r="G134" s="13">
        <f t="array" ref="G134">ROUND(MAX(ABS(INDEX($B$85:$G$94,ROW()-126,0)-INDEX($B$85:$G$94,COLUMN()-1,0))),6)</f>
        <v/>
      </c>
      <c r="H134" s="13">
        <f t="array" ref="H134">ROUND(MAX(ABS(INDEX($B$85:$G$94,ROW()-126,0)-INDEX($B$85:$G$94,COLUMN()-1,0))),6)</f>
        <v/>
      </c>
      <c r="I134" s="13">
        <f t="array" ref="I134">ROUND(MAX(ABS(INDEX($B$85:$G$94,ROW()-126,0)-INDEX($B$85:$G$94,COLUMN()-1,0))),6)</f>
        <v/>
      </c>
      <c r="J134" s="13">
        <f t="array" ref="J134">ROUND(MAX(ABS(INDEX($B$85:$G$94,ROW()-126,0)-INDEX($B$85:$G$94,COLUMN()-1,0))),6)</f>
        <v/>
      </c>
      <c r="K134" s="13">
        <f t="array" ref="K134">ROUND(MAX(ABS(INDEX($B$85:$G$94,ROW()-126,0)-INDEX($B$85:$G$94,COLUMN()-1,0))),6)</f>
        <v/>
      </c>
    </row>
    <row r="135" ht="15" customHeight="1">
      <c r="A135" s="4" t="n"/>
      <c r="B135" s="13">
        <f t="array" ref="B135">ROUND(MAX(ABS(INDEX($B$85:$G$94,ROW()-126,0)-INDEX($B$85:$G$94,COLUMN()-1,0))),6)</f>
        <v/>
      </c>
      <c r="C135" s="13">
        <f t="array" ref="C135">ROUND(MAX(ABS(INDEX($B$85:$G$94,ROW()-126,0)-INDEX($B$85:$G$94,COLUMN()-1,0))),6)</f>
        <v/>
      </c>
      <c r="D135" s="13">
        <f t="array" ref="D135">ROUND(MAX(ABS(INDEX($B$85:$G$94,ROW()-126,0)-INDEX($B$85:$G$94,COLUMN()-1,0))),6)</f>
        <v/>
      </c>
      <c r="E135" s="13">
        <f t="array" ref="E135">ROUND(MAX(ABS(INDEX($B$85:$G$94,ROW()-126,0)-INDEX($B$85:$G$94,COLUMN()-1,0))),6)</f>
        <v/>
      </c>
      <c r="F135" s="13">
        <f t="array" ref="F135">ROUND(MAX(ABS(INDEX($B$85:$G$94,ROW()-126,0)-INDEX($B$85:$G$94,COLUMN()-1,0))),6)</f>
        <v/>
      </c>
      <c r="G135" s="13">
        <f t="array" ref="G135">ROUND(MAX(ABS(INDEX($B$85:$G$94,ROW()-126,0)-INDEX($B$85:$G$94,COLUMN()-1,0))),6)</f>
        <v/>
      </c>
      <c r="H135" s="13">
        <f t="array" ref="H135">ROUND(MAX(ABS(INDEX($B$85:$G$94,ROW()-126,0)-INDEX($B$85:$G$94,COLUMN()-1,0))),6)</f>
        <v/>
      </c>
      <c r="I135" s="13">
        <f t="array" ref="I135">ROUND(MAX(ABS(INDEX($B$85:$G$94,ROW()-126,0)-INDEX($B$85:$G$94,COLUMN()-1,0))),6)</f>
        <v/>
      </c>
      <c r="J135" s="13">
        <f t="array" ref="J135">ROUND(MAX(ABS(INDEX($B$85:$G$94,ROW()-126,0)-INDEX($B$85:$G$94,COLUMN()-1,0))),6)</f>
        <v/>
      </c>
      <c r="K135" s="13">
        <f t="array" ref="K135">ROUND(MAX(ABS(INDEX($B$85:$G$94,ROW()-126,0)-INDEX($B$85:$G$94,COLUMN()-1,0))),6)</f>
        <v/>
      </c>
    </row>
    <row r="136" ht="15" customHeight="1">
      <c r="A136" s="4" t="n"/>
      <c r="B136" s="13">
        <f t="array" ref="B136">ROUND(MAX(ABS(INDEX($B$85:$G$94,ROW()-126,0)-INDEX($B$85:$G$94,COLUMN()-1,0))),6)</f>
        <v/>
      </c>
      <c r="C136" s="13">
        <f t="array" ref="C136">ROUND(MAX(ABS(INDEX($B$85:$G$94,ROW()-126,0)-INDEX($B$85:$G$94,COLUMN()-1,0))),6)</f>
        <v/>
      </c>
      <c r="D136" s="13">
        <f t="array" ref="D136">ROUND(MAX(ABS(INDEX($B$85:$G$94,ROW()-126,0)-INDEX($B$85:$G$94,COLUMN()-1,0))),6)</f>
        <v/>
      </c>
      <c r="E136" s="13">
        <f t="array" ref="E136">ROUND(MAX(ABS(INDEX($B$85:$G$94,ROW()-126,0)-INDEX($B$85:$G$94,COLUMN()-1,0))),6)</f>
        <v/>
      </c>
      <c r="F136" s="13">
        <f t="array" ref="F136">ROUND(MAX(ABS(INDEX($B$85:$G$94,ROW()-126,0)-INDEX($B$85:$G$94,COLUMN()-1,0))),6)</f>
        <v/>
      </c>
      <c r="G136" s="13">
        <f t="array" ref="G136">ROUND(MAX(ABS(INDEX($B$85:$G$94,ROW()-126,0)-INDEX($B$85:$G$94,COLUMN()-1,0))),6)</f>
        <v/>
      </c>
      <c r="H136" s="13">
        <f t="array" ref="H136">ROUND(MAX(ABS(INDEX($B$85:$G$94,ROW()-126,0)-INDEX($B$85:$G$94,COLUMN()-1,0))),6)</f>
        <v/>
      </c>
      <c r="I136" s="13">
        <f t="array" ref="I136">ROUND(MAX(ABS(INDEX($B$85:$G$94,ROW()-126,0)-INDEX($B$85:$G$94,COLUMN()-1,0))),6)</f>
        <v/>
      </c>
      <c r="J136" s="13">
        <f t="array" ref="J136">ROUND(MAX(ABS(INDEX($B$85:$G$94,ROW()-126,0)-INDEX($B$85:$G$94,COLUMN()-1,0))),6)</f>
        <v/>
      </c>
      <c r="K136" s="13">
        <f t="array" ref="K136">ROUND(MAX(ABS(INDEX($B$85:$G$94,ROW()-126,0)-INDEX($B$85:$G$94,COLUMN()-1,0))),6)</f>
        <v/>
      </c>
    </row>
    <row r="137" ht="15" customHeight="1"/>
    <row r="138" ht="15" customHeight="1"/>
    <row r="139" ht="15" customHeight="1" thickBot="1"/>
    <row r="140" ht="15" customHeight="1">
      <c r="E140" s="102" t="inlineStr">
        <is>
          <t>Canberra distance</t>
        </is>
      </c>
      <c r="F140" s="108" t="n"/>
      <c r="G140" s="103" t="n"/>
    </row>
    <row r="141" ht="15" customHeight="1">
      <c r="E141" s="104" t="n"/>
      <c r="G141" s="105" t="n"/>
    </row>
    <row r="142" ht="15" customHeight="1">
      <c r="E142" s="104" t="n"/>
      <c r="G142" s="105" t="n"/>
    </row>
    <row r="143" ht="15" customHeight="1">
      <c r="E143" s="104" t="n"/>
      <c r="G143" s="105" t="n"/>
    </row>
    <row r="144" ht="15" customHeight="1" thickBot="1">
      <c r="E144" s="106" t="n"/>
      <c r="F144" s="48" t="n"/>
      <c r="G144" s="107" t="n"/>
    </row>
    <row r="145" ht="15" customHeight="1"/>
    <row r="146" ht="15" customHeight="1">
      <c r="A146" s="65" t="inlineStr">
        <is>
          <t>Canberra Distance Matrix of min-max Normalized Dog-Wolf (10, 6, 2)</t>
        </is>
      </c>
      <c r="B146" s="100" t="n"/>
      <c r="C146" s="100" t="n"/>
      <c r="D146" s="100" t="n"/>
      <c r="E146" s="100" t="n"/>
      <c r="F146" s="100" t="n"/>
      <c r="G146" s="100" t="n"/>
      <c r="H146" s="100" t="n"/>
      <c r="I146" s="100" t="n"/>
      <c r="J146" s="100" t="n"/>
      <c r="K146" s="101" t="n"/>
    </row>
    <row r="147" ht="15" customHeight="1">
      <c r="A147" s="3" t="inlineStr">
        <is>
          <t>№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 ht="15" customHeight="1">
      <c r="A148" s="4" t="n"/>
      <c r="B148" s="13">
        <f t="array" ref="B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48" s="13">
        <f t="array" ref="C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48" s="13">
        <f t="array" ref="D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48" s="13">
        <f t="array" ref="E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48" s="13">
        <f t="array" ref="F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48" s="13">
        <f t="array" ref="G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48" s="13">
        <f t="array" ref="H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48" s="13">
        <f t="array" ref="I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48" s="13">
        <f t="array" ref="J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48" s="13">
        <f t="array" ref="K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49" ht="15" customHeight="1">
      <c r="A149" s="4" t="n"/>
      <c r="B149" s="13">
        <f t="array" ref="B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49" s="13">
        <f t="array" ref="C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49" s="13">
        <f t="array" ref="D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49" s="13">
        <f t="array" ref="E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49" s="13">
        <f t="array" ref="F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49" s="13">
        <f t="array" ref="G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49" s="13">
        <f t="array" ref="H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49" s="13">
        <f t="array" ref="I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49" s="13">
        <f t="array" ref="J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49" s="13">
        <f t="array" ref="K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0" ht="15" customHeight="1">
      <c r="A150" s="4" t="n"/>
      <c r="B150" s="13">
        <f t="array" ref="B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0" s="13">
        <f t="array" ref="C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0" s="13">
        <f t="array" ref="D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0" s="13">
        <f t="array" ref="E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0" s="13">
        <f t="array" ref="F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0" s="13">
        <f t="array" ref="G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0" s="13">
        <f t="array" ref="H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0" s="13">
        <f t="array" ref="I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0" s="13">
        <f t="array" ref="J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0" s="13">
        <f t="array" ref="K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1" ht="15" customHeight="1">
      <c r="A151" s="4" t="n"/>
      <c r="B151" s="13">
        <f t="array" ref="B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1" s="13">
        <f t="array" ref="C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1" s="13">
        <f t="array" ref="D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1" s="13">
        <f t="array" ref="E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1" s="13">
        <f t="array" ref="F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1" s="13">
        <f t="array" ref="G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1" s="13">
        <f t="array" ref="H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1" s="13">
        <f t="array" ref="I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1" s="13">
        <f t="array" ref="J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1" s="13">
        <f t="array" ref="K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2" ht="15" customHeight="1">
      <c r="A152" s="4" t="n"/>
      <c r="B152" s="13">
        <f t="array" ref="B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2" s="13">
        <f t="array" ref="C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2" s="13">
        <f t="array" ref="D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2" s="13">
        <f t="array" ref="E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2" s="13">
        <f t="array" ref="F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2" s="13">
        <f t="array" ref="G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2" s="13">
        <f t="array" ref="H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2" s="13">
        <f t="array" ref="I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2" s="13">
        <f t="array" ref="J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2" s="13">
        <f t="array" ref="K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3" ht="15" customHeight="1">
      <c r="A153" s="4" t="n"/>
      <c r="B153" s="13">
        <f t="array" ref="B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3" s="13">
        <f t="array" ref="C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3" s="13">
        <f t="array" ref="D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3" s="13">
        <f t="array" ref="E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3" s="13">
        <f t="array" ref="F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3" s="13">
        <f t="array" ref="G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3" s="13">
        <f t="array" ref="H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3" s="13">
        <f t="array" ref="I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3" s="13">
        <f t="array" ref="J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3" s="13">
        <f t="array" ref="K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4" ht="15" customHeight="1">
      <c r="A154" s="4" t="n"/>
      <c r="B154" s="13">
        <f t="array" ref="B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4" s="13">
        <f t="array" ref="C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4" s="13">
        <f t="array" ref="D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4" s="13">
        <f t="array" ref="E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4" s="13">
        <f t="array" ref="F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4" s="13">
        <f t="array" ref="G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4" s="13">
        <f t="array" ref="H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4" s="13">
        <f t="array" ref="I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4" s="13">
        <f t="array" ref="J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4" s="13">
        <f t="array" ref="K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5" ht="15" customHeight="1">
      <c r="A155" s="4" t="n"/>
      <c r="B155" s="13">
        <f t="array" ref="B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5" s="13">
        <f t="array" ref="C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5" s="13">
        <f t="array" ref="D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5" s="13">
        <f t="array" ref="E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5" s="13">
        <f t="array" ref="F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5" s="13">
        <f t="array" ref="G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5" s="13">
        <f t="array" ref="H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5" s="13">
        <f t="array" ref="I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5" s="13">
        <f t="array" ref="J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5" s="13">
        <f t="array" ref="K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6" ht="15" customHeight="1">
      <c r="A156" s="4" t="n"/>
      <c r="B156" s="13">
        <f t="array" ref="B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6" s="13">
        <f t="array" ref="C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6" s="13">
        <f t="array" ref="D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6" s="13">
        <f t="array" ref="E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6" s="13">
        <f t="array" ref="F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6" s="13">
        <f t="array" ref="G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6" s="13">
        <f t="array" ref="H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6" s="13">
        <f t="array" ref="I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6" s="13">
        <f t="array" ref="J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6" s="13">
        <f t="array" ref="K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7" ht="15" customHeight="1">
      <c r="A157" s="4" t="n"/>
      <c r="B157" s="13">
        <f t="array" ref="B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C157" s="13">
        <f t="array" ref="C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D157" s="13">
        <f t="array" ref="D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E157" s="13">
        <f t="array" ref="E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F157" s="13">
        <f t="array" ref="F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G157" s="13">
        <f t="array" ref="G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H157" s="13">
        <f t="array" ref="H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I157" s="13">
        <f t="array" ref="I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J157" s="13">
        <f t="array" ref="J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  <c r="K157" s="13">
        <f t="array" ref="K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/>
      </c>
    </row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15">
    <mergeCell ref="A105:K105"/>
    <mergeCell ref="E120:G123"/>
    <mergeCell ref="A146:K146"/>
    <mergeCell ref="E38:G41"/>
    <mergeCell ref="A83:H83"/>
    <mergeCell ref="A64:K64"/>
    <mergeCell ref="E17:G21"/>
    <mergeCell ref="A43:K43"/>
    <mergeCell ref="E58:G62"/>
    <mergeCell ref="A125:K125"/>
    <mergeCell ref="E140:G144"/>
    <mergeCell ref="A1:H1"/>
    <mergeCell ref="E99:G103"/>
    <mergeCell ref="A23:K23"/>
    <mergeCell ref="A79:K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30"/>
  <sheetViews>
    <sheetView topLeftCell="A9" zoomScaleNormal="100" workbookViewId="0">
      <selection activeCell="E17" sqref="E17"/>
    </sheetView>
  </sheetViews>
  <sheetFormatPr baseColWidth="8" defaultRowHeight="14.4"/>
  <cols>
    <col width="10.77734375" customWidth="1" min="1" max="10"/>
    <col width="11.33203125" customWidth="1" min="11" max="12"/>
    <col width="10.77734375" customWidth="1" min="13" max="59"/>
  </cols>
  <sheetData>
    <row r="1" ht="15.6" customHeight="1">
      <c r="A1" s="65" t="inlineStr">
        <is>
          <t>Euclidean Distance Matrix of Dog-Wolf (10, 6, 2)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1" t="n"/>
    </row>
    <row r="2" ht="15.6" customHeight="1">
      <c r="A2" s="3" t="inlineStr">
        <is>
          <t>№</t>
        </is>
      </c>
      <c r="B2" s="4" t="inlineStr">
        <is>
          <t>S1</t>
        </is>
      </c>
      <c r="C2" s="4" t="inlineStr">
        <is>
          <t>S2</t>
        </is>
      </c>
      <c r="D2" s="4" t="inlineStr">
        <is>
          <t>S3</t>
        </is>
      </c>
      <c r="E2" s="4" t="inlineStr">
        <is>
          <t>S4</t>
        </is>
      </c>
      <c r="F2" s="4" t="inlineStr">
        <is>
          <t>S5</t>
        </is>
      </c>
      <c r="G2" s="4" t="inlineStr">
        <is>
          <t>S6</t>
        </is>
      </c>
      <c r="H2" s="4" t="inlineStr">
        <is>
          <t>S7</t>
        </is>
      </c>
      <c r="I2" s="4" t="inlineStr">
        <is>
          <t>S8</t>
        </is>
      </c>
      <c r="J2" s="4" t="inlineStr">
        <is>
          <t>S9</t>
        </is>
      </c>
      <c r="K2" s="4" t="inlineStr">
        <is>
          <t>S10</t>
        </is>
      </c>
      <c r="L2" s="18" t="inlineStr">
        <is>
          <t>Class</t>
        </is>
      </c>
      <c r="M2" s="2" t="n"/>
    </row>
    <row r="3" ht="15.6" customHeight="1">
      <c r="A3" s="4" t="inlineStr">
        <is>
          <t>S1</t>
        </is>
      </c>
      <c r="B3" s="13" t="n">
        <v>0</v>
      </c>
      <c r="C3" s="13" t="n">
        <v>33.294744</v>
      </c>
      <c r="D3" s="13" t="n">
        <v>84.512366</v>
      </c>
      <c r="E3" s="13" t="n">
        <v>52.837297</v>
      </c>
      <c r="F3" s="13" t="n">
        <v>113.283273</v>
      </c>
      <c r="G3" s="13" t="n">
        <v>69.816975</v>
      </c>
      <c r="H3" s="13" t="n">
        <v>53.987128</v>
      </c>
      <c r="I3" s="13" t="n">
        <v>57.210663</v>
      </c>
      <c r="J3" s="13" t="n">
        <v>115.854952</v>
      </c>
      <c r="K3" s="13" t="n">
        <v>119.704177</v>
      </c>
      <c r="L3" s="5" t="n">
        <v>1</v>
      </c>
    </row>
    <row r="4" ht="15.6" customHeight="1">
      <c r="A4" s="4" t="inlineStr">
        <is>
          <t>S2</t>
        </is>
      </c>
      <c r="B4" s="13" t="n">
        <v>33.294744</v>
      </c>
      <c r="C4" s="13" t="n">
        <v>0</v>
      </c>
      <c r="D4" s="13" t="n">
        <v>54.899545</v>
      </c>
      <c r="E4" s="13" t="n">
        <v>21.409811</v>
      </c>
      <c r="F4" s="13" t="n">
        <v>84.909481</v>
      </c>
      <c r="G4" s="13" t="n">
        <v>39.609973</v>
      </c>
      <c r="H4" s="13" t="n">
        <v>23.750158</v>
      </c>
      <c r="I4" s="13" t="n">
        <v>26.300951</v>
      </c>
      <c r="J4" s="13" t="n">
        <v>88.559189</v>
      </c>
      <c r="K4" s="13" t="n">
        <v>92.57348399999999</v>
      </c>
      <c r="L4" s="5" t="n">
        <v>1</v>
      </c>
    </row>
    <row r="5" ht="14.4" customHeight="1">
      <c r="A5" s="4" t="inlineStr">
        <is>
          <t>S3</t>
        </is>
      </c>
      <c r="B5" s="13" t="n">
        <v>84.512366</v>
      </c>
      <c r="C5" s="13" t="n">
        <v>54.899545</v>
      </c>
      <c r="D5" s="13" t="n">
        <v>0</v>
      </c>
      <c r="E5" s="13" t="n">
        <v>34.882374</v>
      </c>
      <c r="F5" s="13" t="n">
        <v>30.77174</v>
      </c>
      <c r="G5" s="13" t="n">
        <v>16.691016</v>
      </c>
      <c r="H5" s="13" t="n">
        <v>49.288031</v>
      </c>
      <c r="I5" s="13" t="n">
        <v>41.646849</v>
      </c>
      <c r="J5" s="13" t="n">
        <v>34.828867</v>
      </c>
      <c r="K5" s="13" t="n">
        <v>39.151117</v>
      </c>
      <c r="L5" s="5" t="n">
        <v>2</v>
      </c>
    </row>
    <row r="6" ht="14.4" customHeight="1">
      <c r="A6" s="4" t="inlineStr">
        <is>
          <t>S4</t>
        </is>
      </c>
      <c r="B6" s="13" t="n">
        <v>52.837297</v>
      </c>
      <c r="C6" s="13" t="n">
        <v>21.409811</v>
      </c>
      <c r="D6" s="13" t="n">
        <v>34.882374</v>
      </c>
      <c r="E6" s="13" t="n">
        <v>0</v>
      </c>
      <c r="F6" s="13" t="n">
        <v>65.205061</v>
      </c>
      <c r="G6" s="13" t="n">
        <v>19.538935</v>
      </c>
      <c r="H6" s="13" t="n">
        <v>19.547123</v>
      </c>
      <c r="I6" s="13" t="n">
        <v>14.688771</v>
      </c>
      <c r="J6" s="13" t="n">
        <v>69.067286</v>
      </c>
      <c r="K6" s="13" t="n">
        <v>73.206352</v>
      </c>
      <c r="L6" s="5" t="n">
        <v>1</v>
      </c>
    </row>
    <row r="7" ht="15" customHeight="1">
      <c r="A7" s="4" t="inlineStr">
        <is>
          <t>S5</t>
        </is>
      </c>
      <c r="B7" s="13" t="n">
        <v>113.283273</v>
      </c>
      <c r="C7" s="13" t="n">
        <v>84.909481</v>
      </c>
      <c r="D7" s="13" t="n">
        <v>30.77174</v>
      </c>
      <c r="E7" s="13" t="n">
        <v>65.205061</v>
      </c>
      <c r="F7" s="13" t="n">
        <v>0</v>
      </c>
      <c r="G7" s="13" t="n">
        <v>45.985759</v>
      </c>
      <c r="H7" s="13" t="n">
        <v>78.993734</v>
      </c>
      <c r="I7" s="13" t="n">
        <v>71.674403</v>
      </c>
      <c r="J7" s="13" t="n">
        <v>7.154719</v>
      </c>
      <c r="K7" s="13" t="n">
        <v>10.437912</v>
      </c>
      <c r="L7" s="5" t="n">
        <v>2</v>
      </c>
    </row>
    <row r="8" ht="15.6" customHeight="1">
      <c r="A8" s="4" t="inlineStr">
        <is>
          <t>S6</t>
        </is>
      </c>
      <c r="B8" s="13" t="n">
        <v>69.816975</v>
      </c>
      <c r="C8" s="13" t="n">
        <v>39.609973</v>
      </c>
      <c r="D8" s="13" t="n">
        <v>16.691016</v>
      </c>
      <c r="E8" s="13" t="n">
        <v>19.538935</v>
      </c>
      <c r="F8" s="13" t="n">
        <v>45.985759</v>
      </c>
      <c r="G8" s="13" t="n">
        <v>0</v>
      </c>
      <c r="H8" s="13" t="n">
        <v>35.106125</v>
      </c>
      <c r="I8" s="13" t="n">
        <v>28.659553</v>
      </c>
      <c r="J8" s="13" t="n">
        <v>50.086126</v>
      </c>
      <c r="K8" s="13" t="n">
        <v>54.06829</v>
      </c>
      <c r="L8" s="5" t="n">
        <v>1</v>
      </c>
    </row>
    <row r="9" ht="15.6" customHeight="1">
      <c r="A9" s="4" t="inlineStr">
        <is>
          <t>S7</t>
        </is>
      </c>
      <c r="B9" s="13" t="n">
        <v>53.987128</v>
      </c>
      <c r="C9" s="13" t="n">
        <v>23.750158</v>
      </c>
      <c r="D9" s="13" t="n">
        <v>49.288031</v>
      </c>
      <c r="E9" s="13" t="n">
        <v>19.547123</v>
      </c>
      <c r="F9" s="13" t="n">
        <v>78.993734</v>
      </c>
      <c r="G9" s="13" t="n">
        <v>35.106125</v>
      </c>
      <c r="H9" s="13" t="n">
        <v>0</v>
      </c>
      <c r="I9" s="13" t="n">
        <v>10.119783</v>
      </c>
      <c r="J9" s="13" t="n">
        <v>83.638627</v>
      </c>
      <c r="K9" s="13" t="n">
        <v>87.661736</v>
      </c>
      <c r="L9" s="5" t="n">
        <v>1</v>
      </c>
    </row>
    <row r="10" ht="15.6" customHeight="1">
      <c r="A10" s="4" t="inlineStr">
        <is>
          <t>S8</t>
        </is>
      </c>
      <c r="B10" s="13" t="n">
        <v>57.210663</v>
      </c>
      <c r="C10" s="13" t="n">
        <v>26.300951</v>
      </c>
      <c r="D10" s="13" t="n">
        <v>41.646849</v>
      </c>
      <c r="E10" s="13" t="n">
        <v>14.688771</v>
      </c>
      <c r="F10" s="13" t="n">
        <v>71.674403</v>
      </c>
      <c r="G10" s="13" t="n">
        <v>28.659553</v>
      </c>
      <c r="H10" s="13" t="n">
        <v>10.119783</v>
      </c>
      <c r="I10" s="13" t="n">
        <v>0</v>
      </c>
      <c r="J10" s="13" t="n">
        <v>75.944519</v>
      </c>
      <c r="K10" s="13" t="n">
        <v>80.101748</v>
      </c>
      <c r="L10" s="5" t="n">
        <v>1</v>
      </c>
    </row>
    <row r="11" ht="15.6" customHeight="1">
      <c r="A11" s="4" t="inlineStr">
        <is>
          <t>S9</t>
        </is>
      </c>
      <c r="B11" s="13" t="n">
        <v>115.854952</v>
      </c>
      <c r="C11" s="13" t="n">
        <v>88.559189</v>
      </c>
      <c r="D11" s="13" t="n">
        <v>34.828867</v>
      </c>
      <c r="E11" s="13" t="n">
        <v>69.067286</v>
      </c>
      <c r="F11" s="13" t="n">
        <v>7.154719</v>
      </c>
      <c r="G11" s="13" t="n">
        <v>50.086126</v>
      </c>
      <c r="H11" s="13" t="n">
        <v>83.638627</v>
      </c>
      <c r="I11" s="13" t="n">
        <v>75.944519</v>
      </c>
      <c r="J11" s="13" t="n">
        <v>0</v>
      </c>
      <c r="K11" s="13" t="n">
        <v>5.531727</v>
      </c>
      <c r="L11" s="5" t="n">
        <v>2</v>
      </c>
    </row>
    <row r="12" ht="15.6" customHeight="1">
      <c r="A12" s="4" t="inlineStr">
        <is>
          <t>S10</t>
        </is>
      </c>
      <c r="B12" s="13" t="n">
        <v>119.704177</v>
      </c>
      <c r="C12" s="13" t="n">
        <v>92.57348399999999</v>
      </c>
      <c r="D12" s="13" t="n">
        <v>39.151117</v>
      </c>
      <c r="E12" s="13" t="n">
        <v>73.206352</v>
      </c>
      <c r="F12" s="13" t="n">
        <v>10.437912</v>
      </c>
      <c r="G12" s="13" t="n">
        <v>54.06829</v>
      </c>
      <c r="H12" s="13" t="n">
        <v>87.661736</v>
      </c>
      <c r="I12" s="13" t="n">
        <v>80.101748</v>
      </c>
      <c r="J12" s="13" t="n">
        <v>5.531727</v>
      </c>
      <c r="K12" s="13" t="n">
        <v>0</v>
      </c>
      <c r="L12" s="5" t="n">
        <v>2</v>
      </c>
    </row>
    <row r="14" ht="15" customHeight="1"/>
    <row r="15" ht="15" customHeight="1">
      <c r="A15" s="77" t="inlineStr">
        <is>
          <t>Euclidean Neighbors (S1)</t>
        </is>
      </c>
      <c r="B15" s="100" t="n"/>
      <c r="C15" s="100" t="n"/>
      <c r="D15" s="100" t="n"/>
      <c r="E15" s="101" t="n"/>
      <c r="G15" s="77" t="inlineStr">
        <is>
          <t>Euclidean Neighbors (S2)</t>
        </is>
      </c>
      <c r="H15" s="100" t="n"/>
      <c r="I15" s="100" t="n"/>
      <c r="J15" s="100" t="n"/>
      <c r="K15" s="101" t="n"/>
      <c r="M15" s="77" t="inlineStr">
        <is>
          <t>Euclidean Neighbors (S3)</t>
        </is>
      </c>
      <c r="N15" s="100" t="n"/>
      <c r="O15" s="100" t="n"/>
      <c r="P15" s="100" t="n"/>
      <c r="Q15" s="101" t="n"/>
      <c r="S15" s="77" t="inlineStr">
        <is>
          <t>Euclidean Neighbors (S4)</t>
        </is>
      </c>
      <c r="T15" s="100" t="n"/>
      <c r="U15" s="100" t="n"/>
      <c r="V15" s="100" t="n"/>
      <c r="W15" s="101" t="n"/>
      <c r="Y15" s="77" t="inlineStr">
        <is>
          <t>Euclidean Neighbors (S5)</t>
        </is>
      </c>
      <c r="Z15" s="100" t="n"/>
      <c r="AA15" s="100" t="n"/>
      <c r="AB15" s="100" t="n"/>
      <c r="AC15" s="101" t="n"/>
      <c r="AE15" s="77" t="inlineStr">
        <is>
          <t>Euclidean Neighbors (S6)</t>
        </is>
      </c>
      <c r="AF15" s="100" t="n"/>
      <c r="AG15" s="100" t="n"/>
      <c r="AH15" s="100" t="n"/>
      <c r="AI15" s="101" t="n"/>
      <c r="AK15" s="77" t="inlineStr">
        <is>
          <t>Euclidean Neighbors (S7)</t>
        </is>
      </c>
      <c r="AL15" s="100" t="n"/>
      <c r="AM15" s="100" t="n"/>
      <c r="AN15" s="100" t="n"/>
      <c r="AO15" s="101" t="n"/>
      <c r="AQ15" s="77" t="inlineStr">
        <is>
          <t>Euclidean Neighbors (S8)</t>
        </is>
      </c>
      <c r="AR15" s="100" t="n"/>
      <c r="AS15" s="100" t="n"/>
      <c r="AT15" s="100" t="n"/>
      <c r="AU15" s="101" t="n"/>
      <c r="AW15" s="77" t="inlineStr">
        <is>
          <t>Euclidean Neighbors (S9)</t>
        </is>
      </c>
      <c r="AX15" s="100" t="n"/>
      <c r="AY15" s="100" t="n"/>
      <c r="AZ15" s="100" t="n"/>
      <c r="BA15" s="101" t="n"/>
      <c r="BC15" s="77" t="inlineStr">
        <is>
          <t>Euclidean Neighbors (S10)</t>
        </is>
      </c>
      <c r="BD15" s="100" t="n"/>
      <c r="BE15" s="100" t="n"/>
      <c r="BF15" s="100" t="n"/>
      <c r="BG15" s="101" t="n"/>
    </row>
    <row r="16" ht="34.95" customHeight="1">
      <c r="A16" s="10" t="inlineStr">
        <is>
          <t>Rank</t>
        </is>
      </c>
      <c r="B16" s="9" t="inlineStr">
        <is>
          <t>Neighbor</t>
        </is>
      </c>
      <c r="C16" s="9" t="inlineStr">
        <is>
          <t>Distance</t>
        </is>
      </c>
      <c r="D16" s="9" t="inlineStr">
        <is>
          <t>Class</t>
        </is>
      </c>
      <c r="E16" s="15" t="inlineStr">
        <is>
          <t>Same as Target</t>
        </is>
      </c>
      <c r="G16" s="10" t="inlineStr">
        <is>
          <t>Rank</t>
        </is>
      </c>
      <c r="H16" s="9" t="inlineStr">
        <is>
          <t>Neighbor</t>
        </is>
      </c>
      <c r="I16" s="9" t="inlineStr">
        <is>
          <t>Distance</t>
        </is>
      </c>
      <c r="J16" s="9" t="inlineStr">
        <is>
          <t>Class</t>
        </is>
      </c>
      <c r="K16" s="15" t="inlineStr">
        <is>
          <t>Same as Target</t>
        </is>
      </c>
      <c r="M16" s="10" t="inlineStr">
        <is>
          <t>Rank</t>
        </is>
      </c>
      <c r="N16" s="9" t="inlineStr">
        <is>
          <t>Neighbor</t>
        </is>
      </c>
      <c r="O16" s="9" t="inlineStr">
        <is>
          <t>Distance</t>
        </is>
      </c>
      <c r="P16" s="9" t="inlineStr">
        <is>
          <t>Class</t>
        </is>
      </c>
      <c r="Q16" s="15" t="inlineStr">
        <is>
          <t>Same as Target</t>
        </is>
      </c>
      <c r="S16" s="10" t="inlineStr">
        <is>
          <t>Rank</t>
        </is>
      </c>
      <c r="T16" s="9" t="inlineStr">
        <is>
          <t>Neighbor</t>
        </is>
      </c>
      <c r="U16" s="9" t="inlineStr">
        <is>
          <t>Distance</t>
        </is>
      </c>
      <c r="V16" s="9" t="inlineStr">
        <is>
          <t>Class</t>
        </is>
      </c>
      <c r="W16" s="15" t="inlineStr">
        <is>
          <t>Same as Target</t>
        </is>
      </c>
      <c r="Y16" s="10" t="inlineStr">
        <is>
          <t>Rank</t>
        </is>
      </c>
      <c r="Z16" s="9" t="inlineStr">
        <is>
          <t>Neighbor</t>
        </is>
      </c>
      <c r="AA16" s="9" t="inlineStr">
        <is>
          <t>Distance</t>
        </is>
      </c>
      <c r="AB16" s="9" t="inlineStr">
        <is>
          <t>Class</t>
        </is>
      </c>
      <c r="AC16" s="15" t="inlineStr">
        <is>
          <t>Same as Target</t>
        </is>
      </c>
      <c r="AE16" s="10" t="inlineStr">
        <is>
          <t>Rank</t>
        </is>
      </c>
      <c r="AF16" s="9" t="inlineStr">
        <is>
          <t>Neighbor</t>
        </is>
      </c>
      <c r="AG16" s="9" t="inlineStr">
        <is>
          <t>Distance</t>
        </is>
      </c>
      <c r="AH16" s="9" t="inlineStr">
        <is>
          <t>Class</t>
        </is>
      </c>
      <c r="AI16" s="15" t="inlineStr">
        <is>
          <t>Same as Target</t>
        </is>
      </c>
      <c r="AK16" s="10" t="inlineStr">
        <is>
          <t>Rank</t>
        </is>
      </c>
      <c r="AL16" s="9" t="inlineStr">
        <is>
          <t>Neighbor</t>
        </is>
      </c>
      <c r="AM16" s="9" t="inlineStr">
        <is>
          <t>Distance</t>
        </is>
      </c>
      <c r="AN16" s="9" t="inlineStr">
        <is>
          <t>Class</t>
        </is>
      </c>
      <c r="AO16" s="15" t="inlineStr">
        <is>
          <t>Same as Target</t>
        </is>
      </c>
      <c r="AQ16" s="10" t="inlineStr">
        <is>
          <t>Rank</t>
        </is>
      </c>
      <c r="AR16" s="9" t="inlineStr">
        <is>
          <t>Neighbor</t>
        </is>
      </c>
      <c r="AS16" s="9" t="inlineStr">
        <is>
          <t>Distance</t>
        </is>
      </c>
      <c r="AT16" s="9" t="inlineStr">
        <is>
          <t>Class</t>
        </is>
      </c>
      <c r="AU16" s="15" t="inlineStr">
        <is>
          <t>Same as Target</t>
        </is>
      </c>
      <c r="AW16" s="10" t="inlineStr">
        <is>
          <t>Rank</t>
        </is>
      </c>
      <c r="AX16" s="9" t="inlineStr">
        <is>
          <t>Neighbor</t>
        </is>
      </c>
      <c r="AY16" s="9" t="inlineStr">
        <is>
          <t>Distance</t>
        </is>
      </c>
      <c r="AZ16" s="9" t="inlineStr">
        <is>
          <t>Class</t>
        </is>
      </c>
      <c r="BA16" s="15" t="inlineStr">
        <is>
          <t>Same as Target</t>
        </is>
      </c>
      <c r="BC16" s="10" t="inlineStr">
        <is>
          <t>Rank</t>
        </is>
      </c>
      <c r="BD16" s="9" t="inlineStr">
        <is>
          <t>Neighbor</t>
        </is>
      </c>
      <c r="BE16" s="9" t="inlineStr">
        <is>
          <t>Distance</t>
        </is>
      </c>
      <c r="BF16" s="9" t="inlineStr">
        <is>
          <t>Class</t>
        </is>
      </c>
      <c r="BG16" s="15" t="inlineStr">
        <is>
          <t>Same as Target</t>
        </is>
      </c>
    </row>
    <row r="17" ht="15" customHeight="1">
      <c r="A17" s="4" t="n">
        <v>1</v>
      </c>
      <c r="B17" s="16">
        <f t="array" ref="B17">IF($A17&gt;9,"",INDEX($B$2:$K$2,MATCH(SMALL(IF($B$3:$K$3=0,10^9,$B$3:$K$3)+(COLUMN($B$2:$K$2)-COLUMN($B$2))/10^6,$A17),IF($B$3:$K$3=0,10^9,$B$3:$K$3)+(COLUMN($B$2:$K$2)-COLUMN($B$2))/10^6,0)))</f>
        <v/>
      </c>
      <c r="C17" s="16">
        <f>IF(B17="","",INDEX($B$3:$K$3,MATCH(B17,$B$2:$K$2,0)))</f>
        <v/>
      </c>
      <c r="D17" s="16">
        <f>IF(B17="","",INDEX($L$3:$L$12,MATCH(B17,$A$3:$A$12,0)))</f>
        <v/>
      </c>
      <c r="E17" s="16">
        <f>IF(D17="","",IF(D17=$L$3,1,0))</f>
        <v/>
      </c>
      <c r="G17" s="4" t="n">
        <v>1</v>
      </c>
      <c r="H17" s="16">
        <f t="array" ref="H17">IF($G17&gt;9,"",INDEX($B$2:$K$2,MATCH(SMALL(IF($B$4:$K$4=0,10^9,$B$4:$K$4)+(COLUMN($B$2:$K$2)-COLUMN($C$2))/10^6,$G17),IF($B$4:$K$4=0,10^9,$B$4:$K$4)+(COLUMN($B$2:$K$2)-COLUMN($C$2))/10^6,0)))</f>
        <v/>
      </c>
      <c r="I17" s="16">
        <f>IF(H17="","",INDEX($B$4:$K$4,MATCH(H17,$B$2:$K$2,0)))</f>
        <v/>
      </c>
      <c r="J17" s="16">
        <f>IF(H17="","",INDEX($L$3:$L$12,MATCH(H17,$A$3:$A$12,0)))</f>
        <v/>
      </c>
      <c r="K17" s="16">
        <f>IF(J17="","",IF(J17=$L$4,1,0))</f>
        <v/>
      </c>
      <c r="M17" s="4" t="n">
        <v>1</v>
      </c>
      <c r="N17" s="16">
        <f t="array" ref="N17">IF($M17&gt;9,"",INDEX($B$2:$K$2,MATCH(SMALL(IF($B$5:$K$5=0,10^9,$B$5:$K$5)+(COLUMN($B$2:$K$2)-COLUMN($D$2))/10^6,$M17),IF($B$5:$K$5=0,10^9,$B$5:$K$5)+(COLUMN($B$2:$K$2)-COLUMN($D$2))/10^6,0)))</f>
        <v/>
      </c>
      <c r="O17" s="16">
        <f>IF(N17="","",INDEX($B$5:$K$5,MATCH(N17,$B$2:$K$2,0)))</f>
        <v/>
      </c>
      <c r="P17" s="16">
        <f>IF(N17="","",INDEX($L$3:$L$12,MATCH(N17,$A$3:$A$12,0)))</f>
        <v/>
      </c>
      <c r="Q17" s="16">
        <f>IF(P17="","",IF(P17=$L$5,1,0))</f>
        <v/>
      </c>
      <c r="S17" s="4" t="n">
        <v>1</v>
      </c>
      <c r="T17" s="16">
        <f t="array" ref="T17">IF($S17&gt;9,"",INDEX($B$2:$K$2,MATCH(SMALL(IF($B$6:$K$6=0,10^9,$B$6:$K$6)+(COLUMN($B$2:$K$2)-COLUMN($E$2))/10^6,$S17),IF($B$6:$K$6=0,10^9,$B$6:$K$6)+(COLUMN($B$2:$K$2)-COLUMN($E$2))/10^6,0)))</f>
        <v/>
      </c>
      <c r="U17" s="16">
        <f>IF(T17="","",INDEX($B$6:$K$6,MATCH(T17,$B$2:$K$2,0)))</f>
        <v/>
      </c>
      <c r="V17" s="16">
        <f>IF(T17="","",INDEX($L$3:$L$12,MATCH(T17,$A$3:$A$12,0)))</f>
        <v/>
      </c>
      <c r="W17" s="16">
        <f>IF(V17="","",IF(V17=$L$6,1,0))</f>
        <v/>
      </c>
      <c r="Y17" s="4" t="n">
        <v>1</v>
      </c>
      <c r="Z17" s="16">
        <f t="array" ref="Z17">IF($Y17&gt;9,"",INDEX($B$2:$K$2,MATCH(SMALL(IF($B$7:$K$7=0,10^9,$B$7:$K$7)+(COLUMN($B$2:$K$2)-COLUMN($F$2))/10^6,$Y17),IF($B$7:$K$7=0,10^9,$B$7:$K$7)+(COLUMN($B$2:$K$2)-COLUMN($F$2))/10^6,0)))</f>
        <v/>
      </c>
      <c r="AA17" s="16">
        <f>IF(Z17="","",INDEX($B$7:$K$7,MATCH(Z17,$B$2:$K$2,0)))</f>
        <v/>
      </c>
      <c r="AB17" s="16">
        <f>IF(Z17="","",INDEX($L$3:$L$12,MATCH(Z17,$A$3:$A$12,0)))</f>
        <v/>
      </c>
      <c r="AC17" s="16">
        <f>IF(AB17="","",IF(AB17=$L$7,1,0))</f>
        <v/>
      </c>
      <c r="AE17" s="4" t="n">
        <v>1</v>
      </c>
      <c r="AF17" s="16">
        <f t="array" ref="AF17">IF($AE17&gt;9,"",INDEX($B$2:$K$2,MATCH(SMALL(IF($B$8:$K$8=0,10^9,$B$8:$K$8)+(COLUMN($B$2:$K$2)-COLUMN($G$2))/10^6,$AE17),IF($B$8:$K$8=0,10^9,$B$8:$K$8)+(COLUMN($B$2:$K$2)-COLUMN($G$2))/10^6,0)))</f>
        <v/>
      </c>
      <c r="AG17" s="16">
        <f>IF(AF17="","",INDEX($B$8:$K$8,MATCH(AF17,$B$2:$K$2,0)))</f>
        <v/>
      </c>
      <c r="AH17" s="16">
        <f>IF(AF17="","",INDEX($L$3:$L$12,MATCH(AF17,$A$3:$A$12,0)))</f>
        <v/>
      </c>
      <c r="AI17" s="16">
        <f>IF(AH17="","",IF(AH17=$L$8,1,0))</f>
        <v/>
      </c>
      <c r="AK17" s="4" t="n">
        <v>1</v>
      </c>
      <c r="AL17" s="16">
        <f t="array" ref="AL17">IF($AK17&gt;9,"",INDEX($B$2:$K$2,MATCH(SMALL(IF($B$9:$K$9=0,10^9,$B$9:$K$9)+(COLUMN($B$2:$K$2)-COLUMN($H$2))/10^6,$AK17),IF($B$9:$K$9=0,10^9,$B$9:$K$9)+(COLUMN($B$2:$K$2)-COLUMN($H$2))/10^6,0)))</f>
        <v/>
      </c>
      <c r="AM17" s="16">
        <f>IF(AL17="","",INDEX($B$9:$K$9,MATCH(AL17,$B$2:$K$2,0)))</f>
        <v/>
      </c>
      <c r="AN17" s="16">
        <f>IF(AL17="","",INDEX($L$3:$L$12,MATCH(AL17,$A$3:$A$12,0)))</f>
        <v/>
      </c>
      <c r="AO17" s="16">
        <f>IF(AN17="","",IF(AN17=$L$9,1,0))</f>
        <v/>
      </c>
      <c r="AQ17" s="4" t="n">
        <v>1</v>
      </c>
      <c r="AR17" s="16">
        <f t="array" ref="AR17">IF($AQ17&gt;9,"",INDEX($B$2:$K$2,MATCH(SMALL(IF($B$10:$K$10=0,10^9,$B$10:$K$10)+(COLUMN($B$2:$K$2)-COLUMN($I$2))/10^6,$AQ17),IF($B$10:$K$10=0,10^9,$B$10:$K$10)+(COLUMN($B$2:$K$2)-COLUMN($I$2))/10^6,0)))</f>
        <v/>
      </c>
      <c r="AS17" s="16">
        <f>IF(AR17="","",INDEX($B$10:$K$10,MATCH(AR17,$B$2:$K$2,0)))</f>
        <v/>
      </c>
      <c r="AT17" s="16">
        <f>IF(AR17="","",INDEX($L$3:$L$12,MATCH(AR17,$A$3:$A$12,0)))</f>
        <v/>
      </c>
      <c r="AU17" s="16">
        <f>IF(AT17="","",IF(AT17=$L$10,1,0))</f>
        <v/>
      </c>
      <c r="AW17" s="4" t="n">
        <v>1</v>
      </c>
      <c r="AX17" s="16">
        <f t="array" ref="AX17">IF($AW17&gt;9,"",INDEX($B$2:$K$2,MATCH(SMALL(IF($B$11:$K$11=0,10^9,$B$11:$K$11)+(COLUMN($B$2:$K$2)-COLUMN($J$2))/10^6,$AW17),IF($B$11:$K$11=0,10^9,$B$11:$K$11)+(COLUMN($B$2:$K$2)-COLUMN($J$2))/10^6,0)))</f>
        <v/>
      </c>
      <c r="AY17" s="16">
        <f>IF(AX17="","",INDEX($B$11:$K$11,MATCH(AX17,$B$2:$K$2,0)))</f>
        <v/>
      </c>
      <c r="AZ17" s="16">
        <f>IF(AX17="","",INDEX($L$3:$L$12,MATCH(AX17,$A$3:$A$12,0)))</f>
        <v/>
      </c>
      <c r="BA17" s="16">
        <f>IF(AZ17="","",IF(AZ17=$L$11,1,0))</f>
        <v/>
      </c>
      <c r="BC17" s="4" t="n">
        <v>1</v>
      </c>
      <c r="BD17" s="16">
        <f t="array" ref="BD17">IF($BC17&gt;9,"",INDEX($B$2:$K$2,MATCH(SMALL(IF($B$12:$K$12=0,10^9,$B$12:$K$12)+(COLUMN($B$2:$K$2)-COLUMN($K$2))/10^6,$BC17),IF($B$12:$K$12=0,10^9,$B$12:$K$12)+(COLUMN($B$2:$K$2)-COLUMN($K$2))/10^6,0)))</f>
        <v/>
      </c>
      <c r="BE17" s="16">
        <f>IF(BD17="","",INDEX($B$12:$K$12,MATCH(BD17,$B$2:$K$2,0)))</f>
        <v/>
      </c>
      <c r="BF17" s="16">
        <f>IF(BD17="","",INDEX($L$3:$L$12,MATCH(BD17,$A$3:$A$12,0)))</f>
        <v/>
      </c>
      <c r="BG17" s="16">
        <f>IF(BF17="","",IF(BF17=$L$12,1,0))</f>
        <v/>
      </c>
    </row>
    <row r="18" ht="15" customHeight="1">
      <c r="A18" s="4" t="n">
        <v>2</v>
      </c>
      <c r="B18" s="16">
        <f t="array" ref="B18">IF($A18&gt;9,"",INDEX($B$2:$K$2,MATCH(SMALL(IF($B$3:$K$3=0,10^9,$B$3:$K$3)+(COLUMN($B$2:$K$2)-COLUMN($B$2))/10^6,$A18),IF($B$3:$K$3=0,10^9,$B$3:$K$3)+(COLUMN($B$2:$K$2)-COLUMN($B$2))/10^6,0)))</f>
        <v/>
      </c>
      <c r="C18" s="16">
        <f>IF(B18="","",INDEX($B$3:$K$3,MATCH(B18,$B$2:$K$2,0)))</f>
        <v/>
      </c>
      <c r="D18" s="16">
        <f>IF(B18="","",INDEX($L$3:$L$12,MATCH(B18,$A$3:$A$12,0)))</f>
        <v/>
      </c>
      <c r="E18" s="16">
        <f>IF(D18="","",IF(D18=$L$3,1,0))</f>
        <v/>
      </c>
      <c r="G18" s="4" t="n">
        <v>2</v>
      </c>
      <c r="H18" s="16">
        <f t="array" ref="H18">IF($G18&gt;9,"",INDEX($B$2:$K$2,MATCH(SMALL(IF($B$4:$K$4=0,10^9,$B$4:$K$4)+(COLUMN($B$2:$K$2)-COLUMN($C$2))/10^6,$G18),IF($B$4:$K$4=0,10^9,$B$4:$K$4)+(COLUMN($B$2:$K$2)-COLUMN($C$2))/10^6,0)))</f>
        <v/>
      </c>
      <c r="I18" s="16">
        <f>IF(H18="","",INDEX($B$4:$K$4,MATCH(H18,$B$2:$K$2,0)))</f>
        <v/>
      </c>
      <c r="J18" s="16">
        <f>IF(H18="","",INDEX($L$3:$L$12,MATCH(H18,$A$3:$A$12,0)))</f>
        <v/>
      </c>
      <c r="K18" s="16">
        <f>IF(J18="","",IF(J18=$L$4,1,0))</f>
        <v/>
      </c>
      <c r="M18" s="4" t="n">
        <v>2</v>
      </c>
      <c r="N18" s="16">
        <f t="array" ref="N18">IF($M18&gt;9,"",INDEX($B$2:$K$2,MATCH(SMALL(IF($B$5:$K$5=0,10^9,$B$5:$K$5)+(COLUMN($B$2:$K$2)-COLUMN($D$2))/10^6,$M18),IF($B$5:$K$5=0,10^9,$B$5:$K$5)+(COLUMN($B$2:$K$2)-COLUMN($D$2))/10^6,0)))</f>
        <v/>
      </c>
      <c r="O18" s="16">
        <f>IF(N18="","",INDEX($B$5:$K$5,MATCH(N18,$B$2:$K$2,0)))</f>
        <v/>
      </c>
      <c r="P18" s="16">
        <f>IF(N18="","",INDEX($L$3:$L$12,MATCH(N18,$A$3:$A$12,0)))</f>
        <v/>
      </c>
      <c r="Q18" s="16">
        <f>IF(P18="","",IF(P18=$L$5,1,0))</f>
        <v/>
      </c>
      <c r="S18" s="4" t="n">
        <v>2</v>
      </c>
      <c r="T18" s="16">
        <f t="array" ref="T18">IF($S18&gt;9,"",INDEX($B$2:$K$2,MATCH(SMALL(IF($B$6:$K$6=0,10^9,$B$6:$K$6)+(COLUMN($B$2:$K$2)-COLUMN($E$2))/10^6,$S18),IF($B$6:$K$6=0,10^9,$B$6:$K$6)+(COLUMN($B$2:$K$2)-COLUMN($E$2))/10^6,0)))</f>
        <v/>
      </c>
      <c r="U18" s="16">
        <f>IF(T18="","",INDEX($B$6:$K$6,MATCH(T18,$B$2:$K$2,0)))</f>
        <v/>
      </c>
      <c r="V18" s="16">
        <f>IF(T18="","",INDEX($L$3:$L$12,MATCH(T18,$A$3:$A$12,0)))</f>
        <v/>
      </c>
      <c r="W18" s="16">
        <f>IF(V18="","",IF(V18=$L$6,1,0))</f>
        <v/>
      </c>
      <c r="Y18" s="4" t="n">
        <v>2</v>
      </c>
      <c r="Z18" s="16">
        <f t="array" ref="Z18">IF($Y18&gt;9,"",INDEX($B$2:$K$2,MATCH(SMALL(IF($B$7:$K$7=0,10^9,$B$7:$K$7)+(COLUMN($B$2:$K$2)-COLUMN($F$2))/10^6,$Y18),IF($B$7:$K$7=0,10^9,$B$7:$K$7)+(COLUMN($B$2:$K$2)-COLUMN($F$2))/10^6,0)))</f>
        <v/>
      </c>
      <c r="AA18" s="16">
        <f>IF(Z18="","",INDEX($B$7:$K$7,MATCH(Z18,$B$2:$K$2,0)))</f>
        <v/>
      </c>
      <c r="AB18" s="16">
        <f>IF(Z18="","",INDEX($L$3:$L$12,MATCH(Z18,$A$3:$A$12,0)))</f>
        <v/>
      </c>
      <c r="AC18" s="16">
        <f>IF(AB18="","",IF(AB18=$L$7,1,0))</f>
        <v/>
      </c>
      <c r="AE18" s="4" t="n">
        <v>2</v>
      </c>
      <c r="AF18" s="16">
        <f t="array" ref="AF18">IF($AE18&gt;9,"",INDEX($B$2:$K$2,MATCH(SMALL(IF($B$8:$K$8=0,10^9,$B$8:$K$8)+(COLUMN($B$2:$K$2)-COLUMN($G$2))/10^6,$AE18),IF($B$8:$K$8=0,10^9,$B$8:$K$8)+(COLUMN($B$2:$K$2)-COLUMN($G$2))/10^6,0)))</f>
        <v/>
      </c>
      <c r="AG18" s="16">
        <f>IF(AF18="","",INDEX($B$8:$K$8,MATCH(AF18,$B$2:$K$2,0)))</f>
        <v/>
      </c>
      <c r="AH18" s="16">
        <f>IF(AF18="","",INDEX($L$3:$L$12,MATCH(AF18,$A$3:$A$12,0)))</f>
        <v/>
      </c>
      <c r="AI18" s="16">
        <f>IF(AH18="","",IF(AH18=$L$8,1,0))</f>
        <v/>
      </c>
      <c r="AK18" s="4" t="n">
        <v>2</v>
      </c>
      <c r="AL18" s="16">
        <f t="array" ref="AL18">IF($AK18&gt;9,"",INDEX($B$2:$K$2,MATCH(SMALL(IF($B$9:$K$9=0,10^9,$B$9:$K$9)+(COLUMN($B$2:$K$2)-COLUMN($H$2))/10^6,$AK18),IF($B$9:$K$9=0,10^9,$B$9:$K$9)+(COLUMN($B$2:$K$2)-COLUMN($H$2))/10^6,0)))</f>
        <v/>
      </c>
      <c r="AM18" s="16">
        <f>IF(AL18="","",INDEX($B$9:$K$9,MATCH(AL18,$B$2:$K$2,0)))</f>
        <v/>
      </c>
      <c r="AN18" s="16">
        <f>IF(AL18="","",INDEX($L$3:$L$12,MATCH(AL18,$A$3:$A$12,0)))</f>
        <v/>
      </c>
      <c r="AO18" s="16">
        <f>IF(AN18="","",IF(AN18=$L$9,1,0))</f>
        <v/>
      </c>
      <c r="AQ18" s="4" t="n">
        <v>2</v>
      </c>
      <c r="AR18" s="16">
        <f t="array" ref="AR18">IF($AQ18&gt;9,"",INDEX($B$2:$K$2,MATCH(SMALL(IF($B$10:$K$10=0,10^9,$B$10:$K$10)+(COLUMN($B$2:$K$2)-COLUMN($I$2))/10^6,$AQ18),IF($B$10:$K$10=0,10^9,$B$10:$K$10)+(COLUMN($B$2:$K$2)-COLUMN($I$2))/10^6,0)))</f>
        <v/>
      </c>
      <c r="AS18" s="16">
        <f>IF(AR18="","",INDEX($B$10:$K$10,MATCH(AR18,$B$2:$K$2,0)))</f>
        <v/>
      </c>
      <c r="AT18" s="16">
        <f>IF(AR18="","",INDEX($L$3:$L$12,MATCH(AR18,$A$3:$A$12,0)))</f>
        <v/>
      </c>
      <c r="AU18" s="16">
        <f>IF(AT18="","",IF(AT18=$L$10,1,0))</f>
        <v/>
      </c>
      <c r="AW18" s="4" t="n">
        <v>2</v>
      </c>
      <c r="AX18" s="16">
        <f t="array" ref="AX18">IF($AW18&gt;9,"",INDEX($B$2:$K$2,MATCH(SMALL(IF($B$11:$K$11=0,10^9,$B$11:$K$11)+(COLUMN($B$2:$K$2)-COLUMN($J$2))/10^6,$AW18),IF($B$11:$K$11=0,10^9,$B$11:$K$11)+(COLUMN($B$2:$K$2)-COLUMN($J$2))/10^6,0)))</f>
        <v/>
      </c>
      <c r="AY18" s="16">
        <f>IF(AX18="","",INDEX($B$11:$K$11,MATCH(AX18,$B$2:$K$2,0)))</f>
        <v/>
      </c>
      <c r="AZ18" s="16">
        <f>IF(AX18="","",INDEX($L$3:$L$12,MATCH(AX18,$A$3:$A$12,0)))</f>
        <v/>
      </c>
      <c r="BA18" s="16">
        <f>IF(AZ18="","",IF(AZ18=$L$11,1,0))</f>
        <v/>
      </c>
      <c r="BC18" s="4" t="n">
        <v>2</v>
      </c>
      <c r="BD18" s="16">
        <f t="array" ref="BD18">IF($BC18&gt;9,"",INDEX($B$2:$K$2,MATCH(SMALL(IF($B$12:$K$12=0,10^9,$B$12:$K$12)+(COLUMN($B$2:$K$2)-COLUMN($K$2))/10^6,$BC18),IF($B$12:$K$12=0,10^9,$B$12:$K$12)+(COLUMN($B$2:$K$2)-COLUMN($K$2))/10^6,0)))</f>
        <v/>
      </c>
      <c r="BE18" s="16">
        <f>IF(BD18="","",INDEX($B$12:$K$12,MATCH(BD18,$B$2:$K$2,0)))</f>
        <v/>
      </c>
      <c r="BF18" s="16">
        <f>IF(BD18="","",INDEX($L$3:$L$12,MATCH(BD18,$A$3:$A$12,0)))</f>
        <v/>
      </c>
      <c r="BG18" s="16">
        <f>IF(BF18="","",IF(BF18=$L$12,1,0))</f>
        <v/>
      </c>
    </row>
    <row r="19" ht="15" customHeight="1">
      <c r="A19" s="4" t="n">
        <v>3</v>
      </c>
      <c r="B19" s="16">
        <f t="array" ref="B19">IF($A19&gt;9,"",INDEX($B$2:$K$2,MATCH(SMALL(IF($B$3:$K$3=0,10^9,$B$3:$K$3)+(COLUMN($B$2:$K$2)-COLUMN($B$2))/10^6,$A19),IF($B$3:$K$3=0,10^9,$B$3:$K$3)+(COLUMN($B$2:$K$2)-COLUMN($B$2))/10^6,0)))</f>
        <v/>
      </c>
      <c r="C19" s="16">
        <f>IF(B19="","",INDEX($B$3:$K$3,MATCH(B19,$B$2:$K$2,0)))</f>
        <v/>
      </c>
      <c r="D19" s="16">
        <f>IF(B19="","",INDEX($L$3:$L$12,MATCH(B19,$A$3:$A$12,0)))</f>
        <v/>
      </c>
      <c r="E19" s="16">
        <f>IF(D19="","",IF(D19=$L$3,1,0))</f>
        <v/>
      </c>
      <c r="G19" s="4" t="n">
        <v>3</v>
      </c>
      <c r="H19" s="16">
        <f t="array" ref="H19">IF($G19&gt;9,"",INDEX($B$2:$K$2,MATCH(SMALL(IF($B$4:$K$4=0,10^9,$B$4:$K$4)+(COLUMN($B$2:$K$2)-COLUMN($C$2))/10^6,$G19),IF($B$4:$K$4=0,10^9,$B$4:$K$4)+(COLUMN($B$2:$K$2)-COLUMN($C$2))/10^6,0)))</f>
        <v/>
      </c>
      <c r="I19" s="16">
        <f>IF(H19="","",INDEX($B$4:$K$4,MATCH(H19,$B$2:$K$2,0)))</f>
        <v/>
      </c>
      <c r="J19" s="16">
        <f>IF(H19="","",INDEX($L$3:$L$12,MATCH(H19,$A$3:$A$12,0)))</f>
        <v/>
      </c>
      <c r="K19" s="16">
        <f>IF(J19="","",IF(J19=$L$4,1,0))</f>
        <v/>
      </c>
      <c r="M19" s="4" t="n">
        <v>3</v>
      </c>
      <c r="N19" s="16">
        <f t="array" ref="N19">IF($M19&gt;9,"",INDEX($B$2:$K$2,MATCH(SMALL(IF($B$5:$K$5=0,10^9,$B$5:$K$5)+(COLUMN($B$2:$K$2)-COLUMN($D$2))/10^6,$M19),IF($B$5:$K$5=0,10^9,$B$5:$K$5)+(COLUMN($B$2:$K$2)-COLUMN($D$2))/10^6,0)))</f>
        <v/>
      </c>
      <c r="O19" s="16">
        <f>IF(N19="","",INDEX($B$5:$K$5,MATCH(N19,$B$2:$K$2,0)))</f>
        <v/>
      </c>
      <c r="P19" s="16">
        <f>IF(N19="","",INDEX($L$3:$L$12,MATCH(N19,$A$3:$A$12,0)))</f>
        <v/>
      </c>
      <c r="Q19" s="16">
        <f>IF(P19="","",IF(P19=$L$5,1,0))</f>
        <v/>
      </c>
      <c r="S19" s="4" t="n">
        <v>3</v>
      </c>
      <c r="T19" s="16">
        <f t="array" ref="T19">IF($S19&gt;9,"",INDEX($B$2:$K$2,MATCH(SMALL(IF($B$6:$K$6=0,10^9,$B$6:$K$6)+(COLUMN($B$2:$K$2)-COLUMN($E$2))/10^6,$S19),IF($B$6:$K$6=0,10^9,$B$6:$K$6)+(COLUMN($B$2:$K$2)-COLUMN($E$2))/10^6,0)))</f>
        <v/>
      </c>
      <c r="U19" s="16">
        <f>IF(T19="","",INDEX($B$6:$K$6,MATCH(T19,$B$2:$K$2,0)))</f>
        <v/>
      </c>
      <c r="V19" s="16">
        <f>IF(T19="","",INDEX($L$3:$L$12,MATCH(T19,$A$3:$A$12,0)))</f>
        <v/>
      </c>
      <c r="W19" s="16">
        <f>IF(V19="","",IF(V19=$L$6,1,0))</f>
        <v/>
      </c>
      <c r="Y19" s="4" t="n">
        <v>3</v>
      </c>
      <c r="Z19" s="16">
        <f t="array" ref="Z19">IF($Y19&gt;9,"",INDEX($B$2:$K$2,MATCH(SMALL(IF($B$7:$K$7=0,10^9,$B$7:$K$7)+(COLUMN($B$2:$K$2)-COLUMN($F$2))/10^6,$Y19),IF($B$7:$K$7=0,10^9,$B$7:$K$7)+(COLUMN($B$2:$K$2)-COLUMN($F$2))/10^6,0)))</f>
        <v/>
      </c>
      <c r="AA19" s="16">
        <f>IF(Z19="","",INDEX($B$7:$K$7,MATCH(Z19,$B$2:$K$2,0)))</f>
        <v/>
      </c>
      <c r="AB19" s="16">
        <f>IF(Z19="","",INDEX($L$3:$L$12,MATCH(Z19,$A$3:$A$12,0)))</f>
        <v/>
      </c>
      <c r="AC19" s="16">
        <f>IF(AB19="","",IF(AB19=$L$7,1,0))</f>
        <v/>
      </c>
      <c r="AE19" s="4" t="n">
        <v>3</v>
      </c>
      <c r="AF19" s="16">
        <f t="array" ref="AF19">IF($AE19&gt;9,"",INDEX($B$2:$K$2,MATCH(SMALL(IF($B$8:$K$8=0,10^9,$B$8:$K$8)+(COLUMN($B$2:$K$2)-COLUMN($G$2))/10^6,$AE19),IF($B$8:$K$8=0,10^9,$B$8:$K$8)+(COLUMN($B$2:$K$2)-COLUMN($G$2))/10^6,0)))</f>
        <v/>
      </c>
      <c r="AG19" s="16">
        <f>IF(AF19="","",INDEX($B$8:$K$8,MATCH(AF19,$B$2:$K$2,0)))</f>
        <v/>
      </c>
      <c r="AH19" s="16">
        <f>IF(AF19="","",INDEX($L$3:$L$12,MATCH(AF19,$A$3:$A$12,0)))</f>
        <v/>
      </c>
      <c r="AI19" s="16">
        <f>IF(AH19="","",IF(AH19=$L$8,1,0))</f>
        <v/>
      </c>
      <c r="AK19" s="4" t="n">
        <v>3</v>
      </c>
      <c r="AL19" s="16">
        <f t="array" ref="AL19">IF($AK19&gt;9,"",INDEX($B$2:$K$2,MATCH(SMALL(IF($B$9:$K$9=0,10^9,$B$9:$K$9)+(COLUMN($B$2:$K$2)-COLUMN($H$2))/10^6,$AK19),IF($B$9:$K$9=0,10^9,$B$9:$K$9)+(COLUMN($B$2:$K$2)-COLUMN($H$2))/10^6,0)))</f>
        <v/>
      </c>
      <c r="AM19" s="16">
        <f>IF(AL19="","",INDEX($B$9:$K$9,MATCH(AL19,$B$2:$K$2,0)))</f>
        <v/>
      </c>
      <c r="AN19" s="16">
        <f>IF(AL19="","",INDEX($L$3:$L$12,MATCH(AL19,$A$3:$A$12,0)))</f>
        <v/>
      </c>
      <c r="AO19" s="16">
        <f>IF(AN19="","",IF(AN19=$L$9,1,0))</f>
        <v/>
      </c>
      <c r="AQ19" s="4" t="n">
        <v>3</v>
      </c>
      <c r="AR19" s="16">
        <f t="array" ref="AR19">IF($AQ19&gt;9,"",INDEX($B$2:$K$2,MATCH(SMALL(IF($B$10:$K$10=0,10^9,$B$10:$K$10)+(COLUMN($B$2:$K$2)-COLUMN($I$2))/10^6,$AQ19),IF($B$10:$K$10=0,10^9,$B$10:$K$10)+(COLUMN($B$2:$K$2)-COLUMN($I$2))/10^6,0)))</f>
        <v/>
      </c>
      <c r="AS19" s="16">
        <f>IF(AR19="","",INDEX($B$10:$K$10,MATCH(AR19,$B$2:$K$2,0)))</f>
        <v/>
      </c>
      <c r="AT19" s="16">
        <f>IF(AR19="","",INDEX($L$3:$L$12,MATCH(AR19,$A$3:$A$12,0)))</f>
        <v/>
      </c>
      <c r="AU19" s="16">
        <f>IF(AT19="","",IF(AT19=$L$10,1,0))</f>
        <v/>
      </c>
      <c r="AW19" s="4" t="n">
        <v>3</v>
      </c>
      <c r="AX19" s="16">
        <f t="array" ref="AX19">IF($AW19&gt;9,"",INDEX($B$2:$K$2,MATCH(SMALL(IF($B$11:$K$11=0,10^9,$B$11:$K$11)+(COLUMN($B$2:$K$2)-COLUMN($J$2))/10^6,$AW19),IF($B$11:$K$11=0,10^9,$B$11:$K$11)+(COLUMN($B$2:$K$2)-COLUMN($J$2))/10^6,0)))</f>
        <v/>
      </c>
      <c r="AY19" s="16">
        <f>IF(AX19="","",INDEX($B$11:$K$11,MATCH(AX19,$B$2:$K$2,0)))</f>
        <v/>
      </c>
      <c r="AZ19" s="16">
        <f>IF(AX19="","",INDEX($L$3:$L$12,MATCH(AX19,$A$3:$A$12,0)))</f>
        <v/>
      </c>
      <c r="BA19" s="16">
        <f>IF(AZ19="","",IF(AZ19=$L$11,1,0))</f>
        <v/>
      </c>
      <c r="BC19" s="4" t="n">
        <v>3</v>
      </c>
      <c r="BD19" s="16">
        <f t="array" ref="BD19">IF($BC19&gt;9,"",INDEX($B$2:$K$2,MATCH(SMALL(IF($B$12:$K$12=0,10^9,$B$12:$K$12)+(COLUMN($B$2:$K$2)-COLUMN($K$2))/10^6,$BC19),IF($B$12:$K$12=0,10^9,$B$12:$K$12)+(COLUMN($B$2:$K$2)-COLUMN($K$2))/10^6,0)))</f>
        <v/>
      </c>
      <c r="BE19" s="16">
        <f>IF(BD19="","",INDEX($B$12:$K$12,MATCH(BD19,$B$2:$K$2,0)))</f>
        <v/>
      </c>
      <c r="BF19" s="16">
        <f>IF(BD19="","",INDEX($L$3:$L$12,MATCH(BD19,$A$3:$A$12,0)))</f>
        <v/>
      </c>
      <c r="BG19" s="16">
        <f>IF(BF19="","",IF(BF19=$L$12,1,0))</f>
        <v/>
      </c>
    </row>
    <row r="20" ht="15" customHeight="1">
      <c r="A20" s="4" t="n">
        <v>4</v>
      </c>
      <c r="B20" s="16">
        <f t="array" ref="B20">IF($A20&gt;9,"",INDEX($B$2:$K$2,MATCH(SMALL(IF($B$3:$K$3=0,10^9,$B$3:$K$3)+(COLUMN($B$2:$K$2)-COLUMN($B$2))/10^6,$A20),IF($B$3:$K$3=0,10^9,$B$3:$K$3)+(COLUMN($B$2:$K$2)-COLUMN($B$2))/10^6,0)))</f>
        <v/>
      </c>
      <c r="C20" s="16">
        <f>IF(B20="","",INDEX($B$3:$K$3,MATCH(B20,$B$2:$K$2,0)))</f>
        <v/>
      </c>
      <c r="D20" s="16">
        <f>IF(B20="","",INDEX($L$3:$L$12,MATCH(B20,$A$3:$A$12,0)))</f>
        <v/>
      </c>
      <c r="E20" s="16">
        <f>IF(D20="","",IF(D20=$L$3,1,0))</f>
        <v/>
      </c>
      <c r="G20" s="4" t="n">
        <v>4</v>
      </c>
      <c r="H20" s="16">
        <f t="array" ref="H20">IF($G20&gt;9,"",INDEX($B$2:$K$2,MATCH(SMALL(IF($B$4:$K$4=0,10^9,$B$4:$K$4)+(COLUMN($B$2:$K$2)-COLUMN($C$2))/10^6,$G20),IF($B$4:$K$4=0,10^9,$B$4:$K$4)+(COLUMN($B$2:$K$2)-COLUMN($C$2))/10^6,0)))</f>
        <v/>
      </c>
      <c r="I20" s="16">
        <f>IF(H20="","",INDEX($B$4:$K$4,MATCH(H20,$B$2:$K$2,0)))</f>
        <v/>
      </c>
      <c r="J20" s="16">
        <f>IF(H20="","",INDEX($L$3:$L$12,MATCH(H20,$A$3:$A$12,0)))</f>
        <v/>
      </c>
      <c r="K20" s="16">
        <f>IF(J20="","",IF(J20=$L$4,1,0))</f>
        <v/>
      </c>
      <c r="M20" s="4" t="n">
        <v>4</v>
      </c>
      <c r="N20" s="16">
        <f t="array" ref="N20">IF($M20&gt;9,"",INDEX($B$2:$K$2,MATCH(SMALL(IF($B$5:$K$5=0,10^9,$B$5:$K$5)+(COLUMN($B$2:$K$2)-COLUMN($D$2))/10^6,$M20),IF($B$5:$K$5=0,10^9,$B$5:$K$5)+(COLUMN($B$2:$K$2)-COLUMN($D$2))/10^6,0)))</f>
        <v/>
      </c>
      <c r="O20" s="16">
        <f>IF(N20="","",INDEX($B$5:$K$5,MATCH(N20,$B$2:$K$2,0)))</f>
        <v/>
      </c>
      <c r="P20" s="16">
        <f>IF(N20="","",INDEX($L$3:$L$12,MATCH(N20,$A$3:$A$12,0)))</f>
        <v/>
      </c>
      <c r="Q20" s="16">
        <f>IF(P20="","",IF(P20=$L$5,1,0))</f>
        <v/>
      </c>
      <c r="S20" s="4" t="n">
        <v>4</v>
      </c>
      <c r="T20" s="16">
        <f t="array" ref="T20">IF($S20&gt;9,"",INDEX($B$2:$K$2,MATCH(SMALL(IF($B$6:$K$6=0,10^9,$B$6:$K$6)+(COLUMN($B$2:$K$2)-COLUMN($E$2))/10^6,$S20),IF($B$6:$K$6=0,10^9,$B$6:$K$6)+(COLUMN($B$2:$K$2)-COLUMN($E$2))/10^6,0)))</f>
        <v/>
      </c>
      <c r="U20" s="16">
        <f>IF(T20="","",INDEX($B$6:$K$6,MATCH(T20,$B$2:$K$2,0)))</f>
        <v/>
      </c>
      <c r="V20" s="16">
        <f>IF(T20="","",INDEX($L$3:$L$12,MATCH(T20,$A$3:$A$12,0)))</f>
        <v/>
      </c>
      <c r="W20" s="16">
        <f>IF(V20="","",IF(V20=$L$6,1,0))</f>
        <v/>
      </c>
      <c r="Y20" s="4" t="n">
        <v>4</v>
      </c>
      <c r="Z20" s="16">
        <f t="array" ref="Z20">IF($Y20&gt;9,"",INDEX($B$2:$K$2,MATCH(SMALL(IF($B$7:$K$7=0,10^9,$B$7:$K$7)+(COLUMN($B$2:$K$2)-COLUMN($F$2))/10^6,$Y20),IF($B$7:$K$7=0,10^9,$B$7:$K$7)+(COLUMN($B$2:$K$2)-COLUMN($F$2))/10^6,0)))</f>
        <v/>
      </c>
      <c r="AA20" s="16">
        <f>IF(Z20="","",INDEX($B$7:$K$7,MATCH(Z20,$B$2:$K$2,0)))</f>
        <v/>
      </c>
      <c r="AB20" s="16">
        <f>IF(Z20="","",INDEX($L$3:$L$12,MATCH(Z20,$A$3:$A$12,0)))</f>
        <v/>
      </c>
      <c r="AC20" s="16">
        <f>IF(AB20="","",IF(AB20=$L$7,1,0))</f>
        <v/>
      </c>
      <c r="AE20" s="4" t="n">
        <v>4</v>
      </c>
      <c r="AF20" s="16">
        <f t="array" ref="AF20">IF($AE20&gt;9,"",INDEX($B$2:$K$2,MATCH(SMALL(IF($B$8:$K$8=0,10^9,$B$8:$K$8)+(COLUMN($B$2:$K$2)-COLUMN($G$2))/10^6,$AE20),IF($B$8:$K$8=0,10^9,$B$8:$K$8)+(COLUMN($B$2:$K$2)-COLUMN($G$2))/10^6,0)))</f>
        <v/>
      </c>
      <c r="AG20" s="16">
        <f>IF(AF20="","",INDEX($B$8:$K$8,MATCH(AF20,$B$2:$K$2,0)))</f>
        <v/>
      </c>
      <c r="AH20" s="16">
        <f>IF(AF20="","",INDEX($L$3:$L$12,MATCH(AF20,$A$3:$A$12,0)))</f>
        <v/>
      </c>
      <c r="AI20" s="16">
        <f>IF(AH20="","",IF(AH20=$L$8,1,0))</f>
        <v/>
      </c>
      <c r="AK20" s="4" t="n">
        <v>4</v>
      </c>
      <c r="AL20" s="16">
        <f t="array" ref="AL20">IF($AK20&gt;9,"",INDEX($B$2:$K$2,MATCH(SMALL(IF($B$9:$K$9=0,10^9,$B$9:$K$9)+(COLUMN($B$2:$K$2)-COLUMN($H$2))/10^6,$AK20),IF($B$9:$K$9=0,10^9,$B$9:$K$9)+(COLUMN($B$2:$K$2)-COLUMN($H$2))/10^6,0)))</f>
        <v/>
      </c>
      <c r="AM20" s="16">
        <f>IF(AL20="","",INDEX($B$9:$K$9,MATCH(AL20,$B$2:$K$2,0)))</f>
        <v/>
      </c>
      <c r="AN20" s="16">
        <f>IF(AL20="","",INDEX($L$3:$L$12,MATCH(AL20,$A$3:$A$12,0)))</f>
        <v/>
      </c>
      <c r="AO20" s="16">
        <f>IF(AN20="","",IF(AN20=$L$9,1,0))</f>
        <v/>
      </c>
      <c r="AQ20" s="4" t="n">
        <v>4</v>
      </c>
      <c r="AR20" s="16">
        <f t="array" ref="AR20">IF($AQ20&gt;9,"",INDEX($B$2:$K$2,MATCH(SMALL(IF($B$10:$K$10=0,10^9,$B$10:$K$10)+(COLUMN($B$2:$K$2)-COLUMN($I$2))/10^6,$AQ20),IF($B$10:$K$10=0,10^9,$B$10:$K$10)+(COLUMN($B$2:$K$2)-COLUMN($I$2))/10^6,0)))</f>
        <v/>
      </c>
      <c r="AS20" s="16">
        <f>IF(AR20="","",INDEX($B$10:$K$10,MATCH(AR20,$B$2:$K$2,0)))</f>
        <v/>
      </c>
      <c r="AT20" s="16">
        <f>IF(AR20="","",INDEX($L$3:$L$12,MATCH(AR20,$A$3:$A$12,0)))</f>
        <v/>
      </c>
      <c r="AU20" s="16">
        <f>IF(AT20="","",IF(AT20=$L$10,1,0))</f>
        <v/>
      </c>
      <c r="AW20" s="4" t="n">
        <v>4</v>
      </c>
      <c r="AX20" s="16">
        <f t="array" ref="AX20">IF($AW20&gt;9,"",INDEX($B$2:$K$2,MATCH(SMALL(IF($B$11:$K$11=0,10^9,$B$11:$K$11)+(COLUMN($B$2:$K$2)-COLUMN($J$2))/10^6,$AW20),IF($B$11:$K$11=0,10^9,$B$11:$K$11)+(COLUMN($B$2:$K$2)-COLUMN($J$2))/10^6,0)))</f>
        <v/>
      </c>
      <c r="AY20" s="16">
        <f>IF(AX20="","",INDEX($B$11:$K$11,MATCH(AX20,$B$2:$K$2,0)))</f>
        <v/>
      </c>
      <c r="AZ20" s="16">
        <f>IF(AX20="","",INDEX($L$3:$L$12,MATCH(AX20,$A$3:$A$12,0)))</f>
        <v/>
      </c>
      <c r="BA20" s="16">
        <f>IF(AZ20="","",IF(AZ20=$L$11,1,0))</f>
        <v/>
      </c>
      <c r="BC20" s="4" t="n">
        <v>4</v>
      </c>
      <c r="BD20" s="16">
        <f t="array" ref="BD20">IF($BC20&gt;9,"",INDEX($B$2:$K$2,MATCH(SMALL(IF($B$12:$K$12=0,10^9,$B$12:$K$12)+(COLUMN($B$2:$K$2)-COLUMN($K$2))/10^6,$BC20),IF($B$12:$K$12=0,10^9,$B$12:$K$12)+(COLUMN($B$2:$K$2)-COLUMN($K$2))/10^6,0)))</f>
        <v/>
      </c>
      <c r="BE20" s="16">
        <f>IF(BD20="","",INDEX($B$12:$K$12,MATCH(BD20,$B$2:$K$2,0)))</f>
        <v/>
      </c>
      <c r="BF20" s="16">
        <f>IF(BD20="","",INDEX($L$3:$L$12,MATCH(BD20,$A$3:$A$12,0)))</f>
        <v/>
      </c>
      <c r="BG20" s="16">
        <f>IF(BF20="","",IF(BF20=$L$12,1,0))</f>
        <v/>
      </c>
    </row>
    <row r="21" ht="15" customHeight="1">
      <c r="A21" s="4" t="n">
        <v>5</v>
      </c>
      <c r="B21" s="16">
        <f t="array" ref="B21">IF($A21&gt;9,"",INDEX($B$2:$K$2,MATCH(SMALL(IF($B$3:$K$3=0,10^9,$B$3:$K$3)+(COLUMN($B$2:$K$2)-COLUMN($B$2))/10^6,$A21),IF($B$3:$K$3=0,10^9,$B$3:$K$3)+(COLUMN($B$2:$K$2)-COLUMN($B$2))/10^6,0)))</f>
        <v/>
      </c>
      <c r="C21" s="16">
        <f>IF(B21="","",INDEX($B$3:$K$3,MATCH(B21,$B$2:$K$2,0)))</f>
        <v/>
      </c>
      <c r="D21" s="16">
        <f>IF(B21="","",INDEX($L$3:$L$12,MATCH(B21,$A$3:$A$12,0)))</f>
        <v/>
      </c>
      <c r="E21" s="16">
        <f>IF(D21="","",IF(D21=$L$3,1,0))</f>
        <v/>
      </c>
      <c r="G21" s="4" t="n">
        <v>5</v>
      </c>
      <c r="H21" s="16">
        <f t="array" ref="H21">IF($G21&gt;9,"",INDEX($B$2:$K$2,MATCH(SMALL(IF($B$4:$K$4=0,10^9,$B$4:$K$4)+(COLUMN($B$2:$K$2)-COLUMN($C$2))/10^6,$G21),IF($B$4:$K$4=0,10^9,$B$4:$K$4)+(COLUMN($B$2:$K$2)-COLUMN($C$2))/10^6,0)))</f>
        <v/>
      </c>
      <c r="I21" s="16">
        <f>IF(H21="","",INDEX($B$4:$K$4,MATCH(H21,$B$2:$K$2,0)))</f>
        <v/>
      </c>
      <c r="J21" s="16">
        <f>IF(H21="","",INDEX($L$3:$L$12,MATCH(H21,$A$3:$A$12,0)))</f>
        <v/>
      </c>
      <c r="K21" s="16">
        <f>IF(J21="","",IF(J21=$L$4,1,0))</f>
        <v/>
      </c>
      <c r="M21" s="4" t="n">
        <v>5</v>
      </c>
      <c r="N21" s="16">
        <f t="array" ref="N21">IF($M21&gt;9,"",INDEX($B$2:$K$2,MATCH(SMALL(IF($B$5:$K$5=0,10^9,$B$5:$K$5)+(COLUMN($B$2:$K$2)-COLUMN($D$2))/10^6,$M21),IF($B$5:$K$5=0,10^9,$B$5:$K$5)+(COLUMN($B$2:$K$2)-COLUMN($D$2))/10^6,0)))</f>
        <v/>
      </c>
      <c r="O21" s="16">
        <f>IF(N21="","",INDEX($B$5:$K$5,MATCH(N21,$B$2:$K$2,0)))</f>
        <v/>
      </c>
      <c r="P21" s="16">
        <f>IF(N21="","",INDEX($L$3:$L$12,MATCH(N21,$A$3:$A$12,0)))</f>
        <v/>
      </c>
      <c r="Q21" s="16">
        <f>IF(P21="","",IF(P21=$L$5,1,0))</f>
        <v/>
      </c>
      <c r="S21" s="4" t="n">
        <v>5</v>
      </c>
      <c r="T21" s="16">
        <f t="array" ref="T21">IF($S21&gt;9,"",INDEX($B$2:$K$2,MATCH(SMALL(IF($B$6:$K$6=0,10^9,$B$6:$K$6)+(COLUMN($B$2:$K$2)-COLUMN($E$2))/10^6,$S21),IF($B$6:$K$6=0,10^9,$B$6:$K$6)+(COLUMN($B$2:$K$2)-COLUMN($E$2))/10^6,0)))</f>
        <v/>
      </c>
      <c r="U21" s="16">
        <f>IF(T21="","",INDEX($B$6:$K$6,MATCH(T21,$B$2:$K$2,0)))</f>
        <v/>
      </c>
      <c r="V21" s="16">
        <f>IF(T21="","",INDEX($L$3:$L$12,MATCH(T21,$A$3:$A$12,0)))</f>
        <v/>
      </c>
      <c r="W21" s="16">
        <f>IF(V21="","",IF(V21=$L$6,1,0))</f>
        <v/>
      </c>
      <c r="Y21" s="4" t="n">
        <v>5</v>
      </c>
      <c r="Z21" s="16">
        <f t="array" ref="Z21">IF($Y21&gt;9,"",INDEX($B$2:$K$2,MATCH(SMALL(IF($B$7:$K$7=0,10^9,$B$7:$K$7)+(COLUMN($B$2:$K$2)-COLUMN($F$2))/10^6,$Y21),IF($B$7:$K$7=0,10^9,$B$7:$K$7)+(COLUMN($B$2:$K$2)-COLUMN($F$2))/10^6,0)))</f>
        <v/>
      </c>
      <c r="AA21" s="16">
        <f>IF(Z21="","",INDEX($B$7:$K$7,MATCH(Z21,$B$2:$K$2,0)))</f>
        <v/>
      </c>
      <c r="AB21" s="16">
        <f>IF(Z21="","",INDEX($L$3:$L$12,MATCH(Z21,$A$3:$A$12,0)))</f>
        <v/>
      </c>
      <c r="AC21" s="16">
        <f>IF(AB21="","",IF(AB21=$L$7,1,0))</f>
        <v/>
      </c>
      <c r="AE21" s="4" t="n">
        <v>5</v>
      </c>
      <c r="AF21" s="16">
        <f t="array" ref="AF21">IF($AE21&gt;9,"",INDEX($B$2:$K$2,MATCH(SMALL(IF($B$8:$K$8=0,10^9,$B$8:$K$8)+(COLUMN($B$2:$K$2)-COLUMN($G$2))/10^6,$AE21),IF($B$8:$K$8=0,10^9,$B$8:$K$8)+(COLUMN($B$2:$K$2)-COLUMN($G$2))/10^6,0)))</f>
        <v/>
      </c>
      <c r="AG21" s="16">
        <f>IF(AF21="","",INDEX($B$8:$K$8,MATCH(AF21,$B$2:$K$2,0)))</f>
        <v/>
      </c>
      <c r="AH21" s="16">
        <f>IF(AF21="","",INDEX($L$3:$L$12,MATCH(AF21,$A$3:$A$12,0)))</f>
        <v/>
      </c>
      <c r="AI21" s="16">
        <f>IF(AH21="","",IF(AH21=$L$8,1,0))</f>
        <v/>
      </c>
      <c r="AK21" s="4" t="n">
        <v>5</v>
      </c>
      <c r="AL21" s="16">
        <f t="array" ref="AL21">IF($AK21&gt;9,"",INDEX($B$2:$K$2,MATCH(SMALL(IF($B$9:$K$9=0,10^9,$B$9:$K$9)+(COLUMN($B$2:$K$2)-COLUMN($H$2))/10^6,$AK21),IF($B$9:$K$9=0,10^9,$B$9:$K$9)+(COLUMN($B$2:$K$2)-COLUMN($H$2))/10^6,0)))</f>
        <v/>
      </c>
      <c r="AM21" s="16">
        <f>IF(AL21="","",INDEX($B$9:$K$9,MATCH(AL21,$B$2:$K$2,0)))</f>
        <v/>
      </c>
      <c r="AN21" s="16">
        <f>IF(AL21="","",INDEX($L$3:$L$12,MATCH(AL21,$A$3:$A$12,0)))</f>
        <v/>
      </c>
      <c r="AO21" s="16">
        <f>IF(AN21="","",IF(AN21=$L$9,1,0))</f>
        <v/>
      </c>
      <c r="AQ21" s="4" t="n">
        <v>5</v>
      </c>
      <c r="AR21" s="16">
        <f t="array" ref="AR21">IF($AQ21&gt;9,"",INDEX($B$2:$K$2,MATCH(SMALL(IF($B$10:$K$10=0,10^9,$B$10:$K$10)+(COLUMN($B$2:$K$2)-COLUMN($I$2))/10^6,$AQ21),IF($B$10:$K$10=0,10^9,$B$10:$K$10)+(COLUMN($B$2:$K$2)-COLUMN($I$2))/10^6,0)))</f>
        <v/>
      </c>
      <c r="AS21" s="16">
        <f>IF(AR21="","",INDEX($B$10:$K$10,MATCH(AR21,$B$2:$K$2,0)))</f>
        <v/>
      </c>
      <c r="AT21" s="16">
        <f>IF(AR21="","",INDEX($L$3:$L$12,MATCH(AR21,$A$3:$A$12,0)))</f>
        <v/>
      </c>
      <c r="AU21" s="16">
        <f>IF(AT21="","",IF(AT21=$L$10,1,0))</f>
        <v/>
      </c>
      <c r="AW21" s="4" t="n">
        <v>5</v>
      </c>
      <c r="AX21" s="16">
        <f t="array" ref="AX21">IF($AW21&gt;9,"",INDEX($B$2:$K$2,MATCH(SMALL(IF($B$11:$K$11=0,10^9,$B$11:$K$11)+(COLUMN($B$2:$K$2)-COLUMN($J$2))/10^6,$AW21),IF($B$11:$K$11=0,10^9,$B$11:$K$11)+(COLUMN($B$2:$K$2)-COLUMN($J$2))/10^6,0)))</f>
        <v/>
      </c>
      <c r="AY21" s="16">
        <f>IF(AX21="","",INDEX($B$11:$K$11,MATCH(AX21,$B$2:$K$2,0)))</f>
        <v/>
      </c>
      <c r="AZ21" s="16">
        <f>IF(AX21="","",INDEX($L$3:$L$12,MATCH(AX21,$A$3:$A$12,0)))</f>
        <v/>
      </c>
      <c r="BA21" s="16">
        <f>IF(AZ21="","",IF(AZ21=$L$11,1,0))</f>
        <v/>
      </c>
      <c r="BC21" s="4" t="n">
        <v>5</v>
      </c>
      <c r="BD21" s="16">
        <f t="array" ref="BD21">IF($BC21&gt;9,"",INDEX($B$2:$K$2,MATCH(SMALL(IF($B$12:$K$12=0,10^9,$B$12:$K$12)+(COLUMN($B$2:$K$2)-COLUMN($K$2))/10^6,$BC21),IF($B$12:$K$12=0,10^9,$B$12:$K$12)+(COLUMN($B$2:$K$2)-COLUMN($K$2))/10^6,0)))</f>
        <v/>
      </c>
      <c r="BE21" s="16">
        <f>IF(BD21="","",INDEX($B$12:$K$12,MATCH(BD21,$B$2:$K$2,0)))</f>
        <v/>
      </c>
      <c r="BF21" s="16">
        <f>IF(BD21="","",INDEX($L$3:$L$12,MATCH(BD21,$A$3:$A$12,0)))</f>
        <v/>
      </c>
      <c r="BG21" s="16">
        <f>IF(BF21="","",IF(BF21=$L$12,1,0))</f>
        <v/>
      </c>
    </row>
    <row r="22" ht="15" customHeight="1">
      <c r="A22" s="4" t="n">
        <v>6</v>
      </c>
      <c r="B22" s="16">
        <f t="array" ref="B22">IF($A22&gt;9,"",INDEX($B$2:$K$2,MATCH(SMALL(IF($B$3:$K$3=0,10^9,$B$3:$K$3)+(COLUMN($B$2:$K$2)-COLUMN($B$2))/10^6,$A22),IF($B$3:$K$3=0,10^9,$B$3:$K$3)+(COLUMN($B$2:$K$2)-COLUMN($B$2))/10^6,0)))</f>
        <v/>
      </c>
      <c r="C22" s="16">
        <f>IF(B22="","",INDEX($B$3:$K$3,MATCH(B22,$B$2:$K$2,0)))</f>
        <v/>
      </c>
      <c r="D22" s="16">
        <f>IF(B22="","",INDEX($L$3:$L$12,MATCH(B22,$A$3:$A$12,0)))</f>
        <v/>
      </c>
      <c r="E22" s="16">
        <f>IF(D22="","",IF(D22=$L$3,1,0))</f>
        <v/>
      </c>
      <c r="G22" s="4" t="n">
        <v>6</v>
      </c>
      <c r="H22" s="16">
        <f t="array" ref="H22">IF($G22&gt;9,"",INDEX($B$2:$K$2,MATCH(SMALL(IF($B$4:$K$4=0,10^9,$B$4:$K$4)+(COLUMN($B$2:$K$2)-COLUMN($C$2))/10^6,$G22),IF($B$4:$K$4=0,10^9,$B$4:$K$4)+(COLUMN($B$2:$K$2)-COLUMN($C$2))/10^6,0)))</f>
        <v/>
      </c>
      <c r="I22" s="16">
        <f>IF(H22="","",INDEX($B$4:$K$4,MATCH(H22,$B$2:$K$2,0)))</f>
        <v/>
      </c>
      <c r="J22" s="16">
        <f>IF(H22="","",INDEX($L$3:$L$12,MATCH(H22,$A$3:$A$12,0)))</f>
        <v/>
      </c>
      <c r="K22" s="16">
        <f>IF(J22="","",IF(J22=$L$4,1,0))</f>
        <v/>
      </c>
      <c r="M22" s="4" t="n">
        <v>6</v>
      </c>
      <c r="N22" s="16">
        <f t="array" ref="N22">IF($M22&gt;9,"",INDEX($B$2:$K$2,MATCH(SMALL(IF($B$5:$K$5=0,10^9,$B$5:$K$5)+(COLUMN($B$2:$K$2)-COLUMN($D$2))/10^6,$M22),IF($B$5:$K$5=0,10^9,$B$5:$K$5)+(COLUMN($B$2:$K$2)-COLUMN($D$2))/10^6,0)))</f>
        <v/>
      </c>
      <c r="O22" s="16">
        <f>IF(N22="","",INDEX($B$5:$K$5,MATCH(N22,$B$2:$K$2,0)))</f>
        <v/>
      </c>
      <c r="P22" s="16">
        <f>IF(N22="","",INDEX($L$3:$L$12,MATCH(N22,$A$3:$A$12,0)))</f>
        <v/>
      </c>
      <c r="Q22" s="16">
        <f>IF(P22="","",IF(P22=$L$5,1,0))</f>
        <v/>
      </c>
      <c r="S22" s="4" t="n">
        <v>6</v>
      </c>
      <c r="T22" s="16">
        <f t="array" ref="T22">IF($S22&gt;9,"",INDEX($B$2:$K$2,MATCH(SMALL(IF($B$6:$K$6=0,10^9,$B$6:$K$6)+(COLUMN($B$2:$K$2)-COLUMN($E$2))/10^6,$S22),IF($B$6:$K$6=0,10^9,$B$6:$K$6)+(COLUMN($B$2:$K$2)-COLUMN($E$2))/10^6,0)))</f>
        <v/>
      </c>
      <c r="U22" s="16">
        <f>IF(T22="","",INDEX($B$6:$K$6,MATCH(T22,$B$2:$K$2,0)))</f>
        <v/>
      </c>
      <c r="V22" s="16">
        <f>IF(T22="","",INDEX($L$3:$L$12,MATCH(T22,$A$3:$A$12,0)))</f>
        <v/>
      </c>
      <c r="W22" s="16">
        <f>IF(V22="","",IF(V22=$L$6,1,0))</f>
        <v/>
      </c>
      <c r="Y22" s="4" t="n">
        <v>6</v>
      </c>
      <c r="Z22" s="16">
        <f t="array" ref="Z22">IF($Y22&gt;9,"",INDEX($B$2:$K$2,MATCH(SMALL(IF($B$7:$K$7=0,10^9,$B$7:$K$7)+(COLUMN($B$2:$K$2)-COLUMN($F$2))/10^6,$Y22),IF($B$7:$K$7=0,10^9,$B$7:$K$7)+(COLUMN($B$2:$K$2)-COLUMN($F$2))/10^6,0)))</f>
        <v/>
      </c>
      <c r="AA22" s="16">
        <f>IF(Z22="","",INDEX($B$7:$K$7,MATCH(Z22,$B$2:$K$2,0)))</f>
        <v/>
      </c>
      <c r="AB22" s="16">
        <f>IF(Z22="","",INDEX($L$3:$L$12,MATCH(Z22,$A$3:$A$12,0)))</f>
        <v/>
      </c>
      <c r="AC22" s="16">
        <f>IF(AB22="","",IF(AB22=$L$7,1,0))</f>
        <v/>
      </c>
      <c r="AE22" s="4" t="n">
        <v>6</v>
      </c>
      <c r="AF22" s="16">
        <f t="array" ref="AF22">IF($AE22&gt;9,"",INDEX($B$2:$K$2,MATCH(SMALL(IF($B$8:$K$8=0,10^9,$B$8:$K$8)+(COLUMN($B$2:$K$2)-COLUMN($G$2))/10^6,$AE22),IF($B$8:$K$8=0,10^9,$B$8:$K$8)+(COLUMN($B$2:$K$2)-COLUMN($G$2))/10^6,0)))</f>
        <v/>
      </c>
      <c r="AG22" s="16">
        <f>IF(AF22="","",INDEX($B$8:$K$8,MATCH(AF22,$B$2:$K$2,0)))</f>
        <v/>
      </c>
      <c r="AH22" s="16">
        <f>IF(AF22="","",INDEX($L$3:$L$12,MATCH(AF22,$A$3:$A$12,0)))</f>
        <v/>
      </c>
      <c r="AI22" s="16">
        <f>IF(AH22="","",IF(AH22=$L$8,1,0))</f>
        <v/>
      </c>
      <c r="AK22" s="4" t="n">
        <v>6</v>
      </c>
      <c r="AL22" s="16">
        <f t="array" ref="AL22">IF($AK22&gt;9,"",INDEX($B$2:$K$2,MATCH(SMALL(IF($B$9:$K$9=0,10^9,$B$9:$K$9)+(COLUMN($B$2:$K$2)-COLUMN($H$2))/10^6,$AK22),IF($B$9:$K$9=0,10^9,$B$9:$K$9)+(COLUMN($B$2:$K$2)-COLUMN($H$2))/10^6,0)))</f>
        <v/>
      </c>
      <c r="AM22" s="16">
        <f>IF(AL22="","",INDEX($B$9:$K$9,MATCH(AL22,$B$2:$K$2,0)))</f>
        <v/>
      </c>
      <c r="AN22" s="16">
        <f>IF(AL22="","",INDEX($L$3:$L$12,MATCH(AL22,$A$3:$A$12,0)))</f>
        <v/>
      </c>
      <c r="AO22" s="16">
        <f>IF(AN22="","",IF(AN22=$L$9,1,0))</f>
        <v/>
      </c>
      <c r="AQ22" s="4" t="n">
        <v>6</v>
      </c>
      <c r="AR22" s="16">
        <f t="array" ref="AR22">IF($AQ22&gt;9,"",INDEX($B$2:$K$2,MATCH(SMALL(IF($B$10:$K$10=0,10^9,$B$10:$K$10)+(COLUMN($B$2:$K$2)-COLUMN($I$2))/10^6,$AQ22),IF($B$10:$K$10=0,10^9,$B$10:$K$10)+(COLUMN($B$2:$K$2)-COLUMN($I$2))/10^6,0)))</f>
        <v/>
      </c>
      <c r="AS22" s="16">
        <f>IF(AR22="","",INDEX($B$10:$K$10,MATCH(AR22,$B$2:$K$2,0)))</f>
        <v/>
      </c>
      <c r="AT22" s="16">
        <f>IF(AR22="","",INDEX($L$3:$L$12,MATCH(AR22,$A$3:$A$12,0)))</f>
        <v/>
      </c>
      <c r="AU22" s="16">
        <f>IF(AT22="","",IF(AT22=$L$10,1,0))</f>
        <v/>
      </c>
      <c r="AW22" s="4" t="n">
        <v>6</v>
      </c>
      <c r="AX22" s="16">
        <f t="array" ref="AX22">IF($AW22&gt;9,"",INDEX($B$2:$K$2,MATCH(SMALL(IF($B$11:$K$11=0,10^9,$B$11:$K$11)+(COLUMN($B$2:$K$2)-COLUMN($J$2))/10^6,$AW22),IF($B$11:$K$11=0,10^9,$B$11:$K$11)+(COLUMN($B$2:$K$2)-COLUMN($J$2))/10^6,0)))</f>
        <v/>
      </c>
      <c r="AY22" s="16">
        <f>IF(AX22="","",INDEX($B$11:$K$11,MATCH(AX22,$B$2:$K$2,0)))</f>
        <v/>
      </c>
      <c r="AZ22" s="16">
        <f>IF(AX22="","",INDEX($L$3:$L$12,MATCH(AX22,$A$3:$A$12,0)))</f>
        <v/>
      </c>
      <c r="BA22" s="16">
        <f>IF(AZ22="","",IF(AZ22=$L$11,1,0))</f>
        <v/>
      </c>
      <c r="BC22" s="4" t="n">
        <v>6</v>
      </c>
      <c r="BD22" s="16">
        <f t="array" ref="BD22">IF($BC22&gt;9,"",INDEX($B$2:$K$2,MATCH(SMALL(IF($B$12:$K$12=0,10^9,$B$12:$K$12)+(COLUMN($B$2:$K$2)-COLUMN($K$2))/10^6,$BC22),IF($B$12:$K$12=0,10^9,$B$12:$K$12)+(COLUMN($B$2:$K$2)-COLUMN($K$2))/10^6,0)))</f>
        <v/>
      </c>
      <c r="BE22" s="16">
        <f>IF(BD22="","",INDEX($B$12:$K$12,MATCH(BD22,$B$2:$K$2,0)))</f>
        <v/>
      </c>
      <c r="BF22" s="16">
        <f>IF(BD22="","",INDEX($L$3:$L$12,MATCH(BD22,$A$3:$A$12,0)))</f>
        <v/>
      </c>
      <c r="BG22" s="16">
        <f>IF(BF22="","",IF(BF22=$L$12,1,0))</f>
        <v/>
      </c>
    </row>
    <row r="23" ht="15" customHeight="1">
      <c r="A23" s="4" t="n">
        <v>7</v>
      </c>
      <c r="B23" s="16">
        <f t="array" ref="B23">IF($A23&gt;9,"",INDEX($B$2:$K$2,MATCH(SMALL(IF($B$3:$K$3=0,10^9,$B$3:$K$3)+(COLUMN($B$2:$K$2)-COLUMN($B$2))/10^6,$A23),IF($B$3:$K$3=0,10^9,$B$3:$K$3)+(COLUMN($B$2:$K$2)-COLUMN($B$2))/10^6,0)))</f>
        <v/>
      </c>
      <c r="C23" s="16">
        <f>IF(B23="","",INDEX($B$3:$K$3,MATCH(B23,$B$2:$K$2,0)))</f>
        <v/>
      </c>
      <c r="D23" s="16">
        <f>IF(B23="","",INDEX($L$3:$L$12,MATCH(B23,$A$3:$A$12,0)))</f>
        <v/>
      </c>
      <c r="E23" s="16">
        <f>IF(D23="","",IF(D23=$L$3,1,0))</f>
        <v/>
      </c>
      <c r="G23" s="4" t="n">
        <v>7</v>
      </c>
      <c r="H23" s="16">
        <f t="array" ref="H23">IF($G23&gt;9,"",INDEX($B$2:$K$2,MATCH(SMALL(IF($B$4:$K$4=0,10^9,$B$4:$K$4)+(COLUMN($B$2:$K$2)-COLUMN($C$2))/10^6,$G23),IF($B$4:$K$4=0,10^9,$B$4:$K$4)+(COLUMN($B$2:$K$2)-COLUMN($C$2))/10^6,0)))</f>
        <v/>
      </c>
      <c r="I23" s="16">
        <f>IF(H23="","",INDEX($B$4:$K$4,MATCH(H23,$B$2:$K$2,0)))</f>
        <v/>
      </c>
      <c r="J23" s="16">
        <f>IF(H23="","",INDEX($L$3:$L$12,MATCH(H23,$A$3:$A$12,0)))</f>
        <v/>
      </c>
      <c r="K23" s="16">
        <f>IF(J23="","",IF(J23=$L$4,1,0))</f>
        <v/>
      </c>
      <c r="M23" s="4" t="n">
        <v>7</v>
      </c>
      <c r="N23" s="16">
        <f t="array" ref="N23">IF($M23&gt;9,"",INDEX($B$2:$K$2,MATCH(SMALL(IF($B$5:$K$5=0,10^9,$B$5:$K$5)+(COLUMN($B$2:$K$2)-COLUMN($D$2))/10^6,$M23),IF($B$5:$K$5=0,10^9,$B$5:$K$5)+(COLUMN($B$2:$K$2)-COLUMN($D$2))/10^6,0)))</f>
        <v/>
      </c>
      <c r="O23" s="16">
        <f>IF(N23="","",INDEX($B$5:$K$5,MATCH(N23,$B$2:$K$2,0)))</f>
        <v/>
      </c>
      <c r="P23" s="16">
        <f>IF(N23="","",INDEX($L$3:$L$12,MATCH(N23,$A$3:$A$12,0)))</f>
        <v/>
      </c>
      <c r="Q23" s="16">
        <f>IF(P23="","",IF(P23=$L$5,1,0))</f>
        <v/>
      </c>
      <c r="S23" s="4" t="n">
        <v>7</v>
      </c>
      <c r="T23" s="16">
        <f t="array" ref="T23">IF($S23&gt;9,"",INDEX($B$2:$K$2,MATCH(SMALL(IF($B$6:$K$6=0,10^9,$B$6:$K$6)+(COLUMN($B$2:$K$2)-COLUMN($E$2))/10^6,$S23),IF($B$6:$K$6=0,10^9,$B$6:$K$6)+(COLUMN($B$2:$K$2)-COLUMN($E$2))/10^6,0)))</f>
        <v/>
      </c>
      <c r="U23" s="16">
        <f>IF(T23="","",INDEX($B$6:$K$6,MATCH(T23,$B$2:$K$2,0)))</f>
        <v/>
      </c>
      <c r="V23" s="16">
        <f>IF(T23="","",INDEX($L$3:$L$12,MATCH(T23,$A$3:$A$12,0)))</f>
        <v/>
      </c>
      <c r="W23" s="16">
        <f>IF(V23="","",IF(V23=$L$6,1,0))</f>
        <v/>
      </c>
      <c r="Y23" s="4" t="n">
        <v>7</v>
      </c>
      <c r="Z23" s="16">
        <f t="array" ref="Z23">IF($Y23&gt;9,"",INDEX($B$2:$K$2,MATCH(SMALL(IF($B$7:$K$7=0,10^9,$B$7:$K$7)+(COLUMN($B$2:$K$2)-COLUMN($F$2))/10^6,$Y23),IF($B$7:$K$7=0,10^9,$B$7:$K$7)+(COLUMN($B$2:$K$2)-COLUMN($F$2))/10^6,0)))</f>
        <v/>
      </c>
      <c r="AA23" s="16">
        <f>IF(Z23="","",INDEX($B$7:$K$7,MATCH(Z23,$B$2:$K$2,0)))</f>
        <v/>
      </c>
      <c r="AB23" s="16">
        <f>IF(Z23="","",INDEX($L$3:$L$12,MATCH(Z23,$A$3:$A$12,0)))</f>
        <v/>
      </c>
      <c r="AC23" s="16">
        <f>IF(AB23="","",IF(AB23=$L$7,1,0))</f>
        <v/>
      </c>
      <c r="AE23" s="4" t="n">
        <v>7</v>
      </c>
      <c r="AF23" s="16">
        <f t="array" ref="AF23">IF($AE23&gt;9,"",INDEX($B$2:$K$2,MATCH(SMALL(IF($B$8:$K$8=0,10^9,$B$8:$K$8)+(COLUMN($B$2:$K$2)-COLUMN($G$2))/10^6,$AE23),IF($B$8:$K$8=0,10^9,$B$8:$K$8)+(COLUMN($B$2:$K$2)-COLUMN($G$2))/10^6,0)))</f>
        <v/>
      </c>
      <c r="AG23" s="16">
        <f>IF(AF23="","",INDEX($B$8:$K$8,MATCH(AF23,$B$2:$K$2,0)))</f>
        <v/>
      </c>
      <c r="AH23" s="16">
        <f>IF(AF23="","",INDEX($L$3:$L$12,MATCH(AF23,$A$3:$A$12,0)))</f>
        <v/>
      </c>
      <c r="AI23" s="16">
        <f>IF(AH23="","",IF(AH23=$L$8,1,0))</f>
        <v/>
      </c>
      <c r="AK23" s="4" t="n">
        <v>7</v>
      </c>
      <c r="AL23" s="16">
        <f t="array" ref="AL23">IF($AK23&gt;9,"",INDEX($B$2:$K$2,MATCH(SMALL(IF($B$9:$K$9=0,10^9,$B$9:$K$9)+(COLUMN($B$2:$K$2)-COLUMN($H$2))/10^6,$AK23),IF($B$9:$K$9=0,10^9,$B$9:$K$9)+(COLUMN($B$2:$K$2)-COLUMN($H$2))/10^6,0)))</f>
        <v/>
      </c>
      <c r="AM23" s="16">
        <f>IF(AL23="","",INDEX($B$9:$K$9,MATCH(AL23,$B$2:$K$2,0)))</f>
        <v/>
      </c>
      <c r="AN23" s="16">
        <f>IF(AL23="","",INDEX($L$3:$L$12,MATCH(AL23,$A$3:$A$12,0)))</f>
        <v/>
      </c>
      <c r="AO23" s="16">
        <f>IF(AN23="","",IF(AN23=$L$9,1,0))</f>
        <v/>
      </c>
      <c r="AQ23" s="4" t="n">
        <v>7</v>
      </c>
      <c r="AR23" s="16">
        <f t="array" ref="AR23">IF($AQ23&gt;9,"",INDEX($B$2:$K$2,MATCH(SMALL(IF($B$10:$K$10=0,10^9,$B$10:$K$10)+(COLUMN($B$2:$K$2)-COLUMN($I$2))/10^6,$AQ23),IF($B$10:$K$10=0,10^9,$B$10:$K$10)+(COLUMN($B$2:$K$2)-COLUMN($I$2))/10^6,0)))</f>
        <v/>
      </c>
      <c r="AS23" s="16">
        <f>IF(AR23="","",INDEX($B$10:$K$10,MATCH(AR23,$B$2:$K$2,0)))</f>
        <v/>
      </c>
      <c r="AT23" s="16">
        <f>IF(AR23="","",INDEX($L$3:$L$12,MATCH(AR23,$A$3:$A$12,0)))</f>
        <v/>
      </c>
      <c r="AU23" s="16">
        <f>IF(AT23="","",IF(AT23=$L$10,1,0))</f>
        <v/>
      </c>
      <c r="AW23" s="4" t="n">
        <v>7</v>
      </c>
      <c r="AX23" s="16">
        <f t="array" ref="AX23">IF($AW23&gt;9,"",INDEX($B$2:$K$2,MATCH(SMALL(IF($B$11:$K$11=0,10^9,$B$11:$K$11)+(COLUMN($B$2:$K$2)-COLUMN($J$2))/10^6,$AW23),IF($B$11:$K$11=0,10^9,$B$11:$K$11)+(COLUMN($B$2:$K$2)-COLUMN($J$2))/10^6,0)))</f>
        <v/>
      </c>
      <c r="AY23" s="16">
        <f>IF(AX23="","",INDEX($B$11:$K$11,MATCH(AX23,$B$2:$K$2,0)))</f>
        <v/>
      </c>
      <c r="AZ23" s="16">
        <f>IF(AX23="","",INDEX($L$3:$L$12,MATCH(AX23,$A$3:$A$12,0)))</f>
        <v/>
      </c>
      <c r="BA23" s="16">
        <f>IF(AZ23="","",IF(AZ23=$L$11,1,0))</f>
        <v/>
      </c>
      <c r="BC23" s="4" t="n">
        <v>7</v>
      </c>
      <c r="BD23" s="16">
        <f t="array" ref="BD23">IF($BC23&gt;9,"",INDEX($B$2:$K$2,MATCH(SMALL(IF($B$12:$K$12=0,10^9,$B$12:$K$12)+(COLUMN($B$2:$K$2)-COLUMN($K$2))/10^6,$BC23),IF($B$12:$K$12=0,10^9,$B$12:$K$12)+(COLUMN($B$2:$K$2)-COLUMN($K$2))/10^6,0)))</f>
        <v/>
      </c>
      <c r="BE23" s="16">
        <f>IF(BD23="","",INDEX($B$12:$K$12,MATCH(BD23,$B$2:$K$2,0)))</f>
        <v/>
      </c>
      <c r="BF23" s="16">
        <f>IF(BD23="","",INDEX($L$3:$L$12,MATCH(BD23,$A$3:$A$12,0)))</f>
        <v/>
      </c>
      <c r="BG23" s="16">
        <f>IF(BF23="","",IF(BF23=$L$12,1,0))</f>
        <v/>
      </c>
    </row>
    <row r="24" ht="15" customHeight="1">
      <c r="A24" s="4" t="n">
        <v>8</v>
      </c>
      <c r="B24" s="16">
        <f t="array" ref="B24">IF($A24&gt;9,"",INDEX($B$2:$K$2,MATCH(SMALL(IF($B$3:$K$3=0,10^9,$B$3:$K$3)+(COLUMN($B$2:$K$2)-COLUMN($B$2))/10^6,$A24),IF($B$3:$K$3=0,10^9,$B$3:$K$3)+(COLUMN($B$2:$K$2)-COLUMN($B$2))/10^6,0)))</f>
        <v/>
      </c>
      <c r="C24" s="16">
        <f>IF(B24="","",INDEX($B$3:$K$3,MATCH(B24,$B$2:$K$2,0)))</f>
        <v/>
      </c>
      <c r="D24" s="16">
        <f>IF(B24="","",INDEX($L$3:$L$12,MATCH(B24,$A$3:$A$12,0)))</f>
        <v/>
      </c>
      <c r="E24" s="16">
        <f>IF(D24="","",IF(D24=$L$3,1,0))</f>
        <v/>
      </c>
      <c r="G24" s="4" t="n">
        <v>8</v>
      </c>
      <c r="H24" s="16">
        <f t="array" ref="H24">IF($G24&gt;9,"",INDEX($B$2:$K$2,MATCH(SMALL(IF($B$4:$K$4=0,10^9,$B$4:$K$4)+(COLUMN($B$2:$K$2)-COLUMN($C$2))/10^6,$G24),IF($B$4:$K$4=0,10^9,$B$4:$K$4)+(COLUMN($B$2:$K$2)-COLUMN($C$2))/10^6,0)))</f>
        <v/>
      </c>
      <c r="I24" s="16">
        <f>IF(H24="","",INDEX($B$4:$K$4,MATCH(H24,$B$2:$K$2,0)))</f>
        <v/>
      </c>
      <c r="J24" s="16">
        <f>IF(H24="","",INDEX($L$3:$L$12,MATCH(H24,$A$3:$A$12,0)))</f>
        <v/>
      </c>
      <c r="K24" s="16">
        <f>IF(J24="","",IF(J24=$L$4,1,0))</f>
        <v/>
      </c>
      <c r="M24" s="4" t="n">
        <v>8</v>
      </c>
      <c r="N24" s="16">
        <f t="array" ref="N24">IF($M24&gt;9,"",INDEX($B$2:$K$2,MATCH(SMALL(IF($B$5:$K$5=0,10^9,$B$5:$K$5)+(COLUMN($B$2:$K$2)-COLUMN($D$2))/10^6,$M24),IF($B$5:$K$5=0,10^9,$B$5:$K$5)+(COLUMN($B$2:$K$2)-COLUMN($D$2))/10^6,0)))</f>
        <v/>
      </c>
      <c r="O24" s="16">
        <f>IF(N24="","",INDEX($B$5:$K$5,MATCH(N24,$B$2:$K$2,0)))</f>
        <v/>
      </c>
      <c r="P24" s="16">
        <f>IF(N24="","",INDEX($L$3:$L$12,MATCH(N24,$A$3:$A$12,0)))</f>
        <v/>
      </c>
      <c r="Q24" s="16">
        <f>IF(P24="","",IF(P24=$L$5,1,0))</f>
        <v/>
      </c>
      <c r="S24" s="4" t="n">
        <v>8</v>
      </c>
      <c r="T24" s="16">
        <f t="array" ref="T24">IF($S24&gt;9,"",INDEX($B$2:$K$2,MATCH(SMALL(IF($B$6:$K$6=0,10^9,$B$6:$K$6)+(COLUMN($B$2:$K$2)-COLUMN($E$2))/10^6,$S24),IF($B$6:$K$6=0,10^9,$B$6:$K$6)+(COLUMN($B$2:$K$2)-COLUMN($E$2))/10^6,0)))</f>
        <v/>
      </c>
      <c r="U24" s="16">
        <f>IF(T24="","",INDEX($B$6:$K$6,MATCH(T24,$B$2:$K$2,0)))</f>
        <v/>
      </c>
      <c r="V24" s="16">
        <f>IF(T24="","",INDEX($L$3:$L$12,MATCH(T24,$A$3:$A$12,0)))</f>
        <v/>
      </c>
      <c r="W24" s="16">
        <f>IF(V24="","",IF(V24=$L$6,1,0))</f>
        <v/>
      </c>
      <c r="Y24" s="4" t="n">
        <v>8</v>
      </c>
      <c r="Z24" s="16">
        <f t="array" ref="Z24">IF($Y24&gt;9,"",INDEX($B$2:$K$2,MATCH(SMALL(IF($B$7:$K$7=0,10^9,$B$7:$K$7)+(COLUMN($B$2:$K$2)-COLUMN($F$2))/10^6,$Y24),IF($B$7:$K$7=0,10^9,$B$7:$K$7)+(COLUMN($B$2:$K$2)-COLUMN($F$2))/10^6,0)))</f>
        <v/>
      </c>
      <c r="AA24" s="16">
        <f>IF(Z24="","",INDEX($B$7:$K$7,MATCH(Z24,$B$2:$K$2,0)))</f>
        <v/>
      </c>
      <c r="AB24" s="16">
        <f>IF(Z24="","",INDEX($L$3:$L$12,MATCH(Z24,$A$3:$A$12,0)))</f>
        <v/>
      </c>
      <c r="AC24" s="16">
        <f>IF(AB24="","",IF(AB24=$L$7,1,0))</f>
        <v/>
      </c>
      <c r="AE24" s="4" t="n">
        <v>8</v>
      </c>
      <c r="AF24" s="16">
        <f t="array" ref="AF24">IF($AE24&gt;9,"",INDEX($B$2:$K$2,MATCH(SMALL(IF($B$8:$K$8=0,10^9,$B$8:$K$8)+(COLUMN($B$2:$K$2)-COLUMN($G$2))/10^6,$AE24),IF($B$8:$K$8=0,10^9,$B$8:$K$8)+(COLUMN($B$2:$K$2)-COLUMN($G$2))/10^6,0)))</f>
        <v/>
      </c>
      <c r="AG24" s="16">
        <f>IF(AF24="","",INDEX($B$8:$K$8,MATCH(AF24,$B$2:$K$2,0)))</f>
        <v/>
      </c>
      <c r="AH24" s="16">
        <f>IF(AF24="","",INDEX($L$3:$L$12,MATCH(AF24,$A$3:$A$12,0)))</f>
        <v/>
      </c>
      <c r="AI24" s="16">
        <f>IF(AH24="","",IF(AH24=$L$8,1,0))</f>
        <v/>
      </c>
      <c r="AK24" s="4" t="n">
        <v>8</v>
      </c>
      <c r="AL24" s="16">
        <f t="array" ref="AL24">IF($AK24&gt;9,"",INDEX($B$2:$K$2,MATCH(SMALL(IF($B$9:$K$9=0,10^9,$B$9:$K$9)+(COLUMN($B$2:$K$2)-COLUMN($H$2))/10^6,$AK24),IF($B$9:$K$9=0,10^9,$B$9:$K$9)+(COLUMN($B$2:$K$2)-COLUMN($H$2))/10^6,0)))</f>
        <v/>
      </c>
      <c r="AM24" s="16">
        <f>IF(AL24="","",INDEX($B$9:$K$9,MATCH(AL24,$B$2:$K$2,0)))</f>
        <v/>
      </c>
      <c r="AN24" s="16">
        <f>IF(AL24="","",INDEX($L$3:$L$12,MATCH(AL24,$A$3:$A$12,0)))</f>
        <v/>
      </c>
      <c r="AO24" s="16">
        <f>IF(AN24="","",IF(AN24=$L$9,1,0))</f>
        <v/>
      </c>
      <c r="AQ24" s="4" t="n">
        <v>8</v>
      </c>
      <c r="AR24" s="16">
        <f t="array" ref="AR24">IF($AQ24&gt;9,"",INDEX($B$2:$K$2,MATCH(SMALL(IF($B$10:$K$10=0,10^9,$B$10:$K$10)+(COLUMN($B$2:$K$2)-COLUMN($I$2))/10^6,$AQ24),IF($B$10:$K$10=0,10^9,$B$10:$K$10)+(COLUMN($B$2:$K$2)-COLUMN($I$2))/10^6,0)))</f>
        <v/>
      </c>
      <c r="AS24" s="16">
        <f>IF(AR24="","",INDEX($B$10:$K$10,MATCH(AR24,$B$2:$K$2,0)))</f>
        <v/>
      </c>
      <c r="AT24" s="16">
        <f>IF(AR24="","",INDEX($L$3:$L$12,MATCH(AR24,$A$3:$A$12,0)))</f>
        <v/>
      </c>
      <c r="AU24" s="16">
        <f>IF(AT24="","",IF(AT24=$L$10,1,0))</f>
        <v/>
      </c>
      <c r="AW24" s="4" t="n">
        <v>8</v>
      </c>
      <c r="AX24" s="16">
        <f t="array" ref="AX24">IF($AW24&gt;9,"",INDEX($B$2:$K$2,MATCH(SMALL(IF($B$11:$K$11=0,10^9,$B$11:$K$11)+(COLUMN($B$2:$K$2)-COLUMN($J$2))/10^6,$AW24),IF($B$11:$K$11=0,10^9,$B$11:$K$11)+(COLUMN($B$2:$K$2)-COLUMN($J$2))/10^6,0)))</f>
        <v/>
      </c>
      <c r="AY24" s="16">
        <f>IF(AX24="","",INDEX($B$11:$K$11,MATCH(AX24,$B$2:$K$2,0)))</f>
        <v/>
      </c>
      <c r="AZ24" s="16">
        <f>IF(AX24="","",INDEX($L$3:$L$12,MATCH(AX24,$A$3:$A$12,0)))</f>
        <v/>
      </c>
      <c r="BA24" s="16">
        <f>IF(AZ24="","",IF(AZ24=$L$11,1,0))</f>
        <v/>
      </c>
      <c r="BC24" s="4" t="n">
        <v>8</v>
      </c>
      <c r="BD24" s="16">
        <f t="array" ref="BD24">IF($BC24&gt;9,"",INDEX($B$2:$K$2,MATCH(SMALL(IF($B$12:$K$12=0,10^9,$B$12:$K$12)+(COLUMN($B$2:$K$2)-COLUMN($K$2))/10^6,$BC24),IF($B$12:$K$12=0,10^9,$B$12:$K$12)+(COLUMN($B$2:$K$2)-COLUMN($K$2))/10^6,0)))</f>
        <v/>
      </c>
      <c r="BE24" s="16">
        <f>IF(BD24="","",INDEX($B$12:$K$12,MATCH(BD24,$B$2:$K$2,0)))</f>
        <v/>
      </c>
      <c r="BF24" s="16">
        <f>IF(BD24="","",INDEX($L$3:$L$12,MATCH(BD24,$A$3:$A$12,0)))</f>
        <v/>
      </c>
      <c r="BG24" s="16">
        <f>IF(BF24="","",IF(BF24=$L$12,1,0))</f>
        <v/>
      </c>
    </row>
    <row r="25" ht="15" customHeight="1">
      <c r="A25" s="4" t="n">
        <v>9</v>
      </c>
      <c r="B25" s="16">
        <f t="array" ref="B25">IF($A25&gt;9,"",INDEX($B$2:$K$2,MATCH(SMALL(IF($B$3:$K$3=0,10^9,$B$3:$K$3)+(COLUMN($B$2:$K$2)-COLUMN($B$2))/10^6,$A25),IF($B$3:$K$3=0,10^9,$B$3:$K$3)+(COLUMN($B$2:$K$2)-COLUMN($B$2))/10^6,0)))</f>
        <v/>
      </c>
      <c r="C25" s="16">
        <f>IF(B25="","",INDEX($B$3:$K$3,MATCH(B25,$B$2:$K$2,0)))</f>
        <v/>
      </c>
      <c r="D25" s="16">
        <f>IF(B25="","",INDEX($L$3:$L$12,MATCH(B25,$A$3:$A$12,0)))</f>
        <v/>
      </c>
      <c r="E25" s="16">
        <f>IF(D25="","",IF(D25=$L$3,1,0))</f>
        <v/>
      </c>
      <c r="G25" s="4" t="n">
        <v>9</v>
      </c>
      <c r="H25" s="16">
        <f t="array" ref="H25">IF($G25&gt;9,"",INDEX($B$2:$K$2,MATCH(SMALL(IF($B$4:$K$4=0,10^9,$B$4:$K$4)+(COLUMN($B$2:$K$2)-COLUMN($C$2))/10^6,$G25),IF($B$4:$K$4=0,10^9,$B$4:$K$4)+(COLUMN($B$2:$K$2)-COLUMN($C$2))/10^6,0)))</f>
        <v/>
      </c>
      <c r="I25" s="16">
        <f>IF(H25="","",INDEX($B$4:$K$4,MATCH(H25,$B$2:$K$2,0)))</f>
        <v/>
      </c>
      <c r="J25" s="16">
        <f>IF(H25="","",INDEX($L$3:$L$12,MATCH(H25,$A$3:$A$12,0)))</f>
        <v/>
      </c>
      <c r="K25" s="16">
        <f>IF(J25="","",IF(J25=$L$4,1,0))</f>
        <v/>
      </c>
      <c r="M25" s="4" t="n">
        <v>9</v>
      </c>
      <c r="N25" s="16">
        <f t="array" ref="N25">IF($M25&gt;9,"",INDEX($B$2:$K$2,MATCH(SMALL(IF($B$5:$K$5=0,10^9,$B$5:$K$5)+(COLUMN($B$2:$K$2)-COLUMN($D$2))/10^6,$M25),IF($B$5:$K$5=0,10^9,$B$5:$K$5)+(COLUMN($B$2:$K$2)-COLUMN($D$2))/10^6,0)))</f>
        <v/>
      </c>
      <c r="O25" s="16">
        <f>IF(N25="","",INDEX($B$5:$K$5,MATCH(N25,$B$2:$K$2,0)))</f>
        <v/>
      </c>
      <c r="P25" s="16">
        <f>IF(N25="","",INDEX($L$3:$L$12,MATCH(N25,$A$3:$A$12,0)))</f>
        <v/>
      </c>
      <c r="Q25" s="16">
        <f>IF(P25="","",IF(P25=$L$5,1,0))</f>
        <v/>
      </c>
      <c r="S25" s="4" t="n">
        <v>9</v>
      </c>
      <c r="T25" s="16">
        <f t="array" ref="T25">IF($S25&gt;9,"",INDEX($B$2:$K$2,MATCH(SMALL(IF($B$6:$K$6=0,10^9,$B$6:$K$6)+(COLUMN($B$2:$K$2)-COLUMN($E$2))/10^6,$S25),IF($B$6:$K$6=0,10^9,$B$6:$K$6)+(COLUMN($B$2:$K$2)-COLUMN($E$2))/10^6,0)))</f>
        <v/>
      </c>
      <c r="U25" s="16">
        <f>IF(T25="","",INDEX($B$6:$K$6,MATCH(T25,$B$2:$K$2,0)))</f>
        <v/>
      </c>
      <c r="V25" s="16">
        <f>IF(T25="","",INDEX($L$3:$L$12,MATCH(T25,$A$3:$A$12,0)))</f>
        <v/>
      </c>
      <c r="W25" s="16">
        <f>IF(V25="","",IF(V25=$L$6,1,0))</f>
        <v/>
      </c>
      <c r="Y25" s="4" t="n">
        <v>9</v>
      </c>
      <c r="Z25" s="16">
        <f t="array" ref="Z25">IF($Y25&gt;9,"",INDEX($B$2:$K$2,MATCH(SMALL(IF($B$7:$K$7=0,10^9,$B$7:$K$7)+(COLUMN($B$2:$K$2)-COLUMN($F$2))/10^6,$Y25),IF($B$7:$K$7=0,10^9,$B$7:$K$7)+(COLUMN($B$2:$K$2)-COLUMN($F$2))/10^6,0)))</f>
        <v/>
      </c>
      <c r="AA25" s="16">
        <f>IF(Z25="","",INDEX($B$7:$K$7,MATCH(Z25,$B$2:$K$2,0)))</f>
        <v/>
      </c>
      <c r="AB25" s="16">
        <f>IF(Z25="","",INDEX($L$3:$L$12,MATCH(Z25,$A$3:$A$12,0)))</f>
        <v/>
      </c>
      <c r="AC25" s="16">
        <f>IF(AB25="","",IF(AB25=$L$7,1,0))</f>
        <v/>
      </c>
      <c r="AE25" s="4" t="n">
        <v>9</v>
      </c>
      <c r="AF25" s="16">
        <f t="array" ref="AF25">IF($AE25&gt;9,"",INDEX($B$2:$K$2,MATCH(SMALL(IF($B$8:$K$8=0,10^9,$B$8:$K$8)+(COLUMN($B$2:$K$2)-COLUMN($G$2))/10^6,$AE25),IF($B$8:$K$8=0,10^9,$B$8:$K$8)+(COLUMN($B$2:$K$2)-COLUMN($G$2))/10^6,0)))</f>
        <v/>
      </c>
      <c r="AG25" s="16">
        <f>IF(AF25="","",INDEX($B$8:$K$8,MATCH(AF25,$B$2:$K$2,0)))</f>
        <v/>
      </c>
      <c r="AH25" s="16">
        <f>IF(AF25="","",INDEX($L$3:$L$12,MATCH(AF25,$A$3:$A$12,0)))</f>
        <v/>
      </c>
      <c r="AI25" s="16">
        <f>IF(AH25="","",IF(AH25=$L$8,1,0))</f>
        <v/>
      </c>
      <c r="AK25" s="4" t="n">
        <v>9</v>
      </c>
      <c r="AL25" s="16">
        <f t="array" ref="AL25">IF($AK25&gt;9,"",INDEX($B$2:$K$2,MATCH(SMALL(IF($B$9:$K$9=0,10^9,$B$9:$K$9)+(COLUMN($B$2:$K$2)-COLUMN($H$2))/10^6,$AK25),IF($B$9:$K$9=0,10^9,$B$9:$K$9)+(COLUMN($B$2:$K$2)-COLUMN($H$2))/10^6,0)))</f>
        <v/>
      </c>
      <c r="AM25" s="16">
        <f>IF(AL25="","",INDEX($B$9:$K$9,MATCH(AL25,$B$2:$K$2,0)))</f>
        <v/>
      </c>
      <c r="AN25" s="16">
        <f>IF(AL25="","",INDEX($L$3:$L$12,MATCH(AL25,$A$3:$A$12,0)))</f>
        <v/>
      </c>
      <c r="AO25" s="16">
        <f>IF(AN25="","",IF(AN25=$L$9,1,0))</f>
        <v/>
      </c>
      <c r="AQ25" s="4" t="n">
        <v>9</v>
      </c>
      <c r="AR25" s="16">
        <f t="array" ref="AR25">IF($AQ25&gt;9,"",INDEX($B$2:$K$2,MATCH(SMALL(IF($B$10:$K$10=0,10^9,$B$10:$K$10)+(COLUMN($B$2:$K$2)-COLUMN($I$2))/10^6,$AQ25),IF($B$10:$K$10=0,10^9,$B$10:$K$10)+(COLUMN($B$2:$K$2)-COLUMN($I$2))/10^6,0)))</f>
        <v/>
      </c>
      <c r="AS25" s="16">
        <f>IF(AR25="","",INDEX($B$10:$K$10,MATCH(AR25,$B$2:$K$2,0)))</f>
        <v/>
      </c>
      <c r="AT25" s="16">
        <f>IF(AR25="","",INDEX($L$3:$L$12,MATCH(AR25,$A$3:$A$12,0)))</f>
        <v/>
      </c>
      <c r="AU25" s="16">
        <f>IF(AT25="","",IF(AT25=$L$10,1,0))</f>
        <v/>
      </c>
      <c r="AW25" s="4" t="n">
        <v>9</v>
      </c>
      <c r="AX25" s="16">
        <f t="array" ref="AX25">IF($AW25&gt;9,"",INDEX($B$2:$K$2,MATCH(SMALL(IF($B$11:$K$11=0,10^9,$B$11:$K$11)+(COLUMN($B$2:$K$2)-COLUMN($J$2))/10^6,$AW25),IF($B$11:$K$11=0,10^9,$B$11:$K$11)+(COLUMN($B$2:$K$2)-COLUMN($J$2))/10^6,0)))</f>
        <v/>
      </c>
      <c r="AY25" s="16">
        <f>IF(AX25="","",INDEX($B$11:$K$11,MATCH(AX25,$B$2:$K$2,0)))</f>
        <v/>
      </c>
      <c r="AZ25" s="16">
        <f>IF(AX25="","",INDEX($L$3:$L$12,MATCH(AX25,$A$3:$A$12,0)))</f>
        <v/>
      </c>
      <c r="BA25" s="16">
        <f>IF(AZ25="","",IF(AZ25=$L$11,1,0))</f>
        <v/>
      </c>
      <c r="BC25" s="4" t="n">
        <v>9</v>
      </c>
      <c r="BD25" s="16">
        <f t="array" ref="BD25">IF($BC25&gt;9,"",INDEX($B$2:$K$2,MATCH(SMALL(IF($B$12:$K$12=0,10^9,$B$12:$K$12)+(COLUMN($B$2:$K$2)-COLUMN($K$2))/10^6,$BC25),IF($B$12:$K$12=0,10^9,$B$12:$K$12)+(COLUMN($B$2:$K$2)-COLUMN($K$2))/10^6,0)))</f>
        <v/>
      </c>
      <c r="BE25" s="16">
        <f>IF(BD25="","",INDEX($B$12:$K$12,MATCH(BD25,$B$2:$K$2,0)))</f>
        <v/>
      </c>
      <c r="BF25" s="16">
        <f>IF(BD25="","",INDEX($L$3:$L$12,MATCH(BD25,$A$3:$A$12,0)))</f>
        <v/>
      </c>
      <c r="BG25" s="16">
        <f>IF(BF25="","",IF(BF25=$L$12,1,0))</f>
        <v/>
      </c>
    </row>
    <row r="26" ht="15" customHeight="1"/>
    <row r="27" ht="15" customHeight="1"/>
    <row r="28" ht="15" customHeight="1" thickBot="1">
      <c r="A28" s="65" t="inlineStr">
        <is>
          <t>Full A(S) Matrix based on Euclidean Distance (k = 1,2,3,4,5)</t>
        </is>
      </c>
      <c r="B28" s="100" t="n"/>
      <c r="C28" s="100" t="n"/>
      <c r="D28" s="100" t="n"/>
      <c r="E28" s="100" t="n"/>
      <c r="F28" s="100" t="n"/>
      <c r="G28" s="101" t="n"/>
    </row>
    <row r="29" ht="15" customHeight="1">
      <c r="A29" s="3" t="inlineStr">
        <is>
          <t>Object</t>
        </is>
      </c>
      <c r="B29" s="18" t="inlineStr">
        <is>
          <t>Class</t>
        </is>
      </c>
      <c r="C29" s="4" t="inlineStr">
        <is>
          <t>a1</t>
        </is>
      </c>
      <c r="D29" s="4" t="inlineStr">
        <is>
          <t>a2</t>
        </is>
      </c>
      <c r="E29" s="4" t="inlineStr">
        <is>
          <t>a3</t>
        </is>
      </c>
      <c r="F29" s="4" t="inlineStr">
        <is>
          <t>a4</t>
        </is>
      </c>
      <c r="G29" s="4" t="inlineStr">
        <is>
          <t>a5</t>
        </is>
      </c>
      <c r="I29" s="112" t="n"/>
      <c r="K29" s="113" t="n"/>
      <c r="L29" s="103" t="n"/>
    </row>
    <row r="30" ht="15" customHeight="1" thickBot="1">
      <c r="A30" s="4" t="inlineStr">
        <is>
          <t>A(S1)</t>
        </is>
      </c>
      <c r="B30" s="5" t="n">
        <v>1</v>
      </c>
      <c r="C30" s="17">
        <f>SUM(INDIRECT(ADDRESS(17,5+(ROW()-30)*6)&amp;":"&amp;ADDRESS(COLUMN()+14,5+(ROW()-30)*6)))</f>
        <v/>
      </c>
      <c r="D30" s="17">
        <f>SUM(INDIRECT(ADDRESS(17,5+(ROW()-30)*6)&amp;":"&amp;ADDRESS(COLUMN()+14,5+(ROW()-30)*6)))</f>
        <v/>
      </c>
      <c r="E30" s="17">
        <f>SUM(INDIRECT(ADDRESS(17,5+(ROW()-30)*6)&amp;":"&amp;ADDRESS(COLUMN()+14,5+(ROW()-30)*6)))</f>
        <v/>
      </c>
      <c r="F30" s="17">
        <f>SUM(INDIRECT(ADDRESS(17,5+(ROW()-30)*6)&amp;":"&amp;ADDRESS(COLUMN()+14,5+(ROW()-30)*6)))</f>
        <v/>
      </c>
      <c r="G30" s="17">
        <f>SUM(INDIRECT(ADDRESS(17,5+(ROW()-30)*6)&amp;":"&amp;ADDRESS(COLUMN()+14,5+(ROW()-30)*6)))</f>
        <v/>
      </c>
      <c r="I30" s="114" t="n"/>
      <c r="K30" s="106" t="n"/>
      <c r="L30" s="107" t="n"/>
    </row>
    <row r="31" ht="15" customHeight="1" thickBot="1">
      <c r="A31" s="4" t="inlineStr">
        <is>
          <t>A(S2)</t>
        </is>
      </c>
      <c r="B31" s="5" t="n">
        <v>1</v>
      </c>
      <c r="C31" s="17">
        <f>SUM(INDIRECT(ADDRESS(17,5+(ROW()-30)*6)&amp;":"&amp;ADDRESS(COLUMN()+14,5+(ROW()-30)*6)))</f>
        <v/>
      </c>
      <c r="D31" s="17">
        <f>SUM(INDIRECT(ADDRESS(17,5+(ROW()-30)*6)&amp;":"&amp;ADDRESS(COLUMN()+14,5+(ROW()-30)*6)))</f>
        <v/>
      </c>
      <c r="E31" s="17">
        <f>SUM(INDIRECT(ADDRESS(17,5+(ROW()-30)*6)&amp;":"&amp;ADDRESS(COLUMN()+14,5+(ROW()-30)*6)))</f>
        <v/>
      </c>
      <c r="F31" s="17">
        <f>SUM(INDIRECT(ADDRESS(17,5+(ROW()-30)*6)&amp;":"&amp;ADDRESS(COLUMN()+14,5+(ROW()-30)*6)))</f>
        <v/>
      </c>
      <c r="G31" s="17">
        <f>SUM(INDIRECT(ADDRESS(17,5+(ROW()-30)*6)&amp;":"&amp;ADDRESS(COLUMN()+14,5+(ROW()-30)*6)))</f>
        <v/>
      </c>
    </row>
    <row r="32" ht="15" customHeight="1">
      <c r="A32" s="4" t="inlineStr">
        <is>
          <t>A(S3)</t>
        </is>
      </c>
      <c r="B32" s="5" t="n">
        <v>2</v>
      </c>
      <c r="C32" s="17">
        <f>SUM(INDIRECT(ADDRESS(17,5+(ROW()-30)*6)&amp;":"&amp;ADDRESS(COLUMN()+14,5+(ROW()-30)*6)))</f>
        <v/>
      </c>
      <c r="D32" s="17">
        <f>SUM(INDIRECT(ADDRESS(17,5+(ROW()-30)*6)&amp;":"&amp;ADDRESS(COLUMN()+14,5+(ROW()-30)*6)))</f>
        <v/>
      </c>
      <c r="E32" s="17">
        <f>SUM(INDIRECT(ADDRESS(17,5+(ROW()-30)*6)&amp;":"&amp;ADDRESS(COLUMN()+14,5+(ROW()-30)*6)))</f>
        <v/>
      </c>
      <c r="F32" s="17">
        <f>SUM(INDIRECT(ADDRESS(17,5+(ROW()-30)*6)&amp;":"&amp;ADDRESS(COLUMN()+14,5+(ROW()-30)*6)))</f>
        <v/>
      </c>
      <c r="G32" s="17">
        <f>SUM(INDIRECT(ADDRESS(17,5+(ROW()-30)*6)&amp;":"&amp;ADDRESS(COLUMN()+14,5+(ROW()-30)*6)))</f>
        <v/>
      </c>
      <c r="I32" s="112" t="n"/>
      <c r="K32" s="112" t="n"/>
      <c r="L32" s="103" t="n"/>
    </row>
    <row r="33" ht="15" customHeight="1" thickBot="1">
      <c r="A33" s="4" t="inlineStr">
        <is>
          <t>A(S4)</t>
        </is>
      </c>
      <c r="B33" s="5" t="n">
        <v>1</v>
      </c>
      <c r="C33" s="17">
        <f>SUM(INDIRECT(ADDRESS(17,5+(ROW()-30)*6)&amp;":"&amp;ADDRESS(COLUMN()+14,5+(ROW()-30)*6)))</f>
        <v/>
      </c>
      <c r="D33" s="17">
        <f>SUM(INDIRECT(ADDRESS(17,5+(ROW()-30)*6)&amp;":"&amp;ADDRESS(COLUMN()+14,5+(ROW()-30)*6)))</f>
        <v/>
      </c>
      <c r="E33" s="17">
        <f>SUM(INDIRECT(ADDRESS(17,5+(ROW()-30)*6)&amp;":"&amp;ADDRESS(COLUMN()+14,5+(ROW()-30)*6)))</f>
        <v/>
      </c>
      <c r="F33" s="17">
        <f>SUM(INDIRECT(ADDRESS(17,5+(ROW()-30)*6)&amp;":"&amp;ADDRESS(COLUMN()+14,5+(ROW()-30)*6)))</f>
        <v/>
      </c>
      <c r="G33" s="17">
        <f>SUM(INDIRECT(ADDRESS(17,5+(ROW()-30)*6)&amp;":"&amp;ADDRESS(COLUMN()+14,5+(ROW()-30)*6)))</f>
        <v/>
      </c>
      <c r="I33" s="114" t="n"/>
      <c r="K33" s="106" t="n"/>
      <c r="L33" s="107" t="n"/>
    </row>
    <row r="34" ht="15" customHeight="1">
      <c r="A34" s="4" t="inlineStr">
        <is>
          <t>A(S5)</t>
        </is>
      </c>
      <c r="B34" s="5" t="n">
        <v>2</v>
      </c>
      <c r="C34" s="17">
        <f>SUM(INDIRECT(ADDRESS(17,5+(ROW()-30)*6)&amp;":"&amp;ADDRESS(COLUMN()+14,5+(ROW()-30)*6)))</f>
        <v/>
      </c>
      <c r="D34" s="17">
        <f>SUM(INDIRECT(ADDRESS(17,5+(ROW()-30)*6)&amp;":"&amp;ADDRESS(COLUMN()+14,5+(ROW()-30)*6)))</f>
        <v/>
      </c>
      <c r="E34" s="17">
        <f>SUM(INDIRECT(ADDRESS(17,5+(ROW()-30)*6)&amp;":"&amp;ADDRESS(COLUMN()+14,5+(ROW()-30)*6)))</f>
        <v/>
      </c>
      <c r="F34" s="17">
        <f>SUM(INDIRECT(ADDRESS(17,5+(ROW()-30)*6)&amp;":"&amp;ADDRESS(COLUMN()+14,5+(ROW()-30)*6)))</f>
        <v/>
      </c>
      <c r="G34" s="17">
        <f>SUM(INDIRECT(ADDRESS(17,5+(ROW()-30)*6)&amp;":"&amp;ADDRESS(COLUMN()+14,5+(ROW()-30)*6)))</f>
        <v/>
      </c>
    </row>
    <row r="35" ht="15" customHeight="1">
      <c r="A35" s="4" t="inlineStr">
        <is>
          <t>A(S6)</t>
        </is>
      </c>
      <c r="B35" s="5" t="n">
        <v>1</v>
      </c>
      <c r="C35" s="17">
        <f>SUM(INDIRECT(ADDRESS(17,5+(ROW()-30)*6)&amp;":"&amp;ADDRESS(COLUMN()+14,5+(ROW()-30)*6)))</f>
        <v/>
      </c>
      <c r="D35" s="17">
        <f>SUM(INDIRECT(ADDRESS(17,5+(ROW()-30)*6)&amp;":"&amp;ADDRESS(COLUMN()+14,5+(ROW()-30)*6)))</f>
        <v/>
      </c>
      <c r="E35" s="17">
        <f>SUM(INDIRECT(ADDRESS(17,5+(ROW()-30)*6)&amp;":"&amp;ADDRESS(COLUMN()+14,5+(ROW()-30)*6)))</f>
        <v/>
      </c>
      <c r="F35" s="17">
        <f>SUM(INDIRECT(ADDRESS(17,5+(ROW()-30)*6)&amp;":"&amp;ADDRESS(COLUMN()+14,5+(ROW()-30)*6)))</f>
        <v/>
      </c>
      <c r="G35" s="17">
        <f>SUM(INDIRECT(ADDRESS(17,5+(ROW()-30)*6)&amp;":"&amp;ADDRESS(COLUMN()+14,5+(ROW()-30)*6)))</f>
        <v/>
      </c>
    </row>
    <row r="36" ht="15" customHeight="1">
      <c r="A36" s="4" t="inlineStr">
        <is>
          <t>A(S7)</t>
        </is>
      </c>
      <c r="B36" s="5" t="n">
        <v>1</v>
      </c>
      <c r="C36" s="17">
        <f>SUM(INDIRECT(ADDRESS(17,5+(ROW()-30)*6)&amp;":"&amp;ADDRESS(COLUMN()+14,5+(ROW()-30)*6)))</f>
        <v/>
      </c>
      <c r="D36" s="17">
        <f>SUM(INDIRECT(ADDRESS(17,5+(ROW()-30)*6)&amp;":"&amp;ADDRESS(COLUMN()+14,5+(ROW()-30)*6)))</f>
        <v/>
      </c>
      <c r="E36" s="17">
        <f>SUM(INDIRECT(ADDRESS(17,5+(ROW()-30)*6)&amp;":"&amp;ADDRESS(COLUMN()+14,5+(ROW()-30)*6)))</f>
        <v/>
      </c>
      <c r="F36" s="17">
        <f>SUM(INDIRECT(ADDRESS(17,5+(ROW()-30)*6)&amp;":"&amp;ADDRESS(COLUMN()+14,5+(ROW()-30)*6)))</f>
        <v/>
      </c>
      <c r="G36" s="17">
        <f>SUM(INDIRECT(ADDRESS(17,5+(ROW()-30)*6)&amp;":"&amp;ADDRESS(COLUMN()+14,5+(ROW()-30)*6)))</f>
        <v/>
      </c>
    </row>
    <row r="37" ht="15" customHeight="1">
      <c r="A37" s="4" t="inlineStr">
        <is>
          <t>A(S8)</t>
        </is>
      </c>
      <c r="B37" s="5" t="n">
        <v>1</v>
      </c>
      <c r="C37" s="17">
        <f>SUM(INDIRECT(ADDRESS(17,5+(ROW()-30)*6)&amp;":"&amp;ADDRESS(COLUMN()+14,5+(ROW()-30)*6)))</f>
        <v/>
      </c>
      <c r="D37" s="17">
        <f>SUM(INDIRECT(ADDRESS(17,5+(ROW()-30)*6)&amp;":"&amp;ADDRESS(COLUMN()+14,5+(ROW()-30)*6)))</f>
        <v/>
      </c>
      <c r="E37" s="17">
        <f>SUM(INDIRECT(ADDRESS(17,5+(ROW()-30)*6)&amp;":"&amp;ADDRESS(COLUMN()+14,5+(ROW()-30)*6)))</f>
        <v/>
      </c>
      <c r="F37" s="17">
        <f>SUM(INDIRECT(ADDRESS(17,5+(ROW()-30)*6)&amp;":"&amp;ADDRESS(COLUMN()+14,5+(ROW()-30)*6)))</f>
        <v/>
      </c>
      <c r="G37" s="17">
        <f>SUM(INDIRECT(ADDRESS(17,5+(ROW()-30)*6)&amp;":"&amp;ADDRESS(COLUMN()+14,5+(ROW()-30)*6)))</f>
        <v/>
      </c>
    </row>
    <row r="38" ht="15" customHeight="1">
      <c r="A38" s="4" t="inlineStr">
        <is>
          <t>A(S9)</t>
        </is>
      </c>
      <c r="B38" s="5" t="n">
        <v>2</v>
      </c>
      <c r="C38" s="17">
        <f>SUM(INDIRECT(ADDRESS(17,5+(ROW()-30)*6)&amp;":"&amp;ADDRESS(COLUMN()+14,5+(ROW()-30)*6)))</f>
        <v/>
      </c>
      <c r="D38" s="17">
        <f>SUM(INDIRECT(ADDRESS(17,5+(ROW()-30)*6)&amp;":"&amp;ADDRESS(COLUMN()+14,5+(ROW()-30)*6)))</f>
        <v/>
      </c>
      <c r="E38" s="17">
        <f>SUM(INDIRECT(ADDRESS(17,5+(ROW()-30)*6)&amp;":"&amp;ADDRESS(COLUMN()+14,5+(ROW()-30)*6)))</f>
        <v/>
      </c>
      <c r="F38" s="17">
        <f>SUM(INDIRECT(ADDRESS(17,5+(ROW()-30)*6)&amp;":"&amp;ADDRESS(COLUMN()+14,5+(ROW()-30)*6)))</f>
        <v/>
      </c>
      <c r="G38" s="17">
        <f>SUM(INDIRECT(ADDRESS(17,5+(ROW()-30)*6)&amp;":"&amp;ADDRESS(COLUMN()+14,5+(ROW()-30)*6)))</f>
        <v/>
      </c>
    </row>
    <row r="39" ht="15" customHeight="1">
      <c r="A39" s="4" t="inlineStr">
        <is>
          <t>A(S10)</t>
        </is>
      </c>
      <c r="B39" s="5" t="n">
        <v>2</v>
      </c>
      <c r="C39" s="17">
        <f>SUM(INDIRECT(ADDRESS(17,5+(ROW()-30)*6)&amp;":"&amp;ADDRESS(COLUMN()+14,5+(ROW()-30)*6)))</f>
        <v/>
      </c>
      <c r="D39" s="17">
        <f>SUM(INDIRECT(ADDRESS(17,5+(ROW()-30)*6)&amp;":"&amp;ADDRESS(COLUMN()+14,5+(ROW()-30)*6)))</f>
        <v/>
      </c>
      <c r="E39" s="17">
        <f>SUM(INDIRECT(ADDRESS(17,5+(ROW()-30)*6)&amp;":"&amp;ADDRESS(COLUMN()+14,5+(ROW()-30)*6)))</f>
        <v/>
      </c>
      <c r="F39" s="17">
        <f>SUM(INDIRECT(ADDRESS(17,5+(ROW()-30)*6)&amp;":"&amp;ADDRESS(COLUMN()+14,5+(ROW()-30)*6)))</f>
        <v/>
      </c>
      <c r="G39" s="17">
        <f>SUM(INDIRECT(ADDRESS(17,5+(ROW()-30)*6)&amp;":"&amp;ADDRESS(COLUMN()+14,5+(ROW()-30)*6)))</f>
        <v/>
      </c>
    </row>
    <row r="40" ht="15" customHeight="1"/>
    <row r="41" ht="15" customHeight="1"/>
    <row r="42" ht="15" customHeight="1">
      <c r="A42" s="65" t="inlineStr">
        <is>
          <t>Reduced A(S) Matrix based on Euclidean Distance (k = 3,5)</t>
        </is>
      </c>
      <c r="B42" s="100" t="n"/>
      <c r="C42" s="100" t="n"/>
      <c r="D42" s="100" t="n"/>
      <c r="E42" s="100" t="n"/>
      <c r="F42" s="100" t="n"/>
      <c r="G42" s="101" t="n"/>
    </row>
    <row r="43" ht="15" customHeight="1" thickBot="1">
      <c r="A43" s="10" t="inlineStr">
        <is>
          <t>Object</t>
        </is>
      </c>
      <c r="B43" s="19" t="inlineStr">
        <is>
          <t>Class</t>
        </is>
      </c>
      <c r="E43" s="28" t="inlineStr">
        <is>
          <t>a3</t>
        </is>
      </c>
      <c r="G43" s="28" t="inlineStr">
        <is>
          <t>a5</t>
        </is>
      </c>
    </row>
    <row r="44" ht="15" customHeight="1">
      <c r="A44" s="4" t="inlineStr">
        <is>
          <t>A(S1)</t>
        </is>
      </c>
      <c r="B44" s="5" t="n">
        <v>1</v>
      </c>
      <c r="E44" s="17">
        <f>E30</f>
        <v/>
      </c>
      <c r="G44" s="17">
        <f>G30</f>
        <v/>
      </c>
      <c r="I44" s="115" t="n"/>
      <c r="J44" s="103" t="n"/>
    </row>
    <row r="45" ht="15" customHeight="1" thickBot="1">
      <c r="A45" s="4" t="inlineStr">
        <is>
          <t>A(S2)</t>
        </is>
      </c>
      <c r="B45" s="5" t="n">
        <v>1</v>
      </c>
      <c r="E45" s="17">
        <f>E31</f>
        <v/>
      </c>
      <c r="G45" s="17">
        <f>G31</f>
        <v/>
      </c>
      <c r="I45" s="106" t="n"/>
      <c r="J45" s="107" t="n"/>
    </row>
    <row r="46" ht="15" customHeight="1" thickBot="1">
      <c r="A46" s="4" t="inlineStr">
        <is>
          <t>A(S3)</t>
        </is>
      </c>
      <c r="B46" s="5" t="n">
        <v>2</v>
      </c>
      <c r="E46" s="17">
        <f>E32</f>
        <v/>
      </c>
      <c r="G46" s="17">
        <f>G32</f>
        <v/>
      </c>
    </row>
    <row r="47" ht="15" customHeight="1">
      <c r="A47" s="4" t="inlineStr">
        <is>
          <t>A(S4)</t>
        </is>
      </c>
      <c r="B47" s="5" t="n">
        <v>1</v>
      </c>
      <c r="E47" s="17">
        <f>E33</f>
        <v/>
      </c>
      <c r="G47" s="17">
        <f>G33</f>
        <v/>
      </c>
      <c r="I47" s="115" t="n"/>
      <c r="J47" s="103" t="n"/>
    </row>
    <row r="48" ht="15" customHeight="1" thickBot="1">
      <c r="A48" s="4" t="inlineStr">
        <is>
          <t>A(S5)</t>
        </is>
      </c>
      <c r="B48" s="5" t="n">
        <v>2</v>
      </c>
      <c r="E48" s="17">
        <f>E34</f>
        <v/>
      </c>
      <c r="G48" s="17">
        <f>G34</f>
        <v/>
      </c>
      <c r="I48" s="106" t="n"/>
      <c r="J48" s="107" t="n"/>
    </row>
    <row r="49" ht="15" customHeight="1">
      <c r="A49" s="4" t="inlineStr">
        <is>
          <t>A(S6)</t>
        </is>
      </c>
      <c r="B49" s="5" t="n">
        <v>1</v>
      </c>
      <c r="E49" s="17">
        <f>E35</f>
        <v/>
      </c>
      <c r="G49" s="17">
        <f>G35</f>
        <v/>
      </c>
    </row>
    <row r="50" ht="15" customHeight="1">
      <c r="A50" s="4" t="inlineStr">
        <is>
          <t>A(S7)</t>
        </is>
      </c>
      <c r="B50" s="5" t="n">
        <v>1</v>
      </c>
      <c r="E50" s="17">
        <f>E36</f>
        <v/>
      </c>
      <c r="G50" s="17">
        <f>G36</f>
        <v/>
      </c>
    </row>
    <row r="51" ht="15" customHeight="1">
      <c r="A51" s="4" t="inlineStr">
        <is>
          <t>A(S8)</t>
        </is>
      </c>
      <c r="B51" s="5" t="n">
        <v>1</v>
      </c>
      <c r="E51" s="17">
        <f>E37</f>
        <v/>
      </c>
      <c r="G51" s="17">
        <f>G37</f>
        <v/>
      </c>
    </row>
    <row r="52" ht="15" customHeight="1">
      <c r="A52" s="4" t="inlineStr">
        <is>
          <t>A(S9)</t>
        </is>
      </c>
      <c r="B52" s="5" t="n">
        <v>2</v>
      </c>
      <c r="E52" s="17">
        <f>E38</f>
        <v/>
      </c>
      <c r="G52" s="17">
        <f>G38</f>
        <v/>
      </c>
    </row>
    <row r="53" ht="15" customHeight="1">
      <c r="A53" s="4" t="inlineStr">
        <is>
          <t>A(S10)</t>
        </is>
      </c>
      <c r="B53" s="5" t="n">
        <v>2</v>
      </c>
      <c r="E53" s="17">
        <f>E39</f>
        <v/>
      </c>
      <c r="G53" s="17">
        <f>G39</f>
        <v/>
      </c>
    </row>
    <row r="54" ht="15" customHeight="1"/>
    <row r="55" ht="15" customHeight="1"/>
    <row r="56" ht="15" customHeight="1" thickBot="1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48" t="n"/>
      <c r="AJ56" s="48" t="n"/>
      <c r="AK56" s="48" t="n"/>
      <c r="AL56" s="48" t="n"/>
      <c r="AM56" s="48" t="n"/>
      <c r="AN56" s="48" t="n"/>
      <c r="AO56" s="48" t="n"/>
      <c r="AP56" s="48" t="n"/>
      <c r="AQ56" s="48" t="n"/>
      <c r="AR56" s="48" t="n"/>
      <c r="AS56" s="48" t="n"/>
      <c r="AT56" s="48" t="n"/>
      <c r="AU56" s="48" t="n"/>
      <c r="AV56" s="48" t="n"/>
      <c r="AW56" s="48" t="n"/>
      <c r="AX56" s="48" t="n"/>
      <c r="AY56" s="48" t="n"/>
      <c r="AZ56" s="48" t="n"/>
      <c r="BA56" s="48" t="n"/>
      <c r="BB56" s="48" t="n"/>
      <c r="BC56" s="48" t="n"/>
      <c r="BD56" s="48" t="n"/>
      <c r="BE56" s="48" t="n"/>
      <c r="BF56" s="48" t="n"/>
      <c r="BG56" s="48" t="n"/>
    </row>
    <row r="57" ht="15" customHeight="1"/>
    <row r="58" ht="15" customHeight="1"/>
    <row r="59" ht="15" customHeight="1"/>
    <row r="60" ht="15" customHeight="1">
      <c r="A60" s="65" t="inlineStr">
        <is>
          <t>Chebyshev Distance Matrix of Dog-Wolf (10, 6, 2)</t>
        </is>
      </c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1" t="n"/>
    </row>
    <row r="61" ht="15" customHeight="1">
      <c r="A61" s="3" t="inlineStr">
        <is>
          <t>№</t>
        </is>
      </c>
      <c r="B61" s="4" t="inlineStr">
        <is>
          <t>S1</t>
        </is>
      </c>
      <c r="C61" s="4" t="inlineStr">
        <is>
          <t>S2</t>
        </is>
      </c>
      <c r="D61" s="4" t="inlineStr">
        <is>
          <t>S3</t>
        </is>
      </c>
      <c r="E61" s="4" t="inlineStr">
        <is>
          <t>S4</t>
        </is>
      </c>
      <c r="F61" s="4" t="inlineStr">
        <is>
          <t>S5</t>
        </is>
      </c>
      <c r="G61" s="4" t="inlineStr">
        <is>
          <t>S6</t>
        </is>
      </c>
      <c r="H61" s="4" t="inlineStr">
        <is>
          <t>S7</t>
        </is>
      </c>
      <c r="I61" s="4" t="inlineStr">
        <is>
          <t>S8</t>
        </is>
      </c>
      <c r="J61" s="4" t="inlineStr">
        <is>
          <t>S9</t>
        </is>
      </c>
      <c r="K61" s="4" t="inlineStr">
        <is>
          <t>S10</t>
        </is>
      </c>
      <c r="L61" s="18" t="inlineStr">
        <is>
          <t>Class</t>
        </is>
      </c>
    </row>
    <row r="62" ht="15" customHeight="1">
      <c r="A62" s="4" t="inlineStr">
        <is>
          <t>S1</t>
        </is>
      </c>
      <c r="B62" s="13" t="n">
        <v>0</v>
      </c>
      <c r="C62" s="13" t="n">
        <v>25</v>
      </c>
      <c r="D62" s="13" t="n">
        <v>70</v>
      </c>
      <c r="E62" s="13" t="n">
        <v>41</v>
      </c>
      <c r="F62" s="13" t="n">
        <v>98</v>
      </c>
      <c r="G62" s="13" t="n">
        <v>59</v>
      </c>
      <c r="H62" s="13" t="n">
        <v>40</v>
      </c>
      <c r="I62" s="13" t="n">
        <v>37</v>
      </c>
      <c r="J62" s="13" t="n">
        <v>99</v>
      </c>
      <c r="K62" s="13" t="n">
        <v>103</v>
      </c>
      <c r="L62" s="5" t="n">
        <v>1</v>
      </c>
    </row>
    <row r="63" ht="15" customHeight="1">
      <c r="A63" s="4" t="inlineStr">
        <is>
          <t>S2</t>
        </is>
      </c>
      <c r="B63" s="13" t="n">
        <v>25</v>
      </c>
      <c r="C63" s="13" t="n">
        <v>0</v>
      </c>
      <c r="D63" s="13" t="n">
        <v>45</v>
      </c>
      <c r="E63" s="13" t="n">
        <v>16</v>
      </c>
      <c r="F63" s="13" t="n">
        <v>73</v>
      </c>
      <c r="G63" s="13" t="n">
        <v>34</v>
      </c>
      <c r="H63" s="13" t="n">
        <v>21</v>
      </c>
      <c r="I63" s="13" t="n">
        <v>18</v>
      </c>
      <c r="J63" s="13" t="n">
        <v>74</v>
      </c>
      <c r="K63" s="13" t="n">
        <v>78</v>
      </c>
      <c r="L63" s="5" t="n">
        <v>1</v>
      </c>
    </row>
    <row r="64" ht="15" customHeight="1">
      <c r="A64" s="4" t="inlineStr">
        <is>
          <t>S3</t>
        </is>
      </c>
      <c r="B64" s="13" t="n">
        <v>70</v>
      </c>
      <c r="C64" s="13" t="n">
        <v>45</v>
      </c>
      <c r="D64" s="13" t="n">
        <v>0</v>
      </c>
      <c r="E64" s="13" t="n">
        <v>29</v>
      </c>
      <c r="F64" s="13" t="n">
        <v>28</v>
      </c>
      <c r="G64" s="13" t="n">
        <v>11</v>
      </c>
      <c r="H64" s="13" t="n">
        <v>38</v>
      </c>
      <c r="I64" s="13" t="n">
        <v>35</v>
      </c>
      <c r="J64" s="13" t="n">
        <v>29</v>
      </c>
      <c r="K64" s="13" t="n">
        <v>33</v>
      </c>
      <c r="L64" s="5" t="n">
        <v>2</v>
      </c>
    </row>
    <row r="65" ht="15" customHeight="1">
      <c r="A65" s="4" t="inlineStr">
        <is>
          <t>S4</t>
        </is>
      </c>
      <c r="B65" s="13" t="n">
        <v>41</v>
      </c>
      <c r="C65" s="13" t="n">
        <v>16</v>
      </c>
      <c r="D65" s="13" t="n">
        <v>29</v>
      </c>
      <c r="E65" s="13" t="n">
        <v>0</v>
      </c>
      <c r="F65" s="13" t="n">
        <v>57</v>
      </c>
      <c r="G65" s="13" t="n">
        <v>18</v>
      </c>
      <c r="H65" s="13" t="n">
        <v>16</v>
      </c>
      <c r="I65" s="13" t="n">
        <v>13</v>
      </c>
      <c r="J65" s="13" t="n">
        <v>58</v>
      </c>
      <c r="K65" s="13" t="n">
        <v>62</v>
      </c>
      <c r="L65" s="5" t="n">
        <v>1</v>
      </c>
    </row>
    <row r="66" ht="15" customHeight="1">
      <c r="A66" s="4" t="inlineStr">
        <is>
          <t>S5</t>
        </is>
      </c>
      <c r="B66" s="13" t="n">
        <v>98</v>
      </c>
      <c r="C66" s="13" t="n">
        <v>73</v>
      </c>
      <c r="D66" s="13" t="n">
        <v>28</v>
      </c>
      <c r="E66" s="13" t="n">
        <v>57</v>
      </c>
      <c r="F66" s="13" t="n">
        <v>0</v>
      </c>
      <c r="G66" s="13" t="n">
        <v>39</v>
      </c>
      <c r="H66" s="13" t="n">
        <v>66</v>
      </c>
      <c r="I66" s="13" t="n">
        <v>63</v>
      </c>
      <c r="J66" s="13" t="n">
        <v>5</v>
      </c>
      <c r="K66" s="13" t="n">
        <v>6</v>
      </c>
      <c r="L66" s="5" t="n">
        <v>2</v>
      </c>
    </row>
    <row r="67" ht="15" customHeight="1">
      <c r="A67" s="4" t="inlineStr">
        <is>
          <t>S6</t>
        </is>
      </c>
      <c r="B67" s="13" t="n">
        <v>59</v>
      </c>
      <c r="C67" s="13" t="n">
        <v>34</v>
      </c>
      <c r="D67" s="13" t="n">
        <v>11</v>
      </c>
      <c r="E67" s="13" t="n">
        <v>18</v>
      </c>
      <c r="F67" s="13" t="n">
        <v>39</v>
      </c>
      <c r="G67" s="13" t="n">
        <v>0</v>
      </c>
      <c r="H67" s="13" t="n">
        <v>27</v>
      </c>
      <c r="I67" s="13" t="n">
        <v>24</v>
      </c>
      <c r="J67" s="13" t="n">
        <v>40</v>
      </c>
      <c r="K67" s="13" t="n">
        <v>44</v>
      </c>
      <c r="L67" s="5" t="n">
        <v>1</v>
      </c>
    </row>
    <row r="68" ht="15" customHeight="1">
      <c r="A68" s="4" t="inlineStr">
        <is>
          <t>S7</t>
        </is>
      </c>
      <c r="B68" s="13" t="n">
        <v>40</v>
      </c>
      <c r="C68" s="13" t="n">
        <v>21</v>
      </c>
      <c r="D68" s="13" t="n">
        <v>38</v>
      </c>
      <c r="E68" s="13" t="n">
        <v>16</v>
      </c>
      <c r="F68" s="13" t="n">
        <v>66</v>
      </c>
      <c r="G68" s="13" t="n">
        <v>27</v>
      </c>
      <c r="H68" s="13" t="n">
        <v>0</v>
      </c>
      <c r="I68" s="13" t="n">
        <v>9</v>
      </c>
      <c r="J68" s="13" t="n">
        <v>67</v>
      </c>
      <c r="K68" s="13" t="n">
        <v>71</v>
      </c>
      <c r="L68" s="5" t="n">
        <v>1</v>
      </c>
    </row>
    <row r="69" ht="15" customHeight="1">
      <c r="A69" s="4" t="inlineStr">
        <is>
          <t>S8</t>
        </is>
      </c>
      <c r="B69" s="13" t="n">
        <v>37</v>
      </c>
      <c r="C69" s="13" t="n">
        <v>18</v>
      </c>
      <c r="D69" s="13" t="n">
        <v>35</v>
      </c>
      <c r="E69" s="13" t="n">
        <v>13</v>
      </c>
      <c r="F69" s="13" t="n">
        <v>63</v>
      </c>
      <c r="G69" s="13" t="n">
        <v>24</v>
      </c>
      <c r="H69" s="13" t="n">
        <v>9</v>
      </c>
      <c r="I69" s="13" t="n">
        <v>0</v>
      </c>
      <c r="J69" s="13" t="n">
        <v>64</v>
      </c>
      <c r="K69" s="13" t="n">
        <v>68</v>
      </c>
      <c r="L69" s="5" t="n">
        <v>1</v>
      </c>
    </row>
    <row r="70" ht="15" customHeight="1">
      <c r="A70" s="4" t="inlineStr">
        <is>
          <t>S9</t>
        </is>
      </c>
      <c r="B70" s="13" t="n">
        <v>99</v>
      </c>
      <c r="C70" s="13" t="n">
        <v>74</v>
      </c>
      <c r="D70" s="13" t="n">
        <v>29</v>
      </c>
      <c r="E70" s="13" t="n">
        <v>58</v>
      </c>
      <c r="F70" s="13" t="n">
        <v>5</v>
      </c>
      <c r="G70" s="13" t="n">
        <v>40</v>
      </c>
      <c r="H70" s="13" t="n">
        <v>67</v>
      </c>
      <c r="I70" s="13" t="n">
        <v>64</v>
      </c>
      <c r="J70" s="13" t="n">
        <v>0</v>
      </c>
      <c r="K70" s="13" t="n">
        <v>4</v>
      </c>
      <c r="L70" s="5" t="n">
        <v>2</v>
      </c>
    </row>
    <row r="71" ht="15" customHeight="1">
      <c r="A71" s="4" t="inlineStr">
        <is>
          <t>S10</t>
        </is>
      </c>
      <c r="B71" s="13" t="n">
        <v>103</v>
      </c>
      <c r="C71" s="13" t="n">
        <v>78</v>
      </c>
      <c r="D71" s="13" t="n">
        <v>33</v>
      </c>
      <c r="E71" s="13" t="n">
        <v>62</v>
      </c>
      <c r="F71" s="13" t="n">
        <v>6</v>
      </c>
      <c r="G71" s="13" t="n">
        <v>44</v>
      </c>
      <c r="H71" s="13" t="n">
        <v>71</v>
      </c>
      <c r="I71" s="13" t="n">
        <v>68</v>
      </c>
      <c r="J71" s="13" t="n">
        <v>4</v>
      </c>
      <c r="K71" s="13" t="n">
        <v>0</v>
      </c>
      <c r="L71" s="5" t="n">
        <v>2</v>
      </c>
    </row>
    <row r="72" ht="15" customHeight="1"/>
    <row r="73" ht="15" customHeight="1"/>
    <row r="74" ht="15" customHeight="1">
      <c r="A74" s="77" t="inlineStr">
        <is>
          <t>Chebyshev Neighbors (S1)</t>
        </is>
      </c>
      <c r="B74" s="100" t="n"/>
      <c r="C74" s="100" t="n"/>
      <c r="D74" s="100" t="n"/>
      <c r="E74" s="101" t="n"/>
      <c r="G74" s="77" t="inlineStr">
        <is>
          <t>Chebyshev Neighbors (S2)</t>
        </is>
      </c>
      <c r="H74" s="100" t="n"/>
      <c r="I74" s="100" t="n"/>
      <c r="J74" s="100" t="n"/>
      <c r="K74" s="101" t="n"/>
      <c r="M74" s="77" t="inlineStr">
        <is>
          <t>Chebyshev Neighbors (S3)</t>
        </is>
      </c>
      <c r="N74" s="100" t="n"/>
      <c r="O74" s="100" t="n"/>
      <c r="P74" s="100" t="n"/>
      <c r="Q74" s="101" t="n"/>
      <c r="S74" s="77" t="inlineStr">
        <is>
          <t>Chebyshev Neighbors (S4)</t>
        </is>
      </c>
      <c r="T74" s="100" t="n"/>
      <c r="U74" s="100" t="n"/>
      <c r="V74" s="100" t="n"/>
      <c r="W74" s="101" t="n"/>
      <c r="Y74" s="77" t="inlineStr">
        <is>
          <t>Chebyshev Neighbors (S5)</t>
        </is>
      </c>
      <c r="Z74" s="100" t="n"/>
      <c r="AA74" s="100" t="n"/>
      <c r="AB74" s="100" t="n"/>
      <c r="AC74" s="101" t="n"/>
      <c r="AE74" s="77" t="inlineStr">
        <is>
          <t>Chebyshev Neighbors (S6)</t>
        </is>
      </c>
      <c r="AF74" s="100" t="n"/>
      <c r="AG74" s="100" t="n"/>
      <c r="AH74" s="100" t="n"/>
      <c r="AI74" s="101" t="n"/>
      <c r="AK74" s="77" t="inlineStr">
        <is>
          <t>Chebyshev Neighbors (S7)</t>
        </is>
      </c>
      <c r="AL74" s="100" t="n"/>
      <c r="AM74" s="100" t="n"/>
      <c r="AN74" s="100" t="n"/>
      <c r="AO74" s="101" t="n"/>
      <c r="AQ74" s="77" t="inlineStr">
        <is>
          <t>Chebyshev Neighbors (S8)</t>
        </is>
      </c>
      <c r="AR74" s="100" t="n"/>
      <c r="AS74" s="100" t="n"/>
      <c r="AT74" s="100" t="n"/>
      <c r="AU74" s="101" t="n"/>
      <c r="AW74" s="77" t="inlineStr">
        <is>
          <t>Chebyshev Neighbors (S9)</t>
        </is>
      </c>
      <c r="AX74" s="100" t="n"/>
      <c r="AY74" s="100" t="n"/>
      <c r="AZ74" s="100" t="n"/>
      <c r="BA74" s="101" t="n"/>
      <c r="BC74" s="77" t="inlineStr">
        <is>
          <t>Chebyshev Neighbors (S10)</t>
        </is>
      </c>
      <c r="BD74" s="100" t="n"/>
      <c r="BE74" s="100" t="n"/>
      <c r="BF74" s="100" t="n"/>
      <c r="BG74" s="101" t="n"/>
    </row>
    <row r="75" ht="34.95" customHeight="1">
      <c r="A75" s="10" t="inlineStr">
        <is>
          <t>Rank</t>
        </is>
      </c>
      <c r="B75" s="9" t="inlineStr">
        <is>
          <t>Neighbor</t>
        </is>
      </c>
      <c r="C75" s="9" t="inlineStr">
        <is>
          <t>Distance</t>
        </is>
      </c>
      <c r="D75" s="9" t="inlineStr">
        <is>
          <t>Class</t>
        </is>
      </c>
      <c r="E75" s="15" t="inlineStr">
        <is>
          <t>Same as Target</t>
        </is>
      </c>
      <c r="G75" s="10" t="inlineStr">
        <is>
          <t>Rank</t>
        </is>
      </c>
      <c r="H75" s="9" t="inlineStr">
        <is>
          <t>Neighbor</t>
        </is>
      </c>
      <c r="I75" s="9" t="inlineStr">
        <is>
          <t>Distance</t>
        </is>
      </c>
      <c r="J75" s="9" t="inlineStr">
        <is>
          <t>Class</t>
        </is>
      </c>
      <c r="K75" s="15" t="inlineStr">
        <is>
          <t>Same as Target</t>
        </is>
      </c>
      <c r="M75" s="10" t="inlineStr">
        <is>
          <t>Rank</t>
        </is>
      </c>
      <c r="N75" s="9" t="inlineStr">
        <is>
          <t>Neighbor</t>
        </is>
      </c>
      <c r="O75" s="9" t="inlineStr">
        <is>
          <t>Distance</t>
        </is>
      </c>
      <c r="P75" s="9" t="inlineStr">
        <is>
          <t>Class</t>
        </is>
      </c>
      <c r="Q75" s="15" t="inlineStr">
        <is>
          <t>Same as Target</t>
        </is>
      </c>
      <c r="S75" s="10" t="inlineStr">
        <is>
          <t>Rank</t>
        </is>
      </c>
      <c r="T75" s="9" t="inlineStr">
        <is>
          <t>Neighbor</t>
        </is>
      </c>
      <c r="U75" s="9" t="inlineStr">
        <is>
          <t>Distance</t>
        </is>
      </c>
      <c r="V75" s="9" t="inlineStr">
        <is>
          <t>Class</t>
        </is>
      </c>
      <c r="W75" s="15" t="inlineStr">
        <is>
          <t>Same as Target</t>
        </is>
      </c>
      <c r="Y75" s="10" t="inlineStr">
        <is>
          <t>Rank</t>
        </is>
      </c>
      <c r="Z75" s="9" t="inlineStr">
        <is>
          <t>Neighbor</t>
        </is>
      </c>
      <c r="AA75" s="9" t="inlineStr">
        <is>
          <t>Distance</t>
        </is>
      </c>
      <c r="AB75" s="9" t="inlineStr">
        <is>
          <t>Class</t>
        </is>
      </c>
      <c r="AC75" s="15" t="inlineStr">
        <is>
          <t>Same as Target</t>
        </is>
      </c>
      <c r="AE75" s="10" t="inlineStr">
        <is>
          <t>Rank</t>
        </is>
      </c>
      <c r="AF75" s="9" t="inlineStr">
        <is>
          <t>Neighbor</t>
        </is>
      </c>
      <c r="AG75" s="9" t="inlineStr">
        <is>
          <t>Distance</t>
        </is>
      </c>
      <c r="AH75" s="9" t="inlineStr">
        <is>
          <t>Class</t>
        </is>
      </c>
      <c r="AI75" s="15" t="inlineStr">
        <is>
          <t>Same as Target</t>
        </is>
      </c>
      <c r="AK75" s="10" t="inlineStr">
        <is>
          <t>Rank</t>
        </is>
      </c>
      <c r="AL75" s="9" t="inlineStr">
        <is>
          <t>Neighbor</t>
        </is>
      </c>
      <c r="AM75" s="9" t="inlineStr">
        <is>
          <t>Distance</t>
        </is>
      </c>
      <c r="AN75" s="9" t="inlineStr">
        <is>
          <t>Class</t>
        </is>
      </c>
      <c r="AO75" s="15" t="inlineStr">
        <is>
          <t>Same as Target</t>
        </is>
      </c>
      <c r="AQ75" s="10" t="inlineStr">
        <is>
          <t>Rank</t>
        </is>
      </c>
      <c r="AR75" s="9" t="inlineStr">
        <is>
          <t>Neighbor</t>
        </is>
      </c>
      <c r="AS75" s="9" t="inlineStr">
        <is>
          <t>Distance</t>
        </is>
      </c>
      <c r="AT75" s="9" t="inlineStr">
        <is>
          <t>Class</t>
        </is>
      </c>
      <c r="AU75" s="15" t="inlineStr">
        <is>
          <t>Same as Target</t>
        </is>
      </c>
      <c r="AW75" s="10" t="inlineStr">
        <is>
          <t>Rank</t>
        </is>
      </c>
      <c r="AX75" s="9" t="inlineStr">
        <is>
          <t>Neighbor</t>
        </is>
      </c>
      <c r="AY75" s="9" t="inlineStr">
        <is>
          <t>Distance</t>
        </is>
      </c>
      <c r="AZ75" s="9" t="inlineStr">
        <is>
          <t>Class</t>
        </is>
      </c>
      <c r="BA75" s="15" t="inlineStr">
        <is>
          <t>Same as Target</t>
        </is>
      </c>
      <c r="BC75" s="10" t="inlineStr">
        <is>
          <t>Rank</t>
        </is>
      </c>
      <c r="BD75" s="9" t="inlineStr">
        <is>
          <t>Neighbor</t>
        </is>
      </c>
      <c r="BE75" s="9" t="inlineStr">
        <is>
          <t>Distance</t>
        </is>
      </c>
      <c r="BF75" s="9" t="inlineStr">
        <is>
          <t>Class</t>
        </is>
      </c>
      <c r="BG75" s="15" t="inlineStr">
        <is>
          <t>Same as Target</t>
        </is>
      </c>
    </row>
    <row r="76" ht="15" customHeight="1">
      <c r="A76" s="4" t="n">
        <v>1</v>
      </c>
      <c r="B76" s="16">
        <f t="array" ref="B76">IF($A76&gt;9,"",INDEX($B$61:$K$61,MATCH(SMALL(IF($B$62:$K$62=0,10^9,$B$62:$K$62)+(COLUMN($B$61:$K$61)-COLUMN($B$61))/10^6,$A76),IF($B$62:$K$62=0,10^9,$B$62:$K$62)+(COLUMN($B$61:$K$61)-COLUMN($B$61))/10^6,0)))</f>
        <v/>
      </c>
      <c r="C76" s="16">
        <f>IF(B76="","",INDEX($B$62:$K$62,MATCH(B76,$B$61:$K$61,0)))</f>
        <v/>
      </c>
      <c r="D76" s="16">
        <f>IF(B76="","",INDEX($L$62:$L$71,MATCH(B76,$A$62:$A$71,0)))</f>
        <v/>
      </c>
      <c r="E76" s="16">
        <f>IF(D76="","",IF(D76=$L$62,1,0))</f>
        <v/>
      </c>
      <c r="G76" s="4" t="n">
        <v>1</v>
      </c>
      <c r="H76" s="16">
        <f t="array" ref="H76">IF($G76&gt;9,"",INDEX($B$61:$K$61,MATCH(SMALL(IF($B$63:$K$63=0,10^9,$B$63:$K$63)+(COLUMN($B$61:$K$61)-COLUMN($C$61))/10^6,$G76),IF($B$63:$K$63=0,10^9,$B$63:$K$63)+(COLUMN($B$61:$K$61)-COLUMN($C$61))/10^6,0)))</f>
        <v/>
      </c>
      <c r="I76" s="16">
        <f>IF(H76="","",INDEX($B$63:$K$63,MATCH(H76,$B$61:$K$61,0)))</f>
        <v/>
      </c>
      <c r="J76" s="16">
        <f>IF(H76="","",INDEX($L$62:$L$71,MATCH(H76,$A$62:$A$71,0)))</f>
        <v/>
      </c>
      <c r="K76" s="16">
        <f>IF(J76="","",IF(J76=$L$63,1,0))</f>
        <v/>
      </c>
      <c r="M76" s="4" t="n">
        <v>1</v>
      </c>
      <c r="N76" s="16">
        <f t="array" ref="N76">IF($M76&gt;9,"",INDEX($B$61:$K$61,MATCH(SMALL(IF($B$64:$K$64=0,10^9,$B$64:$K$64)+(COLUMN($B$61:$K$61)-COLUMN($D$61))/10^6,$M76),IF($B$64:$K$64=0,10^9,$B$64:$K$64)+(COLUMN($B$61:$K$61)-COLUMN($D$61))/10^6,0)))</f>
        <v/>
      </c>
      <c r="O76" s="16">
        <f>IF(N76="","",INDEX($B$64:$K$64,MATCH(N76,$B$61:$K$61,0)))</f>
        <v/>
      </c>
      <c r="P76" s="16">
        <f>IF(N76="","",INDEX($L$62:$L$71,MATCH(N76,$A$62:$A$71,0)))</f>
        <v/>
      </c>
      <c r="Q76" s="16">
        <f>IF(P76="","",IF(P76=$L$64,1,0))</f>
        <v/>
      </c>
      <c r="S76" s="4" t="n">
        <v>1</v>
      </c>
      <c r="T76" s="16">
        <f t="array" ref="T76">IF($S76&gt;9,"",INDEX($B$61:$K$61,MATCH(SMALL(IF($B$65:$K$65=0,10^9,$B$65:$K$65)+(COLUMN($B$61:$K$61)-COLUMN($E$61))/10^6,$S76),IF($B$65:$K$65=0,10^9,$B$65:$K$65)+(COLUMN($B$61:$K$61)-COLUMN($E$61))/10^6,0)))</f>
        <v/>
      </c>
      <c r="U76" s="16">
        <f>IF(T76="","",INDEX($B$65:$K$65,MATCH(T76,$B$61:$K$61,0)))</f>
        <v/>
      </c>
      <c r="V76" s="16">
        <f>IF(T76="","",INDEX($L$62:$L$71,MATCH(T76,$A$62:$A$71,0)))</f>
        <v/>
      </c>
      <c r="W76" s="16">
        <f>IF(V76="","",IF(V76=$L$65,1,0))</f>
        <v/>
      </c>
      <c r="Y76" s="4" t="n">
        <v>1</v>
      </c>
      <c r="Z76" s="16">
        <f t="array" ref="Z76">IF($Y76&gt;9,"",INDEX($B$61:$K$61,MATCH(SMALL(IF($B$66:$K$66=0,10^9,$B$66:$K$66)+(COLUMN($B$61:$K$61)-COLUMN($F$61))/10^6,$Y76),IF($B$66:$K$66=0,10^9,$B$66:$K$66)+(COLUMN($B$61:$K$61)-COLUMN($F$61))/10^6,0)))</f>
        <v/>
      </c>
      <c r="AA76" s="16">
        <f>IF(Z76="","",INDEX($B$66:$K$66,MATCH(Z76,$B$61:$K$61,0)))</f>
        <v/>
      </c>
      <c r="AB76" s="16">
        <f>IF(Z76="","",INDEX($L$62:$L$71,MATCH(Z76,$A$62:$A$71,0)))</f>
        <v/>
      </c>
      <c r="AC76" s="16">
        <f>IF(AB76="","",IF(AB76=$L$66,1,0))</f>
        <v/>
      </c>
      <c r="AE76" s="4" t="n">
        <v>1</v>
      </c>
      <c r="AF76" s="16">
        <f t="array" ref="AF76">IF($AE76&gt;9,"",INDEX($B$61:$K$61,MATCH(SMALL(IF($B$67:$K$67=0,10^9,$B$67:$K$67)+(COLUMN($B$61:$K$61)-COLUMN($G$61))/10^6,$AE76),IF($B$67:$K$67=0,10^9,$B$67:$K$67)+(COLUMN($B$61:$K$61)-COLUMN($G$61))/10^6,0)))</f>
        <v/>
      </c>
      <c r="AG76" s="16">
        <f>IF(AF76="","",INDEX($B$67:$K$67,MATCH(AF76,$B$61:$K$61,0)))</f>
        <v/>
      </c>
      <c r="AH76" s="16">
        <f>IF(AF76="","",INDEX($L$62:$L$71,MATCH(AF76,$A$62:$A$71,0)))</f>
        <v/>
      </c>
      <c r="AI76" s="16">
        <f>IF(AH76="","",IF(AH76=$L$67,1,0))</f>
        <v/>
      </c>
      <c r="AK76" s="4" t="n">
        <v>1</v>
      </c>
      <c r="AL76" s="16">
        <f t="array" ref="AL76">IF($AK76&gt;9,"",INDEX($B$61:$K$61,MATCH(SMALL(IF($B$68:$K$68=0,10^9,$B$68:$K$68)+(COLUMN($B$61:$K$61)-COLUMN($H$61))/10^6,$AK76),IF($B$68:$K$68=0,10^9,$B$68:$K$68)+(COLUMN($B$61:$K$61)-COLUMN($H$61))/10^6,0)))</f>
        <v/>
      </c>
      <c r="AM76" s="16">
        <f>IF(AL76="","",INDEX($B$68:$K$68,MATCH(AL76,$B$61:$K$61,0)))</f>
        <v/>
      </c>
      <c r="AN76" s="16">
        <f>IF(AL76="","",INDEX($L$62:$L$71,MATCH(AL76,$A$62:$A$71,0)))</f>
        <v/>
      </c>
      <c r="AO76" s="16">
        <f>IF(AN76="","",IF(AN76=$L$68,1,0))</f>
        <v/>
      </c>
      <c r="AQ76" s="4" t="n">
        <v>1</v>
      </c>
      <c r="AR76" s="16">
        <f t="array" ref="AR76">IF($AQ76&gt;9,"",INDEX($B$61:$K$61,MATCH(SMALL(IF($B$69:$K$69=0,10^9,$B$69:$K$69)+(COLUMN($B$61:$K$61)-COLUMN($I$61))/10^6,$AQ76),IF($B$69:$K$69=0,10^9,$B$69:$K$69)+(COLUMN($B$61:$K$61)-COLUMN($I$61))/10^6,0)))</f>
        <v/>
      </c>
      <c r="AS76" s="16">
        <f>IF(AR76="","",INDEX($B$69:$K$69,MATCH(AR76,$B$61:$K$61,0)))</f>
        <v/>
      </c>
      <c r="AT76" s="16">
        <f>IF(AR76="","",INDEX($L$62:$L$71,MATCH(AR76,$A$62:$A$71,0)))</f>
        <v/>
      </c>
      <c r="AU76" s="16">
        <f>IF(AT76="","",IF(AT76=$L$69,1,0))</f>
        <v/>
      </c>
      <c r="AW76" s="4" t="n">
        <v>1</v>
      </c>
      <c r="AX76" s="16">
        <f t="array" ref="AX76">IF($AW76&gt;9,"",INDEX($B$61:$K$61,MATCH(SMALL(IF($B$70:$K$70=0,10^9,$B$70:$K$70)+(COLUMN($B$61:$K$61)-COLUMN($J$61))/10^6,$AW76),IF($B$70:$K$70=0,10^9,$B$70:$K$70)+(COLUMN($B$61:$K$61)-COLUMN($J$61))/10^6,0)))</f>
        <v/>
      </c>
      <c r="AY76" s="16">
        <f>IF(AX76="","",INDEX($B$70:$K$70,MATCH(AX76,$B$61:$K$61,0)))</f>
        <v/>
      </c>
      <c r="AZ76" s="16">
        <f>IF(AX76="","",INDEX($L$62:$L$71,MATCH(AX76,$A$62:$A$71,0)))</f>
        <v/>
      </c>
      <c r="BA76" s="16">
        <f>IF(AZ76="","",IF(AZ76=$L$70,1,0))</f>
        <v/>
      </c>
      <c r="BC76" s="4" t="n">
        <v>1</v>
      </c>
      <c r="BD76" s="16">
        <f t="array" ref="BD76">IF($BC76&gt;9,"",INDEX($B$61:$K$61,MATCH(SMALL(IF($B$71:$K$71=0,10^9,$B$71:$K$71)+(COLUMN($B$61:$K$61)-COLUMN($K$61))/10^6,$BC76),IF($B$71:$K$71=0,10^9,$B$71:$K$71)+(COLUMN($B$61:$K$61)-COLUMN($K$61))/10^6,0)))</f>
        <v/>
      </c>
      <c r="BE76" s="16">
        <f>IF(BD76="","",INDEX($B$71:$K$71,MATCH(BD76,$B$61:$K$61,0)))</f>
        <v/>
      </c>
      <c r="BF76" s="16">
        <f>IF(BD76="","",INDEX($L$62:$L$71,MATCH(BD76,$A$62:$A$71,0)))</f>
        <v/>
      </c>
      <c r="BG76" s="16">
        <f>IF(BF76="","",IF(BF76=$L$71,1,0))</f>
        <v/>
      </c>
    </row>
    <row r="77" ht="15" customHeight="1">
      <c r="A77" s="4" t="n">
        <v>2</v>
      </c>
      <c r="B77" s="16">
        <f t="array" ref="B77">IF($A77&gt;9,"",INDEX($B$61:$K$61,MATCH(SMALL(IF($B$62:$K$62=0,10^9,$B$62:$K$62)+(COLUMN($B$61:$K$61)-COLUMN($B$61))/10^6,$A77),IF($B$62:$K$62=0,10^9,$B$62:$K$62)+(COLUMN($B$61:$K$61)-COLUMN($B$61))/10^6,0)))</f>
        <v/>
      </c>
      <c r="C77" s="16">
        <f>IF(B77="","",INDEX($B$62:$K$62,MATCH(B77,$B$61:$K$61,0)))</f>
        <v/>
      </c>
      <c r="D77" s="16">
        <f>IF(B77="","",INDEX($L$62:$L$71,MATCH(B77,$A$62:$A$71,0)))</f>
        <v/>
      </c>
      <c r="E77" s="16">
        <f>IF(D77="","",IF(D77=$L$62,1,0))</f>
        <v/>
      </c>
      <c r="G77" s="4" t="n">
        <v>2</v>
      </c>
      <c r="H77" s="16">
        <f t="array" ref="H77">IF($G77&gt;9,"",INDEX($B$61:$K$61,MATCH(SMALL(IF($B$63:$K$63=0,10^9,$B$63:$K$63)+(COLUMN($B$61:$K$61)-COLUMN($C$61))/10^6,$G77),IF($B$63:$K$63=0,10^9,$B$63:$K$63)+(COLUMN($B$61:$K$61)-COLUMN($C$61))/10^6,0)))</f>
        <v/>
      </c>
      <c r="I77" s="16">
        <f>IF(H77="","",INDEX($B$63:$K$63,MATCH(H77,$B$61:$K$61,0)))</f>
        <v/>
      </c>
      <c r="J77" s="16">
        <f>IF(H77="","",INDEX($L$62:$L$71,MATCH(H77,$A$62:$A$71,0)))</f>
        <v/>
      </c>
      <c r="K77" s="16">
        <f>IF(J77="","",IF(J77=$L$63,1,0))</f>
        <v/>
      </c>
      <c r="M77" s="4" t="n">
        <v>2</v>
      </c>
      <c r="N77" s="16">
        <f t="array" ref="N77">IF($M77&gt;9,"",INDEX($B$61:$K$61,MATCH(SMALL(IF($B$64:$K$64=0,10^9,$B$64:$K$64)+(COLUMN($B$61:$K$61)-COLUMN($D$61))/10^6,$M77),IF($B$64:$K$64=0,10^9,$B$64:$K$64)+(COLUMN($B$61:$K$61)-COLUMN($D$61))/10^6,0)))</f>
        <v/>
      </c>
      <c r="O77" s="16">
        <f>IF(N77="","",INDEX($B$64:$K$64,MATCH(N77,$B$61:$K$61,0)))</f>
        <v/>
      </c>
      <c r="P77" s="16">
        <f>IF(N77="","",INDEX($L$62:$L$71,MATCH(N77,$A$62:$A$71,0)))</f>
        <v/>
      </c>
      <c r="Q77" s="16">
        <f>IF(P77="","",IF(P77=$L$64,1,0))</f>
        <v/>
      </c>
      <c r="S77" s="4" t="n">
        <v>2</v>
      </c>
      <c r="T77" s="16">
        <f t="array" ref="T77">IF($S77&gt;9,"",INDEX($B$61:$K$61,MATCH(SMALL(IF($B$65:$K$65=0,10^9,$B$65:$K$65)+(COLUMN($B$61:$K$61)-COLUMN($E$61))/10^6,$S77),IF($B$65:$K$65=0,10^9,$B$65:$K$65)+(COLUMN($B$61:$K$61)-COLUMN($E$61))/10^6,0)))</f>
        <v/>
      </c>
      <c r="U77" s="16">
        <f>IF(T77="","",INDEX($B$65:$K$65,MATCH(T77,$B$61:$K$61,0)))</f>
        <v/>
      </c>
      <c r="V77" s="16">
        <f>IF(T77="","",INDEX($L$62:$L$71,MATCH(T77,$A$62:$A$71,0)))</f>
        <v/>
      </c>
      <c r="W77" s="16">
        <f>IF(V77="","",IF(V77=$L$65,1,0))</f>
        <v/>
      </c>
      <c r="Y77" s="4" t="n">
        <v>2</v>
      </c>
      <c r="Z77" s="16">
        <f t="array" ref="Z77">IF($Y77&gt;9,"",INDEX($B$61:$K$61,MATCH(SMALL(IF($B$66:$K$66=0,10^9,$B$66:$K$66)+(COLUMN($B$61:$K$61)-COLUMN($F$61))/10^6,$Y77),IF($B$66:$K$66=0,10^9,$B$66:$K$66)+(COLUMN($B$61:$K$61)-COLUMN($F$61))/10^6,0)))</f>
        <v/>
      </c>
      <c r="AA77" s="16">
        <f>IF(Z77="","",INDEX($B$66:$K$66,MATCH(Z77,$B$61:$K$61,0)))</f>
        <v/>
      </c>
      <c r="AB77" s="16">
        <f>IF(Z77="","",INDEX($L$62:$L$71,MATCH(Z77,$A$62:$A$71,0)))</f>
        <v/>
      </c>
      <c r="AC77" s="16">
        <f>IF(AB77="","",IF(AB77=$L$66,1,0))</f>
        <v/>
      </c>
      <c r="AE77" s="4" t="n">
        <v>2</v>
      </c>
      <c r="AF77" s="16">
        <f t="array" ref="AF77">IF($AE77&gt;9,"",INDEX($B$61:$K$61,MATCH(SMALL(IF($B$67:$K$67=0,10^9,$B$67:$K$67)+(COLUMN($B$61:$K$61)-COLUMN($G$61))/10^6,$AE77),IF($B$67:$K$67=0,10^9,$B$67:$K$67)+(COLUMN($B$61:$K$61)-COLUMN($G$61))/10^6,0)))</f>
        <v/>
      </c>
      <c r="AG77" s="16">
        <f>IF(AF77="","",INDEX($B$67:$K$67,MATCH(AF77,$B$61:$K$61,0)))</f>
        <v/>
      </c>
      <c r="AH77" s="16">
        <f>IF(AF77="","",INDEX($L$62:$L$71,MATCH(AF77,$A$62:$A$71,0)))</f>
        <v/>
      </c>
      <c r="AI77" s="16">
        <f>IF(AH77="","",IF(AH77=$L$67,1,0))</f>
        <v/>
      </c>
      <c r="AK77" s="4" t="n">
        <v>2</v>
      </c>
      <c r="AL77" s="16">
        <f t="array" ref="AL77">IF($AK77&gt;9,"",INDEX($B$61:$K$61,MATCH(SMALL(IF($B$68:$K$68=0,10^9,$B$68:$K$68)+(COLUMN($B$61:$K$61)-COLUMN($H$61))/10^6,$AK77),IF($B$68:$K$68=0,10^9,$B$68:$K$68)+(COLUMN($B$61:$K$61)-COLUMN($H$61))/10^6,0)))</f>
        <v/>
      </c>
      <c r="AM77" s="16">
        <f>IF(AL77="","",INDEX($B$68:$K$68,MATCH(AL77,$B$61:$K$61,0)))</f>
        <v/>
      </c>
      <c r="AN77" s="16">
        <f>IF(AL77="","",INDEX($L$62:$L$71,MATCH(AL77,$A$62:$A$71,0)))</f>
        <v/>
      </c>
      <c r="AO77" s="16">
        <f>IF(AN77="","",IF(AN77=$L$68,1,0))</f>
        <v/>
      </c>
      <c r="AQ77" s="4" t="n">
        <v>2</v>
      </c>
      <c r="AR77" s="16">
        <f t="array" ref="AR77">IF($AQ77&gt;9,"",INDEX($B$61:$K$61,MATCH(SMALL(IF($B$69:$K$69=0,10^9,$B$69:$K$69)+(COLUMN($B$61:$K$61)-COLUMN($I$61))/10^6,$AQ77),IF($B$69:$K$69=0,10^9,$B$69:$K$69)+(COLUMN($B$61:$K$61)-COLUMN($I$61))/10^6,0)))</f>
        <v/>
      </c>
      <c r="AS77" s="16">
        <f>IF(AR77="","",INDEX($B$69:$K$69,MATCH(AR77,$B$61:$K$61,0)))</f>
        <v/>
      </c>
      <c r="AT77" s="16">
        <f>IF(AR77="","",INDEX($L$62:$L$71,MATCH(AR77,$A$62:$A$71,0)))</f>
        <v/>
      </c>
      <c r="AU77" s="16">
        <f>IF(AT77="","",IF(AT77=$L$69,1,0))</f>
        <v/>
      </c>
      <c r="AW77" s="4" t="n">
        <v>2</v>
      </c>
      <c r="AX77" s="16">
        <f t="array" ref="AX77">IF($AW77&gt;9,"",INDEX($B$61:$K$61,MATCH(SMALL(IF($B$70:$K$70=0,10^9,$B$70:$K$70)+(COLUMN($B$61:$K$61)-COLUMN($J$61))/10^6,$AW77),IF($B$70:$K$70=0,10^9,$B$70:$K$70)+(COLUMN($B$61:$K$61)-COLUMN($J$61))/10^6,0)))</f>
        <v/>
      </c>
      <c r="AY77" s="16">
        <f>IF(AX77="","",INDEX($B$70:$K$70,MATCH(AX77,$B$61:$K$61,0)))</f>
        <v/>
      </c>
      <c r="AZ77" s="16">
        <f>IF(AX77="","",INDEX($L$62:$L$71,MATCH(AX77,$A$62:$A$71,0)))</f>
        <v/>
      </c>
      <c r="BA77" s="16">
        <f>IF(AZ77="","",IF(AZ77=$L$70,1,0))</f>
        <v/>
      </c>
      <c r="BC77" s="4" t="n">
        <v>2</v>
      </c>
      <c r="BD77" s="16">
        <f t="array" ref="BD77">IF($BC77&gt;9,"",INDEX($B$61:$K$61,MATCH(SMALL(IF($B$71:$K$71=0,10^9,$B$71:$K$71)+(COLUMN($B$61:$K$61)-COLUMN($K$61))/10^6,$BC77),IF($B$71:$K$71=0,10^9,$B$71:$K$71)+(COLUMN($B$61:$K$61)-COLUMN($K$61))/10^6,0)))</f>
        <v/>
      </c>
      <c r="BE77" s="16">
        <f>IF(BD77="","",INDEX($B$71:$K$71,MATCH(BD77,$B$61:$K$61,0)))</f>
        <v/>
      </c>
      <c r="BF77" s="16">
        <f>IF(BD77="","",INDEX($L$62:$L$71,MATCH(BD77,$A$62:$A$71,0)))</f>
        <v/>
      </c>
      <c r="BG77" s="16">
        <f>IF(BF77="","",IF(BF77=$L$71,1,0))</f>
        <v/>
      </c>
    </row>
    <row r="78" ht="15" customHeight="1">
      <c r="A78" s="4" t="n">
        <v>3</v>
      </c>
      <c r="B78" s="16">
        <f t="array" ref="B78">IF($A78&gt;9,"",INDEX($B$61:$K$61,MATCH(SMALL(IF($B$62:$K$62=0,10^9,$B$62:$K$62)+(COLUMN($B$61:$K$61)-COLUMN($B$61))/10^6,$A78),IF($B$62:$K$62=0,10^9,$B$62:$K$62)+(COLUMN($B$61:$K$61)-COLUMN($B$61))/10^6,0)))</f>
        <v/>
      </c>
      <c r="C78" s="16">
        <f>IF(B78="","",INDEX($B$62:$K$62,MATCH(B78,$B$61:$K$61,0)))</f>
        <v/>
      </c>
      <c r="D78" s="16">
        <f>IF(B78="","",INDEX($L$62:$L$71,MATCH(B78,$A$62:$A$71,0)))</f>
        <v/>
      </c>
      <c r="E78" s="16">
        <f>IF(D78="","",IF(D78=$L$62,1,0))</f>
        <v/>
      </c>
      <c r="G78" s="4" t="n">
        <v>3</v>
      </c>
      <c r="H78" s="16">
        <f t="array" ref="H78">IF($G78&gt;9,"",INDEX($B$61:$K$61,MATCH(SMALL(IF($B$63:$K$63=0,10^9,$B$63:$K$63)+(COLUMN($B$61:$K$61)-COLUMN($C$61))/10^6,$G78),IF($B$63:$K$63=0,10^9,$B$63:$K$63)+(COLUMN($B$61:$K$61)-COLUMN($C$61))/10^6,0)))</f>
        <v/>
      </c>
      <c r="I78" s="16">
        <f>IF(H78="","",INDEX($B$63:$K$63,MATCH(H78,$B$61:$K$61,0)))</f>
        <v/>
      </c>
      <c r="J78" s="16">
        <f>IF(H78="","",INDEX($L$62:$L$71,MATCH(H78,$A$62:$A$71,0)))</f>
        <v/>
      </c>
      <c r="K78" s="16">
        <f>IF(J78="","",IF(J78=$L$63,1,0))</f>
        <v/>
      </c>
      <c r="M78" s="4" t="n">
        <v>3</v>
      </c>
      <c r="N78" s="16">
        <f t="array" ref="N78">IF($M78&gt;9,"",INDEX($B$61:$K$61,MATCH(SMALL(IF($B$64:$K$64=0,10^9,$B$64:$K$64)+(COLUMN($B$61:$K$61)-COLUMN($D$61))/10^6,$M78),IF($B$64:$K$64=0,10^9,$B$64:$K$64)+(COLUMN($B$61:$K$61)-COLUMN($D$61))/10^6,0)))</f>
        <v/>
      </c>
      <c r="O78" s="16">
        <f>IF(N78="","",INDEX($B$64:$K$64,MATCH(N78,$B$61:$K$61,0)))</f>
        <v/>
      </c>
      <c r="P78" s="16">
        <f>IF(N78="","",INDEX($L$62:$L$71,MATCH(N78,$A$62:$A$71,0)))</f>
        <v/>
      </c>
      <c r="Q78" s="16">
        <f>IF(P78="","",IF(P78=$L$64,1,0))</f>
        <v/>
      </c>
      <c r="S78" s="4" t="n">
        <v>3</v>
      </c>
      <c r="T78" s="16">
        <f t="array" ref="T78">IF($S78&gt;9,"",INDEX($B$61:$K$61,MATCH(SMALL(IF($B$65:$K$65=0,10^9,$B$65:$K$65)+(COLUMN($B$61:$K$61)-COLUMN($E$61))/10^6,$S78),IF($B$65:$K$65=0,10^9,$B$65:$K$65)+(COLUMN($B$61:$K$61)-COLUMN($E$61))/10^6,0)))</f>
        <v/>
      </c>
      <c r="U78" s="16">
        <f>IF(T78="","",INDEX($B$65:$K$65,MATCH(T78,$B$61:$K$61,0)))</f>
        <v/>
      </c>
      <c r="V78" s="16">
        <f>IF(T78="","",INDEX($L$62:$L$71,MATCH(T78,$A$62:$A$71,0)))</f>
        <v/>
      </c>
      <c r="W78" s="16">
        <f>IF(V78="","",IF(V78=$L$65,1,0))</f>
        <v/>
      </c>
      <c r="Y78" s="4" t="n">
        <v>3</v>
      </c>
      <c r="Z78" s="16">
        <f t="array" ref="Z78">IF($Y78&gt;9,"",INDEX($B$61:$K$61,MATCH(SMALL(IF($B$66:$K$66=0,10^9,$B$66:$K$66)+(COLUMN($B$61:$K$61)-COLUMN($F$61))/10^6,$Y78),IF($B$66:$K$66=0,10^9,$B$66:$K$66)+(COLUMN($B$61:$K$61)-COLUMN($F$61))/10^6,0)))</f>
        <v/>
      </c>
      <c r="AA78" s="16">
        <f>IF(Z78="","",INDEX($B$66:$K$66,MATCH(Z78,$B$61:$K$61,0)))</f>
        <v/>
      </c>
      <c r="AB78" s="16">
        <f>IF(Z78="","",INDEX($L$62:$L$71,MATCH(Z78,$A$62:$A$71,0)))</f>
        <v/>
      </c>
      <c r="AC78" s="16">
        <f>IF(AB78="","",IF(AB78=$L$66,1,0))</f>
        <v/>
      </c>
      <c r="AE78" s="4" t="n">
        <v>3</v>
      </c>
      <c r="AF78" s="16">
        <f t="array" ref="AF78">IF($AE78&gt;9,"",INDEX($B$61:$K$61,MATCH(SMALL(IF($B$67:$K$67=0,10^9,$B$67:$K$67)+(COLUMN($B$61:$K$61)-COLUMN($G$61))/10^6,$AE78),IF($B$67:$K$67=0,10^9,$B$67:$K$67)+(COLUMN($B$61:$K$61)-COLUMN($G$61))/10^6,0)))</f>
        <v/>
      </c>
      <c r="AG78" s="16">
        <f>IF(AF78="","",INDEX($B$67:$K$67,MATCH(AF78,$B$61:$K$61,0)))</f>
        <v/>
      </c>
      <c r="AH78" s="16">
        <f>IF(AF78="","",INDEX($L$62:$L$71,MATCH(AF78,$A$62:$A$71,0)))</f>
        <v/>
      </c>
      <c r="AI78" s="16">
        <f>IF(AH78="","",IF(AH78=$L$67,1,0))</f>
        <v/>
      </c>
      <c r="AK78" s="4" t="n">
        <v>3</v>
      </c>
      <c r="AL78" s="16">
        <f t="array" ref="AL78">IF($AK78&gt;9,"",INDEX($B$61:$K$61,MATCH(SMALL(IF($B$68:$K$68=0,10^9,$B$68:$K$68)+(COLUMN($B$61:$K$61)-COLUMN($H$61))/10^6,$AK78),IF($B$68:$K$68=0,10^9,$B$68:$K$68)+(COLUMN($B$61:$K$61)-COLUMN($H$61))/10^6,0)))</f>
        <v/>
      </c>
      <c r="AM78" s="16">
        <f>IF(AL78="","",INDEX($B$68:$K$68,MATCH(AL78,$B$61:$K$61,0)))</f>
        <v/>
      </c>
      <c r="AN78" s="16">
        <f>IF(AL78="","",INDEX($L$62:$L$71,MATCH(AL78,$A$62:$A$71,0)))</f>
        <v/>
      </c>
      <c r="AO78" s="16">
        <f>IF(AN78="","",IF(AN78=$L$68,1,0))</f>
        <v/>
      </c>
      <c r="AQ78" s="4" t="n">
        <v>3</v>
      </c>
      <c r="AR78" s="16">
        <f t="array" ref="AR78">IF($AQ78&gt;9,"",INDEX($B$61:$K$61,MATCH(SMALL(IF($B$69:$K$69=0,10^9,$B$69:$K$69)+(COLUMN($B$61:$K$61)-COLUMN($I$61))/10^6,$AQ78),IF($B$69:$K$69=0,10^9,$B$69:$K$69)+(COLUMN($B$61:$K$61)-COLUMN($I$61))/10^6,0)))</f>
        <v/>
      </c>
      <c r="AS78" s="16">
        <f>IF(AR78="","",INDEX($B$69:$K$69,MATCH(AR78,$B$61:$K$61,0)))</f>
        <v/>
      </c>
      <c r="AT78" s="16">
        <f>IF(AR78="","",INDEX($L$62:$L$71,MATCH(AR78,$A$62:$A$71,0)))</f>
        <v/>
      </c>
      <c r="AU78" s="16">
        <f>IF(AT78="","",IF(AT78=$L$69,1,0))</f>
        <v/>
      </c>
      <c r="AW78" s="4" t="n">
        <v>3</v>
      </c>
      <c r="AX78" s="16">
        <f t="array" ref="AX78">IF($AW78&gt;9,"",INDEX($B$61:$K$61,MATCH(SMALL(IF($B$70:$K$70=0,10^9,$B$70:$K$70)+(COLUMN($B$61:$K$61)-COLUMN($J$61))/10^6,$AW78),IF($B$70:$K$70=0,10^9,$B$70:$K$70)+(COLUMN($B$61:$K$61)-COLUMN($J$61))/10^6,0)))</f>
        <v/>
      </c>
      <c r="AY78" s="16">
        <f>IF(AX78="","",INDEX($B$70:$K$70,MATCH(AX78,$B$61:$K$61,0)))</f>
        <v/>
      </c>
      <c r="AZ78" s="16">
        <f>IF(AX78="","",INDEX($L$62:$L$71,MATCH(AX78,$A$62:$A$71,0)))</f>
        <v/>
      </c>
      <c r="BA78" s="16">
        <f>IF(AZ78="","",IF(AZ78=$L$70,1,0))</f>
        <v/>
      </c>
      <c r="BC78" s="4" t="n">
        <v>3</v>
      </c>
      <c r="BD78" s="16">
        <f t="array" ref="BD78">IF($BC78&gt;9,"",INDEX($B$61:$K$61,MATCH(SMALL(IF($B$71:$K$71=0,10^9,$B$71:$K$71)+(COLUMN($B$61:$K$61)-COLUMN($K$61))/10^6,$BC78),IF($B$71:$K$71=0,10^9,$B$71:$K$71)+(COLUMN($B$61:$K$61)-COLUMN($K$61))/10^6,0)))</f>
        <v/>
      </c>
      <c r="BE78" s="16">
        <f>IF(BD78="","",INDEX($B$71:$K$71,MATCH(BD78,$B$61:$K$61,0)))</f>
        <v/>
      </c>
      <c r="BF78" s="16">
        <f>IF(BD78="","",INDEX($L$62:$L$71,MATCH(BD78,$A$62:$A$71,0)))</f>
        <v/>
      </c>
      <c r="BG78" s="16">
        <f>IF(BF78="","",IF(BF78=$L$71,1,0))</f>
        <v/>
      </c>
    </row>
    <row r="79" ht="15" customHeight="1">
      <c r="A79" s="4" t="n">
        <v>4</v>
      </c>
      <c r="B79" s="16">
        <f t="array" ref="B79">IF($A79&gt;9,"",INDEX($B$61:$K$61,MATCH(SMALL(IF($B$62:$K$62=0,10^9,$B$62:$K$62)+(COLUMN($B$61:$K$61)-COLUMN($B$61))/10^6,$A79),IF($B$62:$K$62=0,10^9,$B$62:$K$62)+(COLUMN($B$61:$K$61)-COLUMN($B$61))/10^6,0)))</f>
        <v/>
      </c>
      <c r="C79" s="16">
        <f>IF(B79="","",INDEX($B$62:$K$62,MATCH(B79,$B$61:$K$61,0)))</f>
        <v/>
      </c>
      <c r="D79" s="16">
        <f>IF(B79="","",INDEX($L$62:$L$71,MATCH(B79,$A$62:$A$71,0)))</f>
        <v/>
      </c>
      <c r="E79" s="16">
        <f>IF(D79="","",IF(D79=$L$62,1,0))</f>
        <v/>
      </c>
      <c r="G79" s="4" t="n">
        <v>4</v>
      </c>
      <c r="H79" s="16">
        <f t="array" ref="H79">IF($G79&gt;9,"",INDEX($B$61:$K$61,MATCH(SMALL(IF($B$63:$K$63=0,10^9,$B$63:$K$63)+(COLUMN($B$61:$K$61)-COLUMN($C$61))/10^6,$G79),IF($B$63:$K$63=0,10^9,$B$63:$K$63)+(COLUMN($B$61:$K$61)-COLUMN($C$61))/10^6,0)))</f>
        <v/>
      </c>
      <c r="I79" s="16">
        <f>IF(H79="","",INDEX($B$63:$K$63,MATCH(H79,$B$61:$K$61,0)))</f>
        <v/>
      </c>
      <c r="J79" s="16">
        <f>IF(H79="","",INDEX($L$62:$L$71,MATCH(H79,$A$62:$A$71,0)))</f>
        <v/>
      </c>
      <c r="K79" s="16">
        <f>IF(J79="","",IF(J79=$L$63,1,0))</f>
        <v/>
      </c>
      <c r="M79" s="4" t="n">
        <v>4</v>
      </c>
      <c r="N79" s="16">
        <f t="array" ref="N79">IF($M79&gt;9,"",INDEX($B$61:$K$61,MATCH(SMALL(IF($B$64:$K$64=0,10^9,$B$64:$K$64)+(COLUMN($B$61:$K$61)-COLUMN($D$61))/10^6,$M79),IF($B$64:$K$64=0,10^9,$B$64:$K$64)+(COLUMN($B$61:$K$61)-COLUMN($D$61))/10^6,0)))</f>
        <v/>
      </c>
      <c r="O79" s="16">
        <f>IF(N79="","",INDEX($B$64:$K$64,MATCH(N79,$B$61:$K$61,0)))</f>
        <v/>
      </c>
      <c r="P79" s="16">
        <f>IF(N79="","",INDEX($L$62:$L$71,MATCH(N79,$A$62:$A$71,0)))</f>
        <v/>
      </c>
      <c r="Q79" s="16">
        <f>IF(P79="","",IF(P79=$L$64,1,0))</f>
        <v/>
      </c>
      <c r="S79" s="4" t="n">
        <v>4</v>
      </c>
      <c r="T79" s="16">
        <f t="array" ref="T79">IF($S79&gt;9,"",INDEX($B$61:$K$61,MATCH(SMALL(IF($B$65:$K$65=0,10^9,$B$65:$K$65)+(COLUMN($B$61:$K$61)-COLUMN($E$61))/10^6,$S79),IF($B$65:$K$65=0,10^9,$B$65:$K$65)+(COLUMN($B$61:$K$61)-COLUMN($E$61))/10^6,0)))</f>
        <v/>
      </c>
      <c r="U79" s="16">
        <f>IF(T79="","",INDEX($B$65:$K$65,MATCH(T79,$B$61:$K$61,0)))</f>
        <v/>
      </c>
      <c r="V79" s="16">
        <f>IF(T79="","",INDEX($L$62:$L$71,MATCH(T79,$A$62:$A$71,0)))</f>
        <v/>
      </c>
      <c r="W79" s="16">
        <f>IF(V79="","",IF(V79=$L$65,1,0))</f>
        <v/>
      </c>
      <c r="Y79" s="4" t="n">
        <v>4</v>
      </c>
      <c r="Z79" s="16">
        <f t="array" ref="Z79">IF($Y79&gt;9,"",INDEX($B$61:$K$61,MATCH(SMALL(IF($B$66:$K$66=0,10^9,$B$66:$K$66)+(COLUMN($B$61:$K$61)-COLUMN($F$61))/10^6,$Y79),IF($B$66:$K$66=0,10^9,$B$66:$K$66)+(COLUMN($B$61:$K$61)-COLUMN($F$61))/10^6,0)))</f>
        <v/>
      </c>
      <c r="AA79" s="16">
        <f>IF(Z79="","",INDEX($B$66:$K$66,MATCH(Z79,$B$61:$K$61,0)))</f>
        <v/>
      </c>
      <c r="AB79" s="16">
        <f>IF(Z79="","",INDEX($L$62:$L$71,MATCH(Z79,$A$62:$A$71,0)))</f>
        <v/>
      </c>
      <c r="AC79" s="16">
        <f>IF(AB79="","",IF(AB79=$L$66,1,0))</f>
        <v/>
      </c>
      <c r="AE79" s="4" t="n">
        <v>4</v>
      </c>
      <c r="AF79" s="16">
        <f t="array" ref="AF79">IF($AE79&gt;9,"",INDEX($B$61:$K$61,MATCH(SMALL(IF($B$67:$K$67=0,10^9,$B$67:$K$67)+(COLUMN($B$61:$K$61)-COLUMN($G$61))/10^6,$AE79),IF($B$67:$K$67=0,10^9,$B$67:$K$67)+(COLUMN($B$61:$K$61)-COLUMN($G$61))/10^6,0)))</f>
        <v/>
      </c>
      <c r="AG79" s="16">
        <f>IF(AF79="","",INDEX($B$67:$K$67,MATCH(AF79,$B$61:$K$61,0)))</f>
        <v/>
      </c>
      <c r="AH79" s="16">
        <f>IF(AF79="","",INDEX($L$62:$L$71,MATCH(AF79,$A$62:$A$71,0)))</f>
        <v/>
      </c>
      <c r="AI79" s="16">
        <f>IF(AH79="","",IF(AH79=$L$67,1,0))</f>
        <v/>
      </c>
      <c r="AK79" s="4" t="n">
        <v>4</v>
      </c>
      <c r="AL79" s="16">
        <f t="array" ref="AL79">IF($AK79&gt;9,"",INDEX($B$61:$K$61,MATCH(SMALL(IF($B$68:$K$68=0,10^9,$B$68:$K$68)+(COLUMN($B$61:$K$61)-COLUMN($H$61))/10^6,$AK79),IF($B$68:$K$68=0,10^9,$B$68:$K$68)+(COLUMN($B$61:$K$61)-COLUMN($H$61))/10^6,0)))</f>
        <v/>
      </c>
      <c r="AM79" s="16">
        <f>IF(AL79="","",INDEX($B$68:$K$68,MATCH(AL79,$B$61:$K$61,0)))</f>
        <v/>
      </c>
      <c r="AN79" s="16">
        <f>IF(AL79="","",INDEX($L$62:$L$71,MATCH(AL79,$A$62:$A$71,0)))</f>
        <v/>
      </c>
      <c r="AO79" s="16">
        <f>IF(AN79="","",IF(AN79=$L$68,1,0))</f>
        <v/>
      </c>
      <c r="AQ79" s="4" t="n">
        <v>4</v>
      </c>
      <c r="AR79" s="16">
        <f t="array" ref="AR79">IF($AQ79&gt;9,"",INDEX($B$61:$K$61,MATCH(SMALL(IF($B$69:$K$69=0,10^9,$B$69:$K$69)+(COLUMN($B$61:$K$61)-COLUMN($I$61))/10^6,$AQ79),IF($B$69:$K$69=0,10^9,$B$69:$K$69)+(COLUMN($B$61:$K$61)-COLUMN($I$61))/10^6,0)))</f>
        <v/>
      </c>
      <c r="AS79" s="16">
        <f>IF(AR79="","",INDEX($B$69:$K$69,MATCH(AR79,$B$61:$K$61,0)))</f>
        <v/>
      </c>
      <c r="AT79" s="16">
        <f>IF(AR79="","",INDEX($L$62:$L$71,MATCH(AR79,$A$62:$A$71,0)))</f>
        <v/>
      </c>
      <c r="AU79" s="16">
        <f>IF(AT79="","",IF(AT79=$L$69,1,0))</f>
        <v/>
      </c>
      <c r="AW79" s="4" t="n">
        <v>4</v>
      </c>
      <c r="AX79" s="16">
        <f t="array" ref="AX79">IF($AW79&gt;9,"",INDEX($B$61:$K$61,MATCH(SMALL(IF($B$70:$K$70=0,10^9,$B$70:$K$70)+(COLUMN($B$61:$K$61)-COLUMN($J$61))/10^6,$AW79),IF($B$70:$K$70=0,10^9,$B$70:$K$70)+(COLUMN($B$61:$K$61)-COLUMN($J$61))/10^6,0)))</f>
        <v/>
      </c>
      <c r="AY79" s="16">
        <f>IF(AX79="","",INDEX($B$70:$K$70,MATCH(AX79,$B$61:$K$61,0)))</f>
        <v/>
      </c>
      <c r="AZ79" s="16">
        <f>IF(AX79="","",INDEX($L$62:$L$71,MATCH(AX79,$A$62:$A$71,0)))</f>
        <v/>
      </c>
      <c r="BA79" s="16">
        <f>IF(AZ79="","",IF(AZ79=$L$70,1,0))</f>
        <v/>
      </c>
      <c r="BC79" s="4" t="n">
        <v>4</v>
      </c>
      <c r="BD79" s="16">
        <f t="array" ref="BD79">IF($BC79&gt;9,"",INDEX($B$61:$K$61,MATCH(SMALL(IF($B$71:$K$71=0,10^9,$B$71:$K$71)+(COLUMN($B$61:$K$61)-COLUMN($K$61))/10^6,$BC79),IF($B$71:$K$71=0,10^9,$B$71:$K$71)+(COLUMN($B$61:$K$61)-COLUMN($K$61))/10^6,0)))</f>
        <v/>
      </c>
      <c r="BE79" s="16">
        <f>IF(BD79="","",INDEX($B$71:$K$71,MATCH(BD79,$B$61:$K$61,0)))</f>
        <v/>
      </c>
      <c r="BF79" s="16">
        <f>IF(BD79="","",INDEX($L$62:$L$71,MATCH(BD79,$A$62:$A$71,0)))</f>
        <v/>
      </c>
      <c r="BG79" s="16">
        <f>IF(BF79="","",IF(BF79=$L$71,1,0))</f>
        <v/>
      </c>
    </row>
    <row r="80" ht="15" customHeight="1">
      <c r="A80" s="4" t="n">
        <v>5</v>
      </c>
      <c r="B80" s="16">
        <f t="array" ref="B80">IF($A80&gt;9,"",INDEX($B$61:$K$61,MATCH(SMALL(IF($B$62:$K$62=0,10^9,$B$62:$K$62)+(COLUMN($B$61:$K$61)-COLUMN($B$61))/10^6,$A80),IF($B$62:$K$62=0,10^9,$B$62:$K$62)+(COLUMN($B$61:$K$61)-COLUMN($B$61))/10^6,0)))</f>
        <v/>
      </c>
      <c r="C80" s="16">
        <f>IF(B80="","",INDEX($B$62:$K$62,MATCH(B80,$B$61:$K$61,0)))</f>
        <v/>
      </c>
      <c r="D80" s="16">
        <f>IF(B80="","",INDEX($L$62:$L$71,MATCH(B80,$A$62:$A$71,0)))</f>
        <v/>
      </c>
      <c r="E80" s="16">
        <f>IF(D80="","",IF(D80=$L$62,1,0))</f>
        <v/>
      </c>
      <c r="G80" s="4" t="n">
        <v>5</v>
      </c>
      <c r="H80" s="16">
        <f t="array" ref="H80">IF($G80&gt;9,"",INDEX($B$61:$K$61,MATCH(SMALL(IF($B$63:$K$63=0,10^9,$B$63:$K$63)+(COLUMN($B$61:$K$61)-COLUMN($C$61))/10^6,$G80),IF($B$63:$K$63=0,10^9,$B$63:$K$63)+(COLUMN($B$61:$K$61)-COLUMN($C$61))/10^6,0)))</f>
        <v/>
      </c>
      <c r="I80" s="16">
        <f>IF(H80="","",INDEX($B$63:$K$63,MATCH(H80,$B$61:$K$61,0)))</f>
        <v/>
      </c>
      <c r="J80" s="16">
        <f>IF(H80="","",INDEX($L$62:$L$71,MATCH(H80,$A$62:$A$71,0)))</f>
        <v/>
      </c>
      <c r="K80" s="16">
        <f>IF(J80="","",IF(J80=$L$63,1,0))</f>
        <v/>
      </c>
      <c r="M80" s="4" t="n">
        <v>5</v>
      </c>
      <c r="N80" s="16">
        <f t="array" ref="N80">IF($M80&gt;9,"",INDEX($B$61:$K$61,MATCH(SMALL(IF($B$64:$K$64=0,10^9,$B$64:$K$64)+(COLUMN($B$61:$K$61)-COLUMN($D$61))/10^6,$M80),IF($B$64:$K$64=0,10^9,$B$64:$K$64)+(COLUMN($B$61:$K$61)-COLUMN($D$61))/10^6,0)))</f>
        <v/>
      </c>
      <c r="O80" s="16">
        <f>IF(N80="","",INDEX($B$64:$K$64,MATCH(N80,$B$61:$K$61,0)))</f>
        <v/>
      </c>
      <c r="P80" s="16">
        <f>IF(N80="","",INDEX($L$62:$L$71,MATCH(N80,$A$62:$A$71,0)))</f>
        <v/>
      </c>
      <c r="Q80" s="16">
        <f>IF(P80="","",IF(P80=$L$64,1,0))</f>
        <v/>
      </c>
      <c r="S80" s="4" t="n">
        <v>5</v>
      </c>
      <c r="T80" s="16">
        <f t="array" ref="T80">IF($S80&gt;9,"",INDEX($B$61:$K$61,MATCH(SMALL(IF($B$65:$K$65=0,10^9,$B$65:$K$65)+(COLUMN($B$61:$K$61)-COLUMN($E$61))/10^6,$S80),IF($B$65:$K$65=0,10^9,$B$65:$K$65)+(COLUMN($B$61:$K$61)-COLUMN($E$61))/10^6,0)))</f>
        <v/>
      </c>
      <c r="U80" s="16">
        <f>IF(T80="","",INDEX($B$65:$K$65,MATCH(T80,$B$61:$K$61,0)))</f>
        <v/>
      </c>
      <c r="V80" s="16">
        <f>IF(T80="","",INDEX($L$62:$L$71,MATCH(T80,$A$62:$A$71,0)))</f>
        <v/>
      </c>
      <c r="W80" s="16">
        <f>IF(V80="","",IF(V80=$L$65,1,0))</f>
        <v/>
      </c>
      <c r="Y80" s="4" t="n">
        <v>5</v>
      </c>
      <c r="Z80" s="16">
        <f t="array" ref="Z80">IF($Y80&gt;9,"",INDEX($B$61:$K$61,MATCH(SMALL(IF($B$66:$K$66=0,10^9,$B$66:$K$66)+(COLUMN($B$61:$K$61)-COLUMN($F$61))/10^6,$Y80),IF($B$66:$K$66=0,10^9,$B$66:$K$66)+(COLUMN($B$61:$K$61)-COLUMN($F$61))/10^6,0)))</f>
        <v/>
      </c>
      <c r="AA80" s="16">
        <f>IF(Z80="","",INDEX($B$66:$K$66,MATCH(Z80,$B$61:$K$61,0)))</f>
        <v/>
      </c>
      <c r="AB80" s="16">
        <f>IF(Z80="","",INDEX($L$62:$L$71,MATCH(Z80,$A$62:$A$71,0)))</f>
        <v/>
      </c>
      <c r="AC80" s="16">
        <f>IF(AB80="","",IF(AB80=$L$66,1,0))</f>
        <v/>
      </c>
      <c r="AE80" s="4" t="n">
        <v>5</v>
      </c>
      <c r="AF80" s="16">
        <f t="array" ref="AF80">IF($AE80&gt;9,"",INDEX($B$61:$K$61,MATCH(SMALL(IF($B$67:$K$67=0,10^9,$B$67:$K$67)+(COLUMN($B$61:$K$61)-COLUMN($G$61))/10^6,$AE80),IF($B$67:$K$67=0,10^9,$B$67:$K$67)+(COLUMN($B$61:$K$61)-COLUMN($G$61))/10^6,0)))</f>
        <v/>
      </c>
      <c r="AG80" s="16">
        <f>IF(AF80="","",INDEX($B$67:$K$67,MATCH(AF80,$B$61:$K$61,0)))</f>
        <v/>
      </c>
      <c r="AH80" s="16">
        <f>IF(AF80="","",INDEX($L$62:$L$71,MATCH(AF80,$A$62:$A$71,0)))</f>
        <v/>
      </c>
      <c r="AI80" s="16">
        <f>IF(AH80="","",IF(AH80=$L$67,1,0))</f>
        <v/>
      </c>
      <c r="AK80" s="4" t="n">
        <v>5</v>
      </c>
      <c r="AL80" s="16">
        <f t="array" ref="AL80">IF($AK80&gt;9,"",INDEX($B$61:$K$61,MATCH(SMALL(IF($B$68:$K$68=0,10^9,$B$68:$K$68)+(COLUMN($B$61:$K$61)-COLUMN($H$61))/10^6,$AK80),IF($B$68:$K$68=0,10^9,$B$68:$K$68)+(COLUMN($B$61:$K$61)-COLUMN($H$61))/10^6,0)))</f>
        <v/>
      </c>
      <c r="AM80" s="16">
        <f>IF(AL80="","",INDEX($B$68:$K$68,MATCH(AL80,$B$61:$K$61,0)))</f>
        <v/>
      </c>
      <c r="AN80" s="16">
        <f>IF(AL80="","",INDEX($L$62:$L$71,MATCH(AL80,$A$62:$A$71,0)))</f>
        <v/>
      </c>
      <c r="AO80" s="16">
        <f>IF(AN80="","",IF(AN80=$L$68,1,0))</f>
        <v/>
      </c>
      <c r="AQ80" s="4" t="n">
        <v>5</v>
      </c>
      <c r="AR80" s="16">
        <f t="array" ref="AR80">IF($AQ80&gt;9,"",INDEX($B$61:$K$61,MATCH(SMALL(IF($B$69:$K$69=0,10^9,$B$69:$K$69)+(COLUMN($B$61:$K$61)-COLUMN($I$61))/10^6,$AQ80),IF($B$69:$K$69=0,10^9,$B$69:$K$69)+(COLUMN($B$61:$K$61)-COLUMN($I$61))/10^6,0)))</f>
        <v/>
      </c>
      <c r="AS80" s="16">
        <f>IF(AR80="","",INDEX($B$69:$K$69,MATCH(AR80,$B$61:$K$61,0)))</f>
        <v/>
      </c>
      <c r="AT80" s="16">
        <f>IF(AR80="","",INDEX($L$62:$L$71,MATCH(AR80,$A$62:$A$71,0)))</f>
        <v/>
      </c>
      <c r="AU80" s="16">
        <f>IF(AT80="","",IF(AT80=$L$69,1,0))</f>
        <v/>
      </c>
      <c r="AW80" s="4" t="n">
        <v>5</v>
      </c>
      <c r="AX80" s="16">
        <f t="array" ref="AX80">IF($AW80&gt;9,"",INDEX($B$61:$K$61,MATCH(SMALL(IF($B$70:$K$70=0,10^9,$B$70:$K$70)+(COLUMN($B$61:$K$61)-COLUMN($J$61))/10^6,$AW80),IF($B$70:$K$70=0,10^9,$B$70:$K$70)+(COLUMN($B$61:$K$61)-COLUMN($J$61))/10^6,0)))</f>
        <v/>
      </c>
      <c r="AY80" s="16">
        <f>IF(AX80="","",INDEX($B$70:$K$70,MATCH(AX80,$B$61:$K$61,0)))</f>
        <v/>
      </c>
      <c r="AZ80" s="16">
        <f>IF(AX80="","",INDEX($L$62:$L$71,MATCH(AX80,$A$62:$A$71,0)))</f>
        <v/>
      </c>
      <c r="BA80" s="16">
        <f>IF(AZ80="","",IF(AZ80=$L$70,1,0))</f>
        <v/>
      </c>
      <c r="BC80" s="4" t="n">
        <v>5</v>
      </c>
      <c r="BD80" s="16">
        <f t="array" ref="BD80">IF($BC80&gt;9,"",INDEX($B$61:$K$61,MATCH(SMALL(IF($B$71:$K$71=0,10^9,$B$71:$K$71)+(COLUMN($B$61:$K$61)-COLUMN($K$61))/10^6,$BC80),IF($B$71:$K$71=0,10^9,$B$71:$K$71)+(COLUMN($B$61:$K$61)-COLUMN($K$61))/10^6,0)))</f>
        <v/>
      </c>
      <c r="BE80" s="16">
        <f>IF(BD80="","",INDEX($B$71:$K$71,MATCH(BD80,$B$61:$K$61,0)))</f>
        <v/>
      </c>
      <c r="BF80" s="16">
        <f>IF(BD80="","",INDEX($L$62:$L$71,MATCH(BD80,$A$62:$A$71,0)))</f>
        <v/>
      </c>
      <c r="BG80" s="16">
        <f>IF(BF80="","",IF(BF80=$L$71,1,0))</f>
        <v/>
      </c>
    </row>
    <row r="81" ht="15" customHeight="1">
      <c r="A81" s="4" t="n">
        <v>6</v>
      </c>
      <c r="B81" s="16">
        <f t="array" ref="B81">IF($A81&gt;9,"",INDEX($B$61:$K$61,MATCH(SMALL(IF($B$62:$K$62=0,10^9,$B$62:$K$62)+(COLUMN($B$61:$K$61)-COLUMN($B$61))/10^6,$A81),IF($B$62:$K$62=0,10^9,$B$62:$K$62)+(COLUMN($B$61:$K$61)-COLUMN($B$61))/10^6,0)))</f>
        <v/>
      </c>
      <c r="C81" s="16">
        <f>IF(B81="","",INDEX($B$62:$K$62,MATCH(B81,$B$61:$K$61,0)))</f>
        <v/>
      </c>
      <c r="D81" s="16">
        <f>IF(B81="","",INDEX($L$62:$L$71,MATCH(B81,$A$62:$A$71,0)))</f>
        <v/>
      </c>
      <c r="E81" s="16">
        <f>IF(D81="","",IF(D81=$L$62,1,0))</f>
        <v/>
      </c>
      <c r="G81" s="4" t="n">
        <v>6</v>
      </c>
      <c r="H81" s="16">
        <f t="array" ref="H81">IF($G81&gt;9,"",INDEX($B$61:$K$61,MATCH(SMALL(IF($B$63:$K$63=0,10^9,$B$63:$K$63)+(COLUMN($B$61:$K$61)-COLUMN($C$61))/10^6,$G81),IF($B$63:$K$63=0,10^9,$B$63:$K$63)+(COLUMN($B$61:$K$61)-COLUMN($C$61))/10^6,0)))</f>
        <v/>
      </c>
      <c r="I81" s="16">
        <f>IF(H81="","",INDEX($B$63:$K$63,MATCH(H81,$B$61:$K$61,0)))</f>
        <v/>
      </c>
      <c r="J81" s="16">
        <f>IF(H81="","",INDEX($L$62:$L$71,MATCH(H81,$A$62:$A$71,0)))</f>
        <v/>
      </c>
      <c r="K81" s="16">
        <f>IF(J81="","",IF(J81=$L$63,1,0))</f>
        <v/>
      </c>
      <c r="M81" s="4" t="n">
        <v>6</v>
      </c>
      <c r="N81" s="16">
        <f t="array" ref="N81">IF($M81&gt;9,"",INDEX($B$61:$K$61,MATCH(SMALL(IF($B$64:$K$64=0,10^9,$B$64:$K$64)+(COLUMN($B$61:$K$61)-COLUMN($D$61))/10^6,$M81),IF($B$64:$K$64=0,10^9,$B$64:$K$64)+(COLUMN($B$61:$K$61)-COLUMN($D$61))/10^6,0)))</f>
        <v/>
      </c>
      <c r="O81" s="16">
        <f>IF(N81="","",INDEX($B$64:$K$64,MATCH(N81,$B$61:$K$61,0)))</f>
        <v/>
      </c>
      <c r="P81" s="16">
        <f>IF(N81="","",INDEX($L$62:$L$71,MATCH(N81,$A$62:$A$71,0)))</f>
        <v/>
      </c>
      <c r="Q81" s="16">
        <f>IF(P81="","",IF(P81=$L$64,1,0))</f>
        <v/>
      </c>
      <c r="S81" s="4" t="n">
        <v>6</v>
      </c>
      <c r="T81" s="16">
        <f t="array" ref="T81">IF($S81&gt;9,"",INDEX($B$61:$K$61,MATCH(SMALL(IF($B$65:$K$65=0,10^9,$B$65:$K$65)+(COLUMN($B$61:$K$61)-COLUMN($E$61))/10^6,$S81),IF($B$65:$K$65=0,10^9,$B$65:$K$65)+(COLUMN($B$61:$K$61)-COLUMN($E$61))/10^6,0)))</f>
        <v/>
      </c>
      <c r="U81" s="16">
        <f>IF(T81="","",INDEX($B$65:$K$65,MATCH(T81,$B$61:$K$61,0)))</f>
        <v/>
      </c>
      <c r="V81" s="16">
        <f>IF(T81="","",INDEX($L$62:$L$71,MATCH(T81,$A$62:$A$71,0)))</f>
        <v/>
      </c>
      <c r="W81" s="16">
        <f>IF(V81="","",IF(V81=$L$65,1,0))</f>
        <v/>
      </c>
      <c r="Y81" s="4" t="n">
        <v>6</v>
      </c>
      <c r="Z81" s="16">
        <f t="array" ref="Z81">IF($Y81&gt;9,"",INDEX($B$61:$K$61,MATCH(SMALL(IF($B$66:$K$66=0,10^9,$B$66:$K$66)+(COLUMN($B$61:$K$61)-COLUMN($F$61))/10^6,$Y81),IF($B$66:$K$66=0,10^9,$B$66:$K$66)+(COLUMN($B$61:$K$61)-COLUMN($F$61))/10^6,0)))</f>
        <v/>
      </c>
      <c r="AA81" s="16">
        <f>IF(Z81="","",INDEX($B$66:$K$66,MATCH(Z81,$B$61:$K$61,0)))</f>
        <v/>
      </c>
      <c r="AB81" s="16">
        <f>IF(Z81="","",INDEX($L$62:$L$71,MATCH(Z81,$A$62:$A$71,0)))</f>
        <v/>
      </c>
      <c r="AC81" s="16">
        <f>IF(AB81="","",IF(AB81=$L$66,1,0))</f>
        <v/>
      </c>
      <c r="AE81" s="4" t="n">
        <v>6</v>
      </c>
      <c r="AF81" s="16">
        <f t="array" ref="AF81">IF($AE81&gt;9,"",INDEX($B$61:$K$61,MATCH(SMALL(IF($B$67:$K$67=0,10^9,$B$67:$K$67)+(COLUMN($B$61:$K$61)-COLUMN($G$61))/10^6,$AE81),IF($B$67:$K$67=0,10^9,$B$67:$K$67)+(COLUMN($B$61:$K$61)-COLUMN($G$61))/10^6,0)))</f>
        <v/>
      </c>
      <c r="AG81" s="16">
        <f>IF(AF81="","",INDEX($B$67:$K$67,MATCH(AF81,$B$61:$K$61,0)))</f>
        <v/>
      </c>
      <c r="AH81" s="16">
        <f>IF(AF81="","",INDEX($L$62:$L$71,MATCH(AF81,$A$62:$A$71,0)))</f>
        <v/>
      </c>
      <c r="AI81" s="16">
        <f>IF(AH81="","",IF(AH81=$L$67,1,0))</f>
        <v/>
      </c>
      <c r="AK81" s="4" t="n">
        <v>6</v>
      </c>
      <c r="AL81" s="16">
        <f t="array" ref="AL81">IF($AK81&gt;9,"",INDEX($B$61:$K$61,MATCH(SMALL(IF($B$68:$K$68=0,10^9,$B$68:$K$68)+(COLUMN($B$61:$K$61)-COLUMN($H$61))/10^6,$AK81),IF($B$68:$K$68=0,10^9,$B$68:$K$68)+(COLUMN($B$61:$K$61)-COLUMN($H$61))/10^6,0)))</f>
        <v/>
      </c>
      <c r="AM81" s="16">
        <f>IF(AL81="","",INDEX($B$68:$K$68,MATCH(AL81,$B$61:$K$61,0)))</f>
        <v/>
      </c>
      <c r="AN81" s="16">
        <f>IF(AL81="","",INDEX($L$62:$L$71,MATCH(AL81,$A$62:$A$71,0)))</f>
        <v/>
      </c>
      <c r="AO81" s="16">
        <f>IF(AN81="","",IF(AN81=$L$68,1,0))</f>
        <v/>
      </c>
      <c r="AQ81" s="4" t="n">
        <v>6</v>
      </c>
      <c r="AR81" s="16">
        <f t="array" ref="AR81">IF($AQ81&gt;9,"",INDEX($B$61:$K$61,MATCH(SMALL(IF($B$69:$K$69=0,10^9,$B$69:$K$69)+(COLUMN($B$61:$K$61)-COLUMN($I$61))/10^6,$AQ81),IF($B$69:$K$69=0,10^9,$B$69:$K$69)+(COLUMN($B$61:$K$61)-COLUMN($I$61))/10^6,0)))</f>
        <v/>
      </c>
      <c r="AS81" s="16">
        <f>IF(AR81="","",INDEX($B$69:$K$69,MATCH(AR81,$B$61:$K$61,0)))</f>
        <v/>
      </c>
      <c r="AT81" s="16">
        <f>IF(AR81="","",INDEX($L$62:$L$71,MATCH(AR81,$A$62:$A$71,0)))</f>
        <v/>
      </c>
      <c r="AU81" s="16">
        <f>IF(AT81="","",IF(AT81=$L$69,1,0))</f>
        <v/>
      </c>
      <c r="AW81" s="4" t="n">
        <v>6</v>
      </c>
      <c r="AX81" s="16">
        <f t="array" ref="AX81">IF($AW81&gt;9,"",INDEX($B$61:$K$61,MATCH(SMALL(IF($B$70:$K$70=0,10^9,$B$70:$K$70)+(COLUMN($B$61:$K$61)-COLUMN($J$61))/10^6,$AW81),IF($B$70:$K$70=0,10^9,$B$70:$K$70)+(COLUMN($B$61:$K$61)-COLUMN($J$61))/10^6,0)))</f>
        <v/>
      </c>
      <c r="AY81" s="16">
        <f>IF(AX81="","",INDEX($B$70:$K$70,MATCH(AX81,$B$61:$K$61,0)))</f>
        <v/>
      </c>
      <c r="AZ81" s="16">
        <f>IF(AX81="","",INDEX($L$62:$L$71,MATCH(AX81,$A$62:$A$71,0)))</f>
        <v/>
      </c>
      <c r="BA81" s="16">
        <f>IF(AZ81="","",IF(AZ81=$L$70,1,0))</f>
        <v/>
      </c>
      <c r="BC81" s="4" t="n">
        <v>6</v>
      </c>
      <c r="BD81" s="16">
        <f t="array" ref="BD81">IF($BC81&gt;9,"",INDEX($B$61:$K$61,MATCH(SMALL(IF($B$71:$K$71=0,10^9,$B$71:$K$71)+(COLUMN($B$61:$K$61)-COLUMN($K$61))/10^6,$BC81),IF($B$71:$K$71=0,10^9,$B$71:$K$71)+(COLUMN($B$61:$K$61)-COLUMN($K$61))/10^6,0)))</f>
        <v/>
      </c>
      <c r="BE81" s="16">
        <f>IF(BD81="","",INDEX($B$71:$K$71,MATCH(BD81,$B$61:$K$61,0)))</f>
        <v/>
      </c>
      <c r="BF81" s="16">
        <f>IF(BD81="","",INDEX($L$62:$L$71,MATCH(BD81,$A$62:$A$71,0)))</f>
        <v/>
      </c>
      <c r="BG81" s="16">
        <f>IF(BF81="","",IF(BF81=$L$71,1,0))</f>
        <v/>
      </c>
    </row>
    <row r="82" ht="15" customHeight="1">
      <c r="A82" s="4" t="n">
        <v>7</v>
      </c>
      <c r="B82" s="16">
        <f t="array" ref="B82">IF($A82&gt;9,"",INDEX($B$61:$K$61,MATCH(SMALL(IF($B$62:$K$62=0,10^9,$B$62:$K$62)+(COLUMN($B$61:$K$61)-COLUMN($B$61))/10^6,$A82),IF($B$62:$K$62=0,10^9,$B$62:$K$62)+(COLUMN($B$61:$K$61)-COLUMN($B$61))/10^6,0)))</f>
        <v/>
      </c>
      <c r="C82" s="16">
        <f>IF(B82="","",INDEX($B$62:$K$62,MATCH(B82,$B$61:$K$61,0)))</f>
        <v/>
      </c>
      <c r="D82" s="16">
        <f>IF(B82="","",INDEX($L$62:$L$71,MATCH(B82,$A$62:$A$71,0)))</f>
        <v/>
      </c>
      <c r="E82" s="16">
        <f>IF(D82="","",IF(D82=$L$62,1,0))</f>
        <v/>
      </c>
      <c r="G82" s="4" t="n">
        <v>7</v>
      </c>
      <c r="H82" s="16">
        <f t="array" ref="H82">IF($G82&gt;9,"",INDEX($B$61:$K$61,MATCH(SMALL(IF($B$63:$K$63=0,10^9,$B$63:$K$63)+(COLUMN($B$61:$K$61)-COLUMN($C$61))/10^6,$G82),IF($B$63:$K$63=0,10^9,$B$63:$K$63)+(COLUMN($B$61:$K$61)-COLUMN($C$61))/10^6,0)))</f>
        <v/>
      </c>
      <c r="I82" s="16">
        <f>IF(H82="","",INDEX($B$63:$K$63,MATCH(H82,$B$61:$K$61,0)))</f>
        <v/>
      </c>
      <c r="J82" s="16">
        <f>IF(H82="","",INDEX($L$62:$L$71,MATCH(H82,$A$62:$A$71,0)))</f>
        <v/>
      </c>
      <c r="K82" s="16">
        <f>IF(J82="","",IF(J82=$L$63,1,0))</f>
        <v/>
      </c>
      <c r="M82" s="4" t="n">
        <v>7</v>
      </c>
      <c r="N82" s="16">
        <f t="array" ref="N82">IF($M82&gt;9,"",INDEX($B$61:$K$61,MATCH(SMALL(IF($B$64:$K$64=0,10^9,$B$64:$K$64)+(COLUMN($B$61:$K$61)-COLUMN($D$61))/10^6,$M82),IF($B$64:$K$64=0,10^9,$B$64:$K$64)+(COLUMN($B$61:$K$61)-COLUMN($D$61))/10^6,0)))</f>
        <v/>
      </c>
      <c r="O82" s="16">
        <f>IF(N82="","",INDEX($B$64:$K$64,MATCH(N82,$B$61:$K$61,0)))</f>
        <v/>
      </c>
      <c r="P82" s="16">
        <f>IF(N82="","",INDEX($L$62:$L$71,MATCH(N82,$A$62:$A$71,0)))</f>
        <v/>
      </c>
      <c r="Q82" s="16">
        <f>IF(P82="","",IF(P82=$L$64,1,0))</f>
        <v/>
      </c>
      <c r="S82" s="4" t="n">
        <v>7</v>
      </c>
      <c r="T82" s="16">
        <f t="array" ref="T82">IF($S82&gt;9,"",INDEX($B$61:$K$61,MATCH(SMALL(IF($B$65:$K$65=0,10^9,$B$65:$K$65)+(COLUMN($B$61:$K$61)-COLUMN($E$61))/10^6,$S82),IF($B$65:$K$65=0,10^9,$B$65:$K$65)+(COLUMN($B$61:$K$61)-COLUMN($E$61))/10^6,0)))</f>
        <v/>
      </c>
      <c r="U82" s="16">
        <f>IF(T82="","",INDEX($B$65:$K$65,MATCH(T82,$B$61:$K$61,0)))</f>
        <v/>
      </c>
      <c r="V82" s="16">
        <f>IF(T82="","",INDEX($L$62:$L$71,MATCH(T82,$A$62:$A$71,0)))</f>
        <v/>
      </c>
      <c r="W82" s="16">
        <f>IF(V82="","",IF(V82=$L$65,1,0))</f>
        <v/>
      </c>
      <c r="Y82" s="4" t="n">
        <v>7</v>
      </c>
      <c r="Z82" s="16">
        <f t="array" ref="Z82">IF($Y82&gt;9,"",INDEX($B$61:$K$61,MATCH(SMALL(IF($B$66:$K$66=0,10^9,$B$66:$K$66)+(COLUMN($B$61:$K$61)-COLUMN($F$61))/10^6,$Y82),IF($B$66:$K$66=0,10^9,$B$66:$K$66)+(COLUMN($B$61:$K$61)-COLUMN($F$61))/10^6,0)))</f>
        <v/>
      </c>
      <c r="AA82" s="16">
        <f>IF(Z82="","",INDEX($B$66:$K$66,MATCH(Z82,$B$61:$K$61,0)))</f>
        <v/>
      </c>
      <c r="AB82" s="16">
        <f>IF(Z82="","",INDEX($L$62:$L$71,MATCH(Z82,$A$62:$A$71,0)))</f>
        <v/>
      </c>
      <c r="AC82" s="16">
        <f>IF(AB82="","",IF(AB82=$L$66,1,0))</f>
        <v/>
      </c>
      <c r="AE82" s="4" t="n">
        <v>7</v>
      </c>
      <c r="AF82" s="16">
        <f t="array" ref="AF82">IF($AE82&gt;9,"",INDEX($B$61:$K$61,MATCH(SMALL(IF($B$67:$K$67=0,10^9,$B$67:$K$67)+(COLUMN($B$61:$K$61)-COLUMN($G$61))/10^6,$AE82),IF($B$67:$K$67=0,10^9,$B$67:$K$67)+(COLUMN($B$61:$K$61)-COLUMN($G$61))/10^6,0)))</f>
        <v/>
      </c>
      <c r="AG82" s="16">
        <f>IF(AF82="","",INDEX($B$67:$K$67,MATCH(AF82,$B$61:$K$61,0)))</f>
        <v/>
      </c>
      <c r="AH82" s="16">
        <f>IF(AF82="","",INDEX($L$62:$L$71,MATCH(AF82,$A$62:$A$71,0)))</f>
        <v/>
      </c>
      <c r="AI82" s="16">
        <f>IF(AH82="","",IF(AH82=$L$67,1,0))</f>
        <v/>
      </c>
      <c r="AK82" s="4" t="n">
        <v>7</v>
      </c>
      <c r="AL82" s="16">
        <f t="array" ref="AL82">IF($AK82&gt;9,"",INDEX($B$61:$K$61,MATCH(SMALL(IF($B$68:$K$68=0,10^9,$B$68:$K$68)+(COLUMN($B$61:$K$61)-COLUMN($H$61))/10^6,$AK82),IF($B$68:$K$68=0,10^9,$B$68:$K$68)+(COLUMN($B$61:$K$61)-COLUMN($H$61))/10^6,0)))</f>
        <v/>
      </c>
      <c r="AM82" s="16">
        <f>IF(AL82="","",INDEX($B$68:$K$68,MATCH(AL82,$B$61:$K$61,0)))</f>
        <v/>
      </c>
      <c r="AN82" s="16">
        <f>IF(AL82="","",INDEX($L$62:$L$71,MATCH(AL82,$A$62:$A$71,0)))</f>
        <v/>
      </c>
      <c r="AO82" s="16">
        <f>IF(AN82="","",IF(AN82=$L$68,1,0))</f>
        <v/>
      </c>
      <c r="AQ82" s="4" t="n">
        <v>7</v>
      </c>
      <c r="AR82" s="16">
        <f t="array" ref="AR82">IF($AQ82&gt;9,"",INDEX($B$61:$K$61,MATCH(SMALL(IF($B$69:$K$69=0,10^9,$B$69:$K$69)+(COLUMN($B$61:$K$61)-COLUMN($I$61))/10^6,$AQ82),IF($B$69:$K$69=0,10^9,$B$69:$K$69)+(COLUMN($B$61:$K$61)-COLUMN($I$61))/10^6,0)))</f>
        <v/>
      </c>
      <c r="AS82" s="16">
        <f>IF(AR82="","",INDEX($B$69:$K$69,MATCH(AR82,$B$61:$K$61,0)))</f>
        <v/>
      </c>
      <c r="AT82" s="16">
        <f>IF(AR82="","",INDEX($L$62:$L$71,MATCH(AR82,$A$62:$A$71,0)))</f>
        <v/>
      </c>
      <c r="AU82" s="16">
        <f>IF(AT82="","",IF(AT82=$L$69,1,0))</f>
        <v/>
      </c>
      <c r="AW82" s="4" t="n">
        <v>7</v>
      </c>
      <c r="AX82" s="16">
        <f t="array" ref="AX82">IF($AW82&gt;9,"",INDEX($B$61:$K$61,MATCH(SMALL(IF($B$70:$K$70=0,10^9,$B$70:$K$70)+(COLUMN($B$61:$K$61)-COLUMN($J$61))/10^6,$AW82),IF($B$70:$K$70=0,10^9,$B$70:$K$70)+(COLUMN($B$61:$K$61)-COLUMN($J$61))/10^6,0)))</f>
        <v/>
      </c>
      <c r="AY82" s="16">
        <f>IF(AX82="","",INDEX($B$70:$K$70,MATCH(AX82,$B$61:$K$61,0)))</f>
        <v/>
      </c>
      <c r="AZ82" s="16">
        <f>IF(AX82="","",INDEX($L$62:$L$71,MATCH(AX82,$A$62:$A$71,0)))</f>
        <v/>
      </c>
      <c r="BA82" s="16">
        <f>IF(AZ82="","",IF(AZ82=$L$70,1,0))</f>
        <v/>
      </c>
      <c r="BC82" s="4" t="n">
        <v>7</v>
      </c>
      <c r="BD82" s="16">
        <f t="array" ref="BD82">IF($BC82&gt;9,"",INDEX($B$61:$K$61,MATCH(SMALL(IF($B$71:$K$71=0,10^9,$B$71:$K$71)+(COLUMN($B$61:$K$61)-COLUMN($K$61))/10^6,$BC82),IF($B$71:$K$71=0,10^9,$B$71:$K$71)+(COLUMN($B$61:$K$61)-COLUMN($K$61))/10^6,0)))</f>
        <v/>
      </c>
      <c r="BE82" s="16">
        <f>IF(BD82="","",INDEX($B$71:$K$71,MATCH(BD82,$B$61:$K$61,0)))</f>
        <v/>
      </c>
      <c r="BF82" s="16">
        <f>IF(BD82="","",INDEX($L$62:$L$71,MATCH(BD82,$A$62:$A$71,0)))</f>
        <v/>
      </c>
      <c r="BG82" s="16">
        <f>IF(BF82="","",IF(BF82=$L$71,1,0))</f>
        <v/>
      </c>
    </row>
    <row r="83" ht="15" customHeight="1">
      <c r="A83" s="4" t="n">
        <v>8</v>
      </c>
      <c r="B83" s="16">
        <f t="array" ref="B83">IF($A83&gt;9,"",INDEX($B$61:$K$61,MATCH(SMALL(IF($B$62:$K$62=0,10^9,$B$62:$K$62)+(COLUMN($B$61:$K$61)-COLUMN($B$61))/10^6,$A83),IF($B$62:$K$62=0,10^9,$B$62:$K$62)+(COLUMN($B$61:$K$61)-COLUMN($B$61))/10^6,0)))</f>
        <v/>
      </c>
      <c r="C83" s="16">
        <f>IF(B83="","",INDEX($B$62:$K$62,MATCH(B83,$B$61:$K$61,0)))</f>
        <v/>
      </c>
      <c r="D83" s="16">
        <f>IF(B83="","",INDEX($L$62:$L$71,MATCH(B83,$A$62:$A$71,0)))</f>
        <v/>
      </c>
      <c r="E83" s="16">
        <f>IF(D83="","",IF(D83=$L$62,1,0))</f>
        <v/>
      </c>
      <c r="G83" s="4" t="n">
        <v>8</v>
      </c>
      <c r="H83" s="16">
        <f t="array" ref="H83">IF($G83&gt;9,"",INDEX($B$61:$K$61,MATCH(SMALL(IF($B$63:$K$63=0,10^9,$B$63:$K$63)+(COLUMN($B$61:$K$61)-COLUMN($C$61))/10^6,$G83),IF($B$63:$K$63=0,10^9,$B$63:$K$63)+(COLUMN($B$61:$K$61)-COLUMN($C$61))/10^6,0)))</f>
        <v/>
      </c>
      <c r="I83" s="16">
        <f>IF(H83="","",INDEX($B$63:$K$63,MATCH(H83,$B$61:$K$61,0)))</f>
        <v/>
      </c>
      <c r="J83" s="16">
        <f>IF(H83="","",INDEX($L$62:$L$71,MATCH(H83,$A$62:$A$71,0)))</f>
        <v/>
      </c>
      <c r="K83" s="16">
        <f>IF(J83="","",IF(J83=$L$63,1,0))</f>
        <v/>
      </c>
      <c r="M83" s="4" t="n">
        <v>8</v>
      </c>
      <c r="N83" s="16">
        <f t="array" ref="N83">IF($M83&gt;9,"",INDEX($B$61:$K$61,MATCH(SMALL(IF($B$64:$K$64=0,10^9,$B$64:$K$64)+(COLUMN($B$61:$K$61)-COLUMN($D$61))/10^6,$M83),IF($B$64:$K$64=0,10^9,$B$64:$K$64)+(COLUMN($B$61:$K$61)-COLUMN($D$61))/10^6,0)))</f>
        <v/>
      </c>
      <c r="O83" s="16">
        <f>IF(N83="","",INDEX($B$64:$K$64,MATCH(N83,$B$61:$K$61,0)))</f>
        <v/>
      </c>
      <c r="P83" s="16">
        <f>IF(N83="","",INDEX($L$62:$L$71,MATCH(N83,$A$62:$A$71,0)))</f>
        <v/>
      </c>
      <c r="Q83" s="16">
        <f>IF(P83="","",IF(P83=$L$64,1,0))</f>
        <v/>
      </c>
      <c r="S83" s="4" t="n">
        <v>8</v>
      </c>
      <c r="T83" s="16">
        <f t="array" ref="T83">IF($S83&gt;9,"",INDEX($B$61:$K$61,MATCH(SMALL(IF($B$65:$K$65=0,10^9,$B$65:$K$65)+(COLUMN($B$61:$K$61)-COLUMN($E$61))/10^6,$S83),IF($B$65:$K$65=0,10^9,$B$65:$K$65)+(COLUMN($B$61:$K$61)-COLUMN($E$61))/10^6,0)))</f>
        <v/>
      </c>
      <c r="U83" s="16">
        <f>IF(T83="","",INDEX($B$65:$K$65,MATCH(T83,$B$61:$K$61,0)))</f>
        <v/>
      </c>
      <c r="V83" s="16">
        <f>IF(T83="","",INDEX($L$62:$L$71,MATCH(T83,$A$62:$A$71,0)))</f>
        <v/>
      </c>
      <c r="W83" s="16">
        <f>IF(V83="","",IF(V83=$L$65,1,0))</f>
        <v/>
      </c>
      <c r="Y83" s="4" t="n">
        <v>8</v>
      </c>
      <c r="Z83" s="16">
        <f t="array" ref="Z83">IF($Y83&gt;9,"",INDEX($B$61:$K$61,MATCH(SMALL(IF($B$66:$K$66=0,10^9,$B$66:$K$66)+(COLUMN($B$61:$K$61)-COLUMN($F$61))/10^6,$Y83),IF($B$66:$K$66=0,10^9,$B$66:$K$66)+(COLUMN($B$61:$K$61)-COLUMN($F$61))/10^6,0)))</f>
        <v/>
      </c>
      <c r="AA83" s="16">
        <f>IF(Z83="","",INDEX($B$66:$K$66,MATCH(Z83,$B$61:$K$61,0)))</f>
        <v/>
      </c>
      <c r="AB83" s="16">
        <f>IF(Z83="","",INDEX($L$62:$L$71,MATCH(Z83,$A$62:$A$71,0)))</f>
        <v/>
      </c>
      <c r="AC83" s="16">
        <f>IF(AB83="","",IF(AB83=$L$66,1,0))</f>
        <v/>
      </c>
      <c r="AE83" s="4" t="n">
        <v>8</v>
      </c>
      <c r="AF83" s="16">
        <f t="array" ref="AF83">IF($AE83&gt;9,"",INDEX($B$61:$K$61,MATCH(SMALL(IF($B$67:$K$67=0,10^9,$B$67:$K$67)+(COLUMN($B$61:$K$61)-COLUMN($G$61))/10^6,$AE83),IF($B$67:$K$67=0,10^9,$B$67:$K$67)+(COLUMN($B$61:$K$61)-COLUMN($G$61))/10^6,0)))</f>
        <v/>
      </c>
      <c r="AG83" s="16">
        <f>IF(AF83="","",INDEX($B$67:$K$67,MATCH(AF83,$B$61:$K$61,0)))</f>
        <v/>
      </c>
      <c r="AH83" s="16">
        <f>IF(AF83="","",INDEX($L$62:$L$71,MATCH(AF83,$A$62:$A$71,0)))</f>
        <v/>
      </c>
      <c r="AI83" s="16">
        <f>IF(AH83="","",IF(AH83=$L$67,1,0))</f>
        <v/>
      </c>
      <c r="AK83" s="4" t="n">
        <v>8</v>
      </c>
      <c r="AL83" s="16">
        <f t="array" ref="AL83">IF($AK83&gt;9,"",INDEX($B$61:$K$61,MATCH(SMALL(IF($B$68:$K$68=0,10^9,$B$68:$K$68)+(COLUMN($B$61:$K$61)-COLUMN($H$61))/10^6,$AK83),IF($B$68:$K$68=0,10^9,$B$68:$K$68)+(COLUMN($B$61:$K$61)-COLUMN($H$61))/10^6,0)))</f>
        <v/>
      </c>
      <c r="AM83" s="16">
        <f>IF(AL83="","",INDEX($B$68:$K$68,MATCH(AL83,$B$61:$K$61,0)))</f>
        <v/>
      </c>
      <c r="AN83" s="16">
        <f>IF(AL83="","",INDEX($L$62:$L$71,MATCH(AL83,$A$62:$A$71,0)))</f>
        <v/>
      </c>
      <c r="AO83" s="16">
        <f>IF(AN83="","",IF(AN83=$L$68,1,0))</f>
        <v/>
      </c>
      <c r="AQ83" s="4" t="n">
        <v>8</v>
      </c>
      <c r="AR83" s="16">
        <f t="array" ref="AR83">IF($AQ83&gt;9,"",INDEX($B$61:$K$61,MATCH(SMALL(IF($B$69:$K$69=0,10^9,$B$69:$K$69)+(COLUMN($B$61:$K$61)-COLUMN($I$61))/10^6,$AQ83),IF($B$69:$K$69=0,10^9,$B$69:$K$69)+(COLUMN($B$61:$K$61)-COLUMN($I$61))/10^6,0)))</f>
        <v/>
      </c>
      <c r="AS83" s="16">
        <f>IF(AR83="","",INDEX($B$69:$K$69,MATCH(AR83,$B$61:$K$61,0)))</f>
        <v/>
      </c>
      <c r="AT83" s="16">
        <f>IF(AR83="","",INDEX($L$62:$L$71,MATCH(AR83,$A$62:$A$71,0)))</f>
        <v/>
      </c>
      <c r="AU83" s="16">
        <f>IF(AT83="","",IF(AT83=$L$69,1,0))</f>
        <v/>
      </c>
      <c r="AW83" s="4" t="n">
        <v>8</v>
      </c>
      <c r="AX83" s="16">
        <f t="array" ref="AX83">IF($AW83&gt;9,"",INDEX($B$61:$K$61,MATCH(SMALL(IF($B$70:$K$70=0,10^9,$B$70:$K$70)+(COLUMN($B$61:$K$61)-COLUMN($J$61))/10^6,$AW83),IF($B$70:$K$70=0,10^9,$B$70:$K$70)+(COLUMN($B$61:$K$61)-COLUMN($J$61))/10^6,0)))</f>
        <v/>
      </c>
      <c r="AY83" s="16">
        <f>IF(AX83="","",INDEX($B$70:$K$70,MATCH(AX83,$B$61:$K$61,0)))</f>
        <v/>
      </c>
      <c r="AZ83" s="16">
        <f>IF(AX83="","",INDEX($L$62:$L$71,MATCH(AX83,$A$62:$A$71,0)))</f>
        <v/>
      </c>
      <c r="BA83" s="16">
        <f>IF(AZ83="","",IF(AZ83=$L$70,1,0))</f>
        <v/>
      </c>
      <c r="BC83" s="4" t="n">
        <v>8</v>
      </c>
      <c r="BD83" s="16">
        <f t="array" ref="BD83">IF($BC83&gt;9,"",INDEX($B$61:$K$61,MATCH(SMALL(IF($B$71:$K$71=0,10^9,$B$71:$K$71)+(COLUMN($B$61:$K$61)-COLUMN($K$61))/10^6,$BC83),IF($B$71:$K$71=0,10^9,$B$71:$K$71)+(COLUMN($B$61:$K$61)-COLUMN($K$61))/10^6,0)))</f>
        <v/>
      </c>
      <c r="BE83" s="16">
        <f>IF(BD83="","",INDEX($B$71:$K$71,MATCH(BD83,$B$61:$K$61,0)))</f>
        <v/>
      </c>
      <c r="BF83" s="16">
        <f>IF(BD83="","",INDEX($L$62:$L$71,MATCH(BD83,$A$62:$A$71,0)))</f>
        <v/>
      </c>
      <c r="BG83" s="16">
        <f>IF(BF83="","",IF(BF83=$L$71,1,0))</f>
        <v/>
      </c>
    </row>
    <row r="84" ht="15" customHeight="1">
      <c r="A84" s="4" t="n">
        <v>9</v>
      </c>
      <c r="B84" s="16">
        <f t="array" ref="B84">IF($A84&gt;9,"",INDEX($B$61:$K$61,MATCH(SMALL(IF($B$62:$K$62=0,10^9,$B$62:$K$62)+(COLUMN($B$61:$K$61)-COLUMN($B$61))/10^6,$A84),IF($B$62:$K$62=0,10^9,$B$62:$K$62)+(COLUMN($B$61:$K$61)-COLUMN($B$61))/10^6,0)))</f>
        <v/>
      </c>
      <c r="C84" s="16">
        <f>IF(B84="","",INDEX($B$62:$K$62,MATCH(B84,$B$61:$K$61,0)))</f>
        <v/>
      </c>
      <c r="D84" s="16">
        <f>IF(B84="","",INDEX($L$62:$L$71,MATCH(B84,$A$62:$A$71,0)))</f>
        <v/>
      </c>
      <c r="E84" s="16">
        <f>IF(D84="","",IF(D84=$L$62,1,0))</f>
        <v/>
      </c>
      <c r="G84" s="4" t="n">
        <v>9</v>
      </c>
      <c r="H84" s="16">
        <f t="array" ref="H84">IF($G84&gt;9,"",INDEX($B$61:$K$61,MATCH(SMALL(IF($B$63:$K$63=0,10^9,$B$63:$K$63)+(COLUMN($B$61:$K$61)-COLUMN($C$61))/10^6,$G84),IF($B$63:$K$63=0,10^9,$B$63:$K$63)+(COLUMN($B$61:$K$61)-COLUMN($C$61))/10^6,0)))</f>
        <v/>
      </c>
      <c r="I84" s="16">
        <f>IF(H84="","",INDEX($B$63:$K$63,MATCH(H84,$B$61:$K$61,0)))</f>
        <v/>
      </c>
      <c r="J84" s="16">
        <f>IF(H84="","",INDEX($L$62:$L$71,MATCH(H84,$A$62:$A$71,0)))</f>
        <v/>
      </c>
      <c r="K84" s="16">
        <f>IF(J84="","",IF(J84=$L$63,1,0))</f>
        <v/>
      </c>
      <c r="M84" s="4" t="n">
        <v>9</v>
      </c>
      <c r="N84" s="16">
        <f t="array" ref="N84">IF($M84&gt;9,"",INDEX($B$61:$K$61,MATCH(SMALL(IF($B$64:$K$64=0,10^9,$B$64:$K$64)+(COLUMN($B$61:$K$61)-COLUMN($D$61))/10^6,$M84),IF($B$64:$K$64=0,10^9,$B$64:$K$64)+(COLUMN($B$61:$K$61)-COLUMN($D$61))/10^6,0)))</f>
        <v/>
      </c>
      <c r="O84" s="16">
        <f>IF(N84="","",INDEX($B$64:$K$64,MATCH(N84,$B$61:$K$61,0)))</f>
        <v/>
      </c>
      <c r="P84" s="16">
        <f>IF(N84="","",INDEX($L$62:$L$71,MATCH(N84,$A$62:$A$71,0)))</f>
        <v/>
      </c>
      <c r="Q84" s="16">
        <f>IF(P84="","",IF(P84=$L$64,1,0))</f>
        <v/>
      </c>
      <c r="S84" s="4" t="n">
        <v>9</v>
      </c>
      <c r="T84" s="16">
        <f t="array" ref="T84">IF($S84&gt;9,"",INDEX($B$61:$K$61,MATCH(SMALL(IF($B$65:$K$65=0,10^9,$B$65:$K$65)+(COLUMN($B$61:$K$61)-COLUMN($E$61))/10^6,$S84),IF($B$65:$K$65=0,10^9,$B$65:$K$65)+(COLUMN($B$61:$K$61)-COLUMN($E$61))/10^6,0)))</f>
        <v/>
      </c>
      <c r="U84" s="16">
        <f>IF(T84="","",INDEX($B$65:$K$65,MATCH(T84,$B$61:$K$61,0)))</f>
        <v/>
      </c>
      <c r="V84" s="16">
        <f>IF(T84="","",INDEX($L$62:$L$71,MATCH(T84,$A$62:$A$71,0)))</f>
        <v/>
      </c>
      <c r="W84" s="16">
        <f>IF(V84="","",IF(V84=$L$65,1,0))</f>
        <v/>
      </c>
      <c r="Y84" s="4" t="n">
        <v>9</v>
      </c>
      <c r="Z84" s="16">
        <f t="array" ref="Z84">IF($Y84&gt;9,"",INDEX($B$61:$K$61,MATCH(SMALL(IF($B$66:$K$66=0,10^9,$B$66:$K$66)+(COLUMN($B$61:$K$61)-COLUMN($F$61))/10^6,$Y84),IF($B$66:$K$66=0,10^9,$B$66:$K$66)+(COLUMN($B$61:$K$61)-COLUMN($F$61))/10^6,0)))</f>
        <v/>
      </c>
      <c r="AA84" s="16">
        <f>IF(Z84="","",INDEX($B$66:$K$66,MATCH(Z84,$B$61:$K$61,0)))</f>
        <v/>
      </c>
      <c r="AB84" s="16">
        <f>IF(Z84="","",INDEX($L$62:$L$71,MATCH(Z84,$A$62:$A$71,0)))</f>
        <v/>
      </c>
      <c r="AC84" s="16">
        <f>IF(AB84="","",IF(AB84=$L$66,1,0))</f>
        <v/>
      </c>
      <c r="AE84" s="4" t="n">
        <v>9</v>
      </c>
      <c r="AF84" s="16">
        <f t="array" ref="AF84">IF($AE84&gt;9,"",INDEX($B$61:$K$61,MATCH(SMALL(IF($B$67:$K$67=0,10^9,$B$67:$K$67)+(COLUMN($B$61:$K$61)-COLUMN($G$61))/10^6,$AE84),IF($B$67:$K$67=0,10^9,$B$67:$K$67)+(COLUMN($B$61:$K$61)-COLUMN($G$61))/10^6,0)))</f>
        <v/>
      </c>
      <c r="AG84" s="16">
        <f>IF(AF84="","",INDEX($B$67:$K$67,MATCH(AF84,$B$61:$K$61,0)))</f>
        <v/>
      </c>
      <c r="AH84" s="16">
        <f>IF(AF84="","",INDEX($L$62:$L$71,MATCH(AF84,$A$62:$A$71,0)))</f>
        <v/>
      </c>
      <c r="AI84" s="16">
        <f>IF(AH84="","",IF(AH84=$L$67,1,0))</f>
        <v/>
      </c>
      <c r="AK84" s="4" t="n">
        <v>9</v>
      </c>
      <c r="AL84" s="16">
        <f t="array" ref="AL84">IF($AK84&gt;9,"",INDEX($B$61:$K$61,MATCH(SMALL(IF($B$68:$K$68=0,10^9,$B$68:$K$68)+(COLUMN($B$61:$K$61)-COLUMN($H$61))/10^6,$AK84),IF($B$68:$K$68=0,10^9,$B$68:$K$68)+(COLUMN($B$61:$K$61)-COLUMN($H$61))/10^6,0)))</f>
        <v/>
      </c>
      <c r="AM84" s="16">
        <f>IF(AL84="","",INDEX($B$68:$K$68,MATCH(AL84,$B$61:$K$61,0)))</f>
        <v/>
      </c>
      <c r="AN84" s="16">
        <f>IF(AL84="","",INDEX($L$62:$L$71,MATCH(AL84,$A$62:$A$71,0)))</f>
        <v/>
      </c>
      <c r="AO84" s="16">
        <f>IF(AN84="","",IF(AN84=$L$68,1,0))</f>
        <v/>
      </c>
      <c r="AQ84" s="4" t="n">
        <v>9</v>
      </c>
      <c r="AR84" s="16">
        <f t="array" ref="AR84">IF($AQ84&gt;9,"",INDEX($B$61:$K$61,MATCH(SMALL(IF($B$69:$K$69=0,10^9,$B$69:$K$69)+(COLUMN($B$61:$K$61)-COLUMN($I$61))/10^6,$AQ84),IF($B$69:$K$69=0,10^9,$B$69:$K$69)+(COLUMN($B$61:$K$61)-COLUMN($I$61))/10^6,0)))</f>
        <v/>
      </c>
      <c r="AS84" s="16">
        <f>IF(AR84="","",INDEX($B$69:$K$69,MATCH(AR84,$B$61:$K$61,0)))</f>
        <v/>
      </c>
      <c r="AT84" s="16">
        <f>IF(AR84="","",INDEX($L$62:$L$71,MATCH(AR84,$A$62:$A$71,0)))</f>
        <v/>
      </c>
      <c r="AU84" s="16">
        <f>IF(AT84="","",IF(AT84=$L$69,1,0))</f>
        <v/>
      </c>
      <c r="AW84" s="4" t="n">
        <v>9</v>
      </c>
      <c r="AX84" s="16">
        <f t="array" ref="AX84">IF($AW84&gt;9,"",INDEX($B$61:$K$61,MATCH(SMALL(IF($B$70:$K$70=0,10^9,$B$70:$K$70)+(COLUMN($B$61:$K$61)-COLUMN($J$61))/10^6,$AW84),IF($B$70:$K$70=0,10^9,$B$70:$K$70)+(COLUMN($B$61:$K$61)-COLUMN($J$61))/10^6,0)))</f>
        <v/>
      </c>
      <c r="AY84" s="16">
        <f>IF(AX84="","",INDEX($B$70:$K$70,MATCH(AX84,$B$61:$K$61,0)))</f>
        <v/>
      </c>
      <c r="AZ84" s="16">
        <f>IF(AX84="","",INDEX($L$62:$L$71,MATCH(AX84,$A$62:$A$71,0)))</f>
        <v/>
      </c>
      <c r="BA84" s="16">
        <f>IF(AZ84="","",IF(AZ84=$L$70,1,0))</f>
        <v/>
      </c>
      <c r="BC84" s="4" t="n">
        <v>9</v>
      </c>
      <c r="BD84" s="16">
        <f t="array" ref="BD84">IF($BC84&gt;9,"",INDEX($B$61:$K$61,MATCH(SMALL(IF($B$71:$K$71=0,10^9,$B$71:$K$71)+(COLUMN($B$61:$K$61)-COLUMN($K$61))/10^6,$BC84),IF($B$71:$K$71=0,10^9,$B$71:$K$71)+(COLUMN($B$61:$K$61)-COLUMN($K$61))/10^6,0)))</f>
        <v/>
      </c>
      <c r="BE84" s="16">
        <f>IF(BD84="","",INDEX($B$71:$K$71,MATCH(BD84,$B$61:$K$61,0)))</f>
        <v/>
      </c>
      <c r="BF84" s="16">
        <f>IF(BD84="","",INDEX($L$62:$L$71,MATCH(BD84,$A$62:$A$71,0)))</f>
        <v/>
      </c>
      <c r="BG84" s="16">
        <f>IF(BF84="","",IF(BF84=$L$71,1,0))</f>
        <v/>
      </c>
    </row>
    <row r="85" ht="15" customHeight="1"/>
    <row r="86" ht="15" customHeight="1"/>
    <row r="87" ht="15" customHeight="1">
      <c r="A87" s="65" t="inlineStr">
        <is>
          <t>Full A(S) Matrix based on Chebyshev Distance (k = 1,2,3,4,5)</t>
        </is>
      </c>
      <c r="B87" s="100" t="n"/>
      <c r="C87" s="100" t="n"/>
      <c r="D87" s="100" t="n"/>
      <c r="E87" s="100" t="n"/>
      <c r="F87" s="100" t="n"/>
      <c r="G87" s="101" t="n"/>
    </row>
    <row r="88" ht="15" customHeight="1">
      <c r="A88" s="3" t="inlineStr">
        <is>
          <t>Object</t>
        </is>
      </c>
      <c r="B88" s="18" t="inlineStr">
        <is>
          <t>Class</t>
        </is>
      </c>
      <c r="C88" s="4" t="inlineStr">
        <is>
          <t>a1</t>
        </is>
      </c>
      <c r="D88" s="4" t="inlineStr">
        <is>
          <t>a2</t>
        </is>
      </c>
      <c r="E88" s="4" t="inlineStr">
        <is>
          <t>a3</t>
        </is>
      </c>
      <c r="F88" s="4" t="inlineStr">
        <is>
          <t>a4</t>
        </is>
      </c>
      <c r="G88" s="4" t="inlineStr">
        <is>
          <t>a5</t>
        </is>
      </c>
    </row>
    <row r="89" ht="15" customHeight="1">
      <c r="A89" s="4" t="inlineStr">
        <is>
          <t>A(S1)</t>
        </is>
      </c>
      <c r="B89" s="5" t="n">
        <v>1</v>
      </c>
      <c r="C89" s="17">
        <f>SUM(INDIRECT(ADDRESS(76,5+(ROW()-89)*6)&amp;":"&amp;ADDRESS(76+COLUMN()-3,5+(ROW()-89)*6)))</f>
        <v/>
      </c>
      <c r="D89" s="17">
        <f>SUM(INDIRECT(ADDRESS(76,5+(ROW()-89)*6)&amp;":"&amp;ADDRESS(76+COLUMN()-3,5+(ROW()-89)*6)))</f>
        <v/>
      </c>
      <c r="E89" s="17">
        <f>SUM(INDIRECT(ADDRESS(76,5+(ROW()-89)*6)&amp;":"&amp;ADDRESS(76+COLUMN()-3,5+(ROW()-89)*6)))</f>
        <v/>
      </c>
      <c r="F89" s="17">
        <f>SUM(INDIRECT(ADDRESS(76,5+(ROW()-89)*6)&amp;":"&amp;ADDRESS(76+COLUMN()-3,5+(ROW()-89)*6)))</f>
        <v/>
      </c>
      <c r="G89" s="17">
        <f>SUM(INDIRECT(ADDRESS(76,5+(ROW()-89)*6)&amp;":"&amp;ADDRESS(76+COLUMN()-3,5+(ROW()-89)*6)))</f>
        <v/>
      </c>
    </row>
    <row r="90" ht="15" customHeight="1">
      <c r="A90" s="4" t="inlineStr">
        <is>
          <t>A(S2)</t>
        </is>
      </c>
      <c r="B90" s="5" t="n">
        <v>1</v>
      </c>
      <c r="C90" s="17">
        <f>SUM(INDIRECT(ADDRESS(76,5+(ROW()-89)*6)&amp;":"&amp;ADDRESS(76+COLUMN()-3,5+(ROW()-89)*6)))</f>
        <v/>
      </c>
      <c r="D90" s="17">
        <f>SUM(INDIRECT(ADDRESS(76,5+(ROW()-89)*6)&amp;":"&amp;ADDRESS(76+COLUMN()-3,5+(ROW()-89)*6)))</f>
        <v/>
      </c>
      <c r="E90" s="17">
        <f>SUM(INDIRECT(ADDRESS(76,5+(ROW()-89)*6)&amp;":"&amp;ADDRESS(76+COLUMN()-3,5+(ROW()-89)*6)))</f>
        <v/>
      </c>
      <c r="F90" s="17">
        <f>SUM(INDIRECT(ADDRESS(76,5+(ROW()-89)*6)&amp;":"&amp;ADDRESS(76+COLUMN()-3,5+(ROW()-89)*6)))</f>
        <v/>
      </c>
      <c r="G90" s="17">
        <f>SUM(INDIRECT(ADDRESS(76,5+(ROW()-89)*6)&amp;":"&amp;ADDRESS(76+COLUMN()-3,5+(ROW()-89)*6)))</f>
        <v/>
      </c>
    </row>
    <row r="91" ht="15" customHeight="1">
      <c r="A91" s="4" t="inlineStr">
        <is>
          <t>A(S3)</t>
        </is>
      </c>
      <c r="B91" s="5" t="n">
        <v>2</v>
      </c>
      <c r="C91" s="17">
        <f>SUM(INDIRECT(ADDRESS(76,5+(ROW()-89)*6)&amp;":"&amp;ADDRESS(76+COLUMN()-3,5+(ROW()-89)*6)))</f>
        <v/>
      </c>
      <c r="D91" s="17">
        <f>SUM(INDIRECT(ADDRESS(76,5+(ROW()-89)*6)&amp;":"&amp;ADDRESS(76+COLUMN()-3,5+(ROW()-89)*6)))</f>
        <v/>
      </c>
      <c r="E91" s="17">
        <f>SUM(INDIRECT(ADDRESS(76,5+(ROW()-89)*6)&amp;":"&amp;ADDRESS(76+COLUMN()-3,5+(ROW()-89)*6)))</f>
        <v/>
      </c>
      <c r="F91" s="17">
        <f>SUM(INDIRECT(ADDRESS(76,5+(ROW()-89)*6)&amp;":"&amp;ADDRESS(76+COLUMN()-3,5+(ROW()-89)*6)))</f>
        <v/>
      </c>
      <c r="G91" s="17">
        <f>SUM(INDIRECT(ADDRESS(76,5+(ROW()-89)*6)&amp;":"&amp;ADDRESS(76+COLUMN()-3,5+(ROW()-89)*6)))</f>
        <v/>
      </c>
    </row>
    <row r="92" ht="15" customHeight="1">
      <c r="A92" s="4" t="inlineStr">
        <is>
          <t>A(S4)</t>
        </is>
      </c>
      <c r="B92" s="5" t="n">
        <v>1</v>
      </c>
      <c r="C92" s="17">
        <f>SUM(INDIRECT(ADDRESS(76,5+(ROW()-89)*6)&amp;":"&amp;ADDRESS(76+COLUMN()-3,5+(ROW()-89)*6)))</f>
        <v/>
      </c>
      <c r="D92" s="17">
        <f>SUM(INDIRECT(ADDRESS(76,5+(ROW()-89)*6)&amp;":"&amp;ADDRESS(76+COLUMN()-3,5+(ROW()-89)*6)))</f>
        <v/>
      </c>
      <c r="E92" s="17">
        <f>SUM(INDIRECT(ADDRESS(76,5+(ROW()-89)*6)&amp;":"&amp;ADDRESS(76+COLUMN()-3,5+(ROW()-89)*6)))</f>
        <v/>
      </c>
      <c r="F92" s="17">
        <f>SUM(INDIRECT(ADDRESS(76,5+(ROW()-89)*6)&amp;":"&amp;ADDRESS(76+COLUMN()-3,5+(ROW()-89)*6)))</f>
        <v/>
      </c>
      <c r="G92" s="17">
        <f>SUM(INDIRECT(ADDRESS(76,5+(ROW()-89)*6)&amp;":"&amp;ADDRESS(76+COLUMN()-3,5+(ROW()-89)*6)))</f>
        <v/>
      </c>
    </row>
    <row r="93" ht="15" customHeight="1">
      <c r="A93" s="4" t="inlineStr">
        <is>
          <t>A(S5)</t>
        </is>
      </c>
      <c r="B93" s="5" t="n">
        <v>2</v>
      </c>
      <c r="C93" s="17">
        <f>SUM(INDIRECT(ADDRESS(76,5+(ROW()-89)*6)&amp;":"&amp;ADDRESS(76+COLUMN()-3,5+(ROW()-89)*6)))</f>
        <v/>
      </c>
      <c r="D93" s="17">
        <f>SUM(INDIRECT(ADDRESS(76,5+(ROW()-89)*6)&amp;":"&amp;ADDRESS(76+COLUMN()-3,5+(ROW()-89)*6)))</f>
        <v/>
      </c>
      <c r="E93" s="17">
        <f>SUM(INDIRECT(ADDRESS(76,5+(ROW()-89)*6)&amp;":"&amp;ADDRESS(76+COLUMN()-3,5+(ROW()-89)*6)))</f>
        <v/>
      </c>
      <c r="F93" s="17">
        <f>SUM(INDIRECT(ADDRESS(76,5+(ROW()-89)*6)&amp;":"&amp;ADDRESS(76+COLUMN()-3,5+(ROW()-89)*6)))</f>
        <v/>
      </c>
      <c r="G93" s="17">
        <f>SUM(INDIRECT(ADDRESS(76,5+(ROW()-89)*6)&amp;":"&amp;ADDRESS(76+COLUMN()-3,5+(ROW()-89)*6)))</f>
        <v/>
      </c>
    </row>
    <row r="94" ht="15" customHeight="1">
      <c r="A94" s="4" t="inlineStr">
        <is>
          <t>A(S6)</t>
        </is>
      </c>
      <c r="B94" s="5" t="n">
        <v>1</v>
      </c>
      <c r="C94" s="17">
        <f>SUM(INDIRECT(ADDRESS(76,5+(ROW()-89)*6)&amp;":"&amp;ADDRESS(76+COLUMN()-3,5+(ROW()-89)*6)))</f>
        <v/>
      </c>
      <c r="D94" s="17">
        <f>SUM(INDIRECT(ADDRESS(76,5+(ROW()-89)*6)&amp;":"&amp;ADDRESS(76+COLUMN()-3,5+(ROW()-89)*6)))</f>
        <v/>
      </c>
      <c r="E94" s="17">
        <f>SUM(INDIRECT(ADDRESS(76,5+(ROW()-89)*6)&amp;":"&amp;ADDRESS(76+COLUMN()-3,5+(ROW()-89)*6)))</f>
        <v/>
      </c>
      <c r="F94" s="17">
        <f>SUM(INDIRECT(ADDRESS(76,5+(ROW()-89)*6)&amp;":"&amp;ADDRESS(76+COLUMN()-3,5+(ROW()-89)*6)))</f>
        <v/>
      </c>
      <c r="G94" s="17">
        <f>SUM(INDIRECT(ADDRESS(76,5+(ROW()-89)*6)&amp;":"&amp;ADDRESS(76+COLUMN()-3,5+(ROW()-89)*6)))</f>
        <v/>
      </c>
    </row>
    <row r="95" ht="15" customHeight="1">
      <c r="A95" s="4" t="inlineStr">
        <is>
          <t>A(S7)</t>
        </is>
      </c>
      <c r="B95" s="5" t="n">
        <v>1</v>
      </c>
      <c r="C95" s="17">
        <f>SUM(INDIRECT(ADDRESS(76,5+(ROW()-89)*6)&amp;":"&amp;ADDRESS(76+COLUMN()-3,5+(ROW()-89)*6)))</f>
        <v/>
      </c>
      <c r="D95" s="17">
        <f>SUM(INDIRECT(ADDRESS(76,5+(ROW()-89)*6)&amp;":"&amp;ADDRESS(76+COLUMN()-3,5+(ROW()-89)*6)))</f>
        <v/>
      </c>
      <c r="E95" s="17">
        <f>SUM(INDIRECT(ADDRESS(76,5+(ROW()-89)*6)&amp;":"&amp;ADDRESS(76+COLUMN()-3,5+(ROW()-89)*6)))</f>
        <v/>
      </c>
      <c r="F95" s="17">
        <f>SUM(INDIRECT(ADDRESS(76,5+(ROW()-89)*6)&amp;":"&amp;ADDRESS(76+COLUMN()-3,5+(ROW()-89)*6)))</f>
        <v/>
      </c>
      <c r="G95" s="17">
        <f>SUM(INDIRECT(ADDRESS(76,5+(ROW()-89)*6)&amp;":"&amp;ADDRESS(76+COLUMN()-3,5+(ROW()-89)*6)))</f>
        <v/>
      </c>
    </row>
    <row r="96" ht="15" customHeight="1">
      <c r="A96" s="4" t="inlineStr">
        <is>
          <t>A(S8)</t>
        </is>
      </c>
      <c r="B96" s="5" t="n">
        <v>1</v>
      </c>
      <c r="C96" s="17">
        <f>SUM(INDIRECT(ADDRESS(76,5+(ROW()-89)*6)&amp;":"&amp;ADDRESS(76+COLUMN()-3,5+(ROW()-89)*6)))</f>
        <v/>
      </c>
      <c r="D96" s="17">
        <f>SUM(INDIRECT(ADDRESS(76,5+(ROW()-89)*6)&amp;":"&amp;ADDRESS(76+COLUMN()-3,5+(ROW()-89)*6)))</f>
        <v/>
      </c>
      <c r="E96" s="17">
        <f>SUM(INDIRECT(ADDRESS(76,5+(ROW()-89)*6)&amp;":"&amp;ADDRESS(76+COLUMN()-3,5+(ROW()-89)*6)))</f>
        <v/>
      </c>
      <c r="F96" s="17">
        <f>SUM(INDIRECT(ADDRESS(76,5+(ROW()-89)*6)&amp;":"&amp;ADDRESS(76+COLUMN()-3,5+(ROW()-89)*6)))</f>
        <v/>
      </c>
      <c r="G96" s="17">
        <f>SUM(INDIRECT(ADDRESS(76,5+(ROW()-89)*6)&amp;":"&amp;ADDRESS(76+COLUMN()-3,5+(ROW()-89)*6)))</f>
        <v/>
      </c>
    </row>
    <row r="97" ht="15" customHeight="1">
      <c r="A97" s="4" t="inlineStr">
        <is>
          <t>A(S9)</t>
        </is>
      </c>
      <c r="B97" s="5" t="n">
        <v>2</v>
      </c>
      <c r="C97" s="17">
        <f>SUM(INDIRECT(ADDRESS(76,5+(ROW()-89)*6)&amp;":"&amp;ADDRESS(76+COLUMN()-3,5+(ROW()-89)*6)))</f>
        <v/>
      </c>
      <c r="D97" s="17">
        <f>SUM(INDIRECT(ADDRESS(76,5+(ROW()-89)*6)&amp;":"&amp;ADDRESS(76+COLUMN()-3,5+(ROW()-89)*6)))</f>
        <v/>
      </c>
      <c r="E97" s="17">
        <f>SUM(INDIRECT(ADDRESS(76,5+(ROW()-89)*6)&amp;":"&amp;ADDRESS(76+COLUMN()-3,5+(ROW()-89)*6)))</f>
        <v/>
      </c>
      <c r="F97" s="17">
        <f>SUM(INDIRECT(ADDRESS(76,5+(ROW()-89)*6)&amp;":"&amp;ADDRESS(76+COLUMN()-3,5+(ROW()-89)*6)))</f>
        <v/>
      </c>
      <c r="G97" s="17">
        <f>SUM(INDIRECT(ADDRESS(76,5+(ROW()-89)*6)&amp;":"&amp;ADDRESS(76+COLUMN()-3,5+(ROW()-89)*6)))</f>
        <v/>
      </c>
    </row>
    <row r="98" ht="15" customHeight="1">
      <c r="A98" s="4" t="inlineStr">
        <is>
          <t>A(S10)</t>
        </is>
      </c>
      <c r="B98" s="5" t="n">
        <v>2</v>
      </c>
      <c r="C98" s="17">
        <f>SUM(INDIRECT(ADDRESS(76,5+(ROW()-89)*6)&amp;":"&amp;ADDRESS(76+COLUMN()-3,5+(ROW()-89)*6)))</f>
        <v/>
      </c>
      <c r="D98" s="17">
        <f>SUM(INDIRECT(ADDRESS(76,5+(ROW()-89)*6)&amp;":"&amp;ADDRESS(76+COLUMN()-3,5+(ROW()-89)*6)))</f>
        <v/>
      </c>
      <c r="E98" s="17">
        <f>SUM(INDIRECT(ADDRESS(76,5+(ROW()-89)*6)&amp;":"&amp;ADDRESS(76+COLUMN()-3,5+(ROW()-89)*6)))</f>
        <v/>
      </c>
      <c r="F98" s="17">
        <f>SUM(INDIRECT(ADDRESS(76,5+(ROW()-89)*6)&amp;":"&amp;ADDRESS(76+COLUMN()-3,5+(ROW()-89)*6)))</f>
        <v/>
      </c>
      <c r="G98" s="17">
        <f>SUM(INDIRECT(ADDRESS(76,5+(ROW()-89)*6)&amp;":"&amp;ADDRESS(76+COLUMN()-3,5+(ROW()-89)*6)))</f>
        <v/>
      </c>
    </row>
    <row r="99" ht="15" customHeight="1"/>
    <row r="100" ht="15" customHeight="1"/>
    <row r="101" ht="15" customHeight="1">
      <c r="A101" s="65" t="inlineStr">
        <is>
          <t>Reduced A(S) Matrix based on Chebyshev Distance (k = 3,5)</t>
        </is>
      </c>
      <c r="B101" s="100" t="n"/>
      <c r="C101" s="100" t="n"/>
      <c r="D101" s="100" t="n"/>
      <c r="E101" s="100" t="n"/>
      <c r="F101" s="100" t="n"/>
      <c r="G101" s="101" t="n"/>
    </row>
    <row r="102" ht="15" customHeight="1">
      <c r="A102" s="10" t="inlineStr">
        <is>
          <t>Object</t>
        </is>
      </c>
      <c r="B102" s="19" t="inlineStr">
        <is>
          <t>Class</t>
        </is>
      </c>
      <c r="E102" s="28" t="inlineStr">
        <is>
          <t>a3</t>
        </is>
      </c>
      <c r="G102" s="28" t="inlineStr">
        <is>
          <t>a5</t>
        </is>
      </c>
    </row>
    <row r="103" ht="15" customHeight="1">
      <c r="A103" s="4" t="inlineStr">
        <is>
          <t>A(S1)</t>
        </is>
      </c>
      <c r="B103" s="5" t="n">
        <v>1</v>
      </c>
      <c r="E103" s="17">
        <f>E89</f>
        <v/>
      </c>
      <c r="G103" s="17">
        <f>G89</f>
        <v/>
      </c>
    </row>
    <row r="104" ht="15" customHeight="1">
      <c r="A104" s="4" t="inlineStr">
        <is>
          <t>A(S2)</t>
        </is>
      </c>
      <c r="B104" s="5" t="n">
        <v>1</v>
      </c>
      <c r="E104" s="17">
        <f>E90</f>
        <v/>
      </c>
      <c r="G104" s="17">
        <f>G90</f>
        <v/>
      </c>
    </row>
    <row r="105" ht="15" customHeight="1">
      <c r="A105" s="4" t="inlineStr">
        <is>
          <t>A(S3)</t>
        </is>
      </c>
      <c r="B105" s="5" t="n">
        <v>2</v>
      </c>
      <c r="E105" s="17">
        <f>E91</f>
        <v/>
      </c>
      <c r="G105" s="17">
        <f>G91</f>
        <v/>
      </c>
    </row>
    <row r="106" ht="15" customHeight="1">
      <c r="A106" s="4" t="inlineStr">
        <is>
          <t>A(S4)</t>
        </is>
      </c>
      <c r="B106" s="5" t="n">
        <v>1</v>
      </c>
      <c r="E106" s="17">
        <f>E92</f>
        <v/>
      </c>
      <c r="G106" s="17">
        <f>G92</f>
        <v/>
      </c>
    </row>
    <row r="107" ht="15" customHeight="1">
      <c r="A107" s="4" t="inlineStr">
        <is>
          <t>A(S5)</t>
        </is>
      </c>
      <c r="B107" s="5" t="n">
        <v>2</v>
      </c>
      <c r="E107" s="17">
        <f>E93</f>
        <v/>
      </c>
      <c r="G107" s="17">
        <f>G93</f>
        <v/>
      </c>
    </row>
    <row r="108" ht="15" customHeight="1">
      <c r="A108" s="4" t="inlineStr">
        <is>
          <t>A(S6)</t>
        </is>
      </c>
      <c r="B108" s="5" t="n">
        <v>1</v>
      </c>
      <c r="E108" s="17">
        <f>E94</f>
        <v/>
      </c>
      <c r="G108" s="17">
        <f>G94</f>
        <v/>
      </c>
    </row>
    <row r="109" ht="15" customHeight="1">
      <c r="A109" s="4" t="inlineStr">
        <is>
          <t>A(S7)</t>
        </is>
      </c>
      <c r="B109" s="5" t="n">
        <v>1</v>
      </c>
      <c r="E109" s="17">
        <f>E95</f>
        <v/>
      </c>
      <c r="G109" s="17">
        <f>G95</f>
        <v/>
      </c>
    </row>
    <row r="110" ht="15" customHeight="1">
      <c r="A110" s="4" t="inlineStr">
        <is>
          <t>A(S8)</t>
        </is>
      </c>
      <c r="B110" s="5" t="n">
        <v>1</v>
      </c>
      <c r="E110" s="17">
        <f>E96</f>
        <v/>
      </c>
      <c r="G110" s="17">
        <f>G96</f>
        <v/>
      </c>
    </row>
    <row r="111" ht="15" customHeight="1">
      <c r="A111" s="4" t="inlineStr">
        <is>
          <t>A(S9)</t>
        </is>
      </c>
      <c r="B111" s="5" t="n">
        <v>2</v>
      </c>
      <c r="E111" s="17">
        <f>E97</f>
        <v/>
      </c>
      <c r="G111" s="17">
        <f>G97</f>
        <v/>
      </c>
    </row>
    <row r="112" ht="15" customHeight="1">
      <c r="A112" s="4" t="inlineStr">
        <is>
          <t>A(S10)</t>
        </is>
      </c>
      <c r="B112" s="5" t="n">
        <v>2</v>
      </c>
      <c r="E112" s="17">
        <f>E98</f>
        <v/>
      </c>
      <c r="G112" s="17">
        <f>G98</f>
        <v/>
      </c>
    </row>
    <row r="113" ht="15" customHeight="1"/>
    <row r="114" ht="15" customHeight="1"/>
    <row r="115" ht="15" customHeight="1" thickBot="1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  <c r="AI115" s="48" t="n"/>
      <c r="AJ115" s="48" t="n"/>
      <c r="AK115" s="48" t="n"/>
      <c r="AL115" s="48" t="n"/>
      <c r="AM115" s="48" t="n"/>
      <c r="AN115" s="48" t="n"/>
      <c r="AO115" s="48" t="n"/>
      <c r="AP115" s="48" t="n"/>
      <c r="AQ115" s="48" t="n"/>
      <c r="AR115" s="48" t="n"/>
      <c r="AS115" s="48" t="n"/>
      <c r="AT115" s="48" t="n"/>
      <c r="AU115" s="48" t="n"/>
      <c r="AV115" s="48" t="n"/>
      <c r="AW115" s="48" t="n"/>
      <c r="AX115" s="48" t="n"/>
      <c r="AY115" s="48" t="n"/>
      <c r="AZ115" s="48" t="n"/>
      <c r="BA115" s="48" t="n"/>
      <c r="BB115" s="48" t="n"/>
      <c r="BC115" s="48" t="n"/>
      <c r="BD115" s="48" t="n"/>
      <c r="BE115" s="48" t="n"/>
      <c r="BF115" s="48" t="n"/>
      <c r="BG115" s="48" t="n"/>
    </row>
    <row r="116" ht="15" customHeight="1"/>
    <row r="117" ht="15" customHeight="1"/>
    <row r="118" ht="15" customHeight="1"/>
    <row r="119" ht="15" customHeight="1">
      <c r="A119" s="65" t="inlineStr">
        <is>
          <t>Canberra Distance Matrix of Dog-Wolf (10, 6, 2)</t>
        </is>
      </c>
      <c r="B119" s="100" t="n"/>
      <c r="C119" s="100" t="n"/>
      <c r="D119" s="100" t="n"/>
      <c r="E119" s="100" t="n"/>
      <c r="F119" s="100" t="n"/>
      <c r="G119" s="100" t="n"/>
      <c r="H119" s="100" t="n"/>
      <c r="I119" s="100" t="n"/>
      <c r="J119" s="100" t="n"/>
      <c r="K119" s="100" t="n"/>
      <c r="L119" s="101" t="n"/>
    </row>
    <row r="120" ht="15" customHeight="1">
      <c r="A120" s="3" t="inlineStr">
        <is>
          <t>№</t>
        </is>
      </c>
      <c r="B120" s="4" t="inlineStr">
        <is>
          <t>S1</t>
        </is>
      </c>
      <c r="C120" s="4" t="inlineStr">
        <is>
          <t>S2</t>
        </is>
      </c>
      <c r="D120" s="4" t="inlineStr">
        <is>
          <t>S3</t>
        </is>
      </c>
      <c r="E120" s="4" t="inlineStr">
        <is>
          <t>S4</t>
        </is>
      </c>
      <c r="F120" s="4" t="inlineStr">
        <is>
          <t>S5</t>
        </is>
      </c>
      <c r="G120" s="4" t="inlineStr">
        <is>
          <t>S6</t>
        </is>
      </c>
      <c r="H120" s="4" t="inlineStr">
        <is>
          <t>S7</t>
        </is>
      </c>
      <c r="I120" s="4" t="inlineStr">
        <is>
          <t>S8</t>
        </is>
      </c>
      <c r="J120" s="4" t="inlineStr">
        <is>
          <t>S9</t>
        </is>
      </c>
      <c r="K120" s="4" t="inlineStr">
        <is>
          <t>S10</t>
        </is>
      </c>
      <c r="L120" s="18" t="inlineStr">
        <is>
          <t>Class</t>
        </is>
      </c>
    </row>
    <row r="121" ht="15" customHeight="1">
      <c r="A121" s="4" t="inlineStr">
        <is>
          <t>S1</t>
        </is>
      </c>
      <c r="B121" s="13" t="n">
        <v>0</v>
      </c>
      <c r="C121" s="13" t="n">
        <v>0.5458</v>
      </c>
      <c r="D121" s="13" t="n">
        <v>1.037357</v>
      </c>
      <c r="E121" s="13" t="n">
        <v>0.562835</v>
      </c>
      <c r="F121" s="13" t="n">
        <v>1.152085</v>
      </c>
      <c r="G121" s="13" t="n">
        <v>0.681679</v>
      </c>
      <c r="H121" s="13" t="n">
        <v>0.574291</v>
      </c>
      <c r="I121" s="13" t="n">
        <v>0.624456</v>
      </c>
      <c r="J121" s="13" t="n">
        <v>1.12375</v>
      </c>
      <c r="K121" s="13" t="n">
        <v>1.108506</v>
      </c>
      <c r="L121" s="5" t="n">
        <v>1</v>
      </c>
    </row>
    <row r="122" ht="15" customHeight="1">
      <c r="A122" s="4" t="inlineStr">
        <is>
          <t>S2</t>
        </is>
      </c>
      <c r="B122" s="13" t="n">
        <v>0.5458</v>
      </c>
      <c r="C122" s="13" t="n">
        <v>0</v>
      </c>
      <c r="D122" s="13" t="n">
        <v>0.499569</v>
      </c>
      <c r="E122" s="13" t="n">
        <v>0.309767</v>
      </c>
      <c r="F122" s="13" t="n">
        <v>0.6314959999999999</v>
      </c>
      <c r="G122" s="13" t="n">
        <v>0.338296</v>
      </c>
      <c r="H122" s="13" t="n">
        <v>0.504348</v>
      </c>
      <c r="I122" s="13" t="n">
        <v>0.443457</v>
      </c>
      <c r="J122" s="13" t="n">
        <v>0.666275</v>
      </c>
      <c r="K122" s="13" t="n">
        <v>0.726947</v>
      </c>
      <c r="L122" s="5" t="n">
        <v>1</v>
      </c>
    </row>
    <row r="123" ht="15" customHeight="1">
      <c r="A123" s="4" t="inlineStr">
        <is>
          <t>S3</t>
        </is>
      </c>
      <c r="B123" s="13" t="n">
        <v>1.037357</v>
      </c>
      <c r="C123" s="13" t="n">
        <v>0.499569</v>
      </c>
      <c r="D123" s="13" t="n">
        <v>0</v>
      </c>
      <c r="E123" s="13" t="n">
        <v>0.509731</v>
      </c>
      <c r="F123" s="13" t="n">
        <v>0.20267</v>
      </c>
      <c r="G123" s="13" t="n">
        <v>0.361524</v>
      </c>
      <c r="H123" s="13" t="n">
        <v>0.827811</v>
      </c>
      <c r="I123" s="13" t="n">
        <v>0.6453100000000001</v>
      </c>
      <c r="J123" s="13" t="n">
        <v>0.243855</v>
      </c>
      <c r="K123" s="13" t="n">
        <v>0.41928</v>
      </c>
      <c r="L123" s="5" t="n">
        <v>2</v>
      </c>
    </row>
    <row r="124" ht="15" customHeight="1">
      <c r="A124" s="4" t="inlineStr">
        <is>
          <t>S4</t>
        </is>
      </c>
      <c r="B124" s="13" t="n">
        <v>0.562835</v>
      </c>
      <c r="C124" s="13" t="n">
        <v>0.309767</v>
      </c>
      <c r="D124" s="13" t="n">
        <v>0.509731</v>
      </c>
      <c r="E124" s="13" t="n">
        <v>0</v>
      </c>
      <c r="F124" s="13" t="n">
        <v>0.683634</v>
      </c>
      <c r="G124" s="13" t="n">
        <v>0.220516</v>
      </c>
      <c r="H124" s="13" t="n">
        <v>0.321289</v>
      </c>
      <c r="I124" s="13" t="n">
        <v>0.202204</v>
      </c>
      <c r="J124" s="13" t="n">
        <v>0.719195</v>
      </c>
      <c r="K124" s="13" t="n">
        <v>0.742254</v>
      </c>
      <c r="L124" s="5" t="n">
        <v>1</v>
      </c>
    </row>
    <row r="125" ht="15" customHeight="1">
      <c r="A125" s="4" t="inlineStr">
        <is>
          <t>S5</t>
        </is>
      </c>
      <c r="B125" s="13" t="n">
        <v>1.152085</v>
      </c>
      <c r="C125" s="13" t="n">
        <v>0.6314959999999999</v>
      </c>
      <c r="D125" s="13" t="n">
        <v>0.20267</v>
      </c>
      <c r="E125" s="13" t="n">
        <v>0.683634</v>
      </c>
      <c r="F125" s="13" t="n">
        <v>0</v>
      </c>
      <c r="G125" s="13" t="n">
        <v>0.536945</v>
      </c>
      <c r="H125" s="13" t="n">
        <v>1.00024</v>
      </c>
      <c r="I125" s="13" t="n">
        <v>0.818746</v>
      </c>
      <c r="J125" s="13" t="n">
        <v>0.073197</v>
      </c>
      <c r="K125" s="13" t="n">
        <v>0.216996</v>
      </c>
      <c r="L125" s="5" t="n">
        <v>2</v>
      </c>
    </row>
    <row r="126" ht="15" customHeight="1">
      <c r="A126" s="4" t="inlineStr">
        <is>
          <t>S6</t>
        </is>
      </c>
      <c r="B126" s="13" t="n">
        <v>0.681679</v>
      </c>
      <c r="C126" s="13" t="n">
        <v>0.338296</v>
      </c>
      <c r="D126" s="13" t="n">
        <v>0.361524</v>
      </c>
      <c r="E126" s="13" t="n">
        <v>0.220516</v>
      </c>
      <c r="F126" s="13" t="n">
        <v>0.536945</v>
      </c>
      <c r="G126" s="13" t="n">
        <v>0</v>
      </c>
      <c r="H126" s="13" t="n">
        <v>0.469841</v>
      </c>
      <c r="I126" s="13" t="n">
        <v>0.284946</v>
      </c>
      <c r="J126" s="13" t="n">
        <v>0.572677</v>
      </c>
      <c r="K126" s="13" t="n">
        <v>0.5713510000000001</v>
      </c>
      <c r="L126" s="5" t="n">
        <v>1</v>
      </c>
    </row>
    <row r="127" ht="15" customHeight="1">
      <c r="A127" s="4" t="inlineStr">
        <is>
          <t>S7</t>
        </is>
      </c>
      <c r="B127" s="13" t="n">
        <v>0.574291</v>
      </c>
      <c r="C127" s="13" t="n">
        <v>0.504348</v>
      </c>
      <c r="D127" s="13" t="n">
        <v>0.827811</v>
      </c>
      <c r="E127" s="13" t="n">
        <v>0.321289</v>
      </c>
      <c r="F127" s="13" t="n">
        <v>1.00024</v>
      </c>
      <c r="G127" s="13" t="n">
        <v>0.469841</v>
      </c>
      <c r="H127" s="13" t="n">
        <v>0</v>
      </c>
      <c r="I127" s="13" t="n">
        <v>0.185537</v>
      </c>
      <c r="J127" s="13" t="n">
        <v>1.03472</v>
      </c>
      <c r="K127" s="13" t="n">
        <v>1.033188</v>
      </c>
      <c r="L127" s="5" t="n">
        <v>1</v>
      </c>
    </row>
    <row r="128" ht="15" customHeight="1">
      <c r="A128" s="4" t="inlineStr">
        <is>
          <t>S8</t>
        </is>
      </c>
      <c r="B128" s="13" t="n">
        <v>0.624456</v>
      </c>
      <c r="C128" s="13" t="n">
        <v>0.443457</v>
      </c>
      <c r="D128" s="13" t="n">
        <v>0.6453100000000001</v>
      </c>
      <c r="E128" s="13" t="n">
        <v>0.202204</v>
      </c>
      <c r="F128" s="13" t="n">
        <v>0.818746</v>
      </c>
      <c r="G128" s="13" t="n">
        <v>0.284946</v>
      </c>
      <c r="H128" s="13" t="n">
        <v>0.185537</v>
      </c>
      <c r="I128" s="13" t="n">
        <v>0</v>
      </c>
      <c r="J128" s="13" t="n">
        <v>0.8537439999999999</v>
      </c>
      <c r="K128" s="13" t="n">
        <v>0.851668</v>
      </c>
      <c r="L128" s="5" t="n">
        <v>1</v>
      </c>
    </row>
    <row r="129" ht="15" customHeight="1">
      <c r="A129" s="4" t="inlineStr">
        <is>
          <t>S9</t>
        </is>
      </c>
      <c r="B129" s="13" t="n">
        <v>1.12375</v>
      </c>
      <c r="C129" s="13" t="n">
        <v>0.666275</v>
      </c>
      <c r="D129" s="13" t="n">
        <v>0.243855</v>
      </c>
      <c r="E129" s="13" t="n">
        <v>0.719195</v>
      </c>
      <c r="F129" s="13" t="n">
        <v>0.073197</v>
      </c>
      <c r="G129" s="13" t="n">
        <v>0.572677</v>
      </c>
      <c r="H129" s="13" t="n">
        <v>1.03472</v>
      </c>
      <c r="I129" s="13" t="n">
        <v>0.8537439999999999</v>
      </c>
      <c r="J129" s="13" t="n">
        <v>0</v>
      </c>
      <c r="K129" s="13" t="n">
        <v>0.175677</v>
      </c>
      <c r="L129" s="5" t="n">
        <v>2</v>
      </c>
    </row>
    <row r="130" ht="15" customHeight="1">
      <c r="A130" s="4" t="inlineStr">
        <is>
          <t>S10</t>
        </is>
      </c>
      <c r="B130" s="13" t="n">
        <v>1.108506</v>
      </c>
      <c r="C130" s="13" t="n">
        <v>0.726947</v>
      </c>
      <c r="D130" s="13" t="n">
        <v>0.41928</v>
      </c>
      <c r="E130" s="13" t="n">
        <v>0.742254</v>
      </c>
      <c r="F130" s="13" t="n">
        <v>0.216996</v>
      </c>
      <c r="G130" s="13" t="n">
        <v>0.5713510000000001</v>
      </c>
      <c r="H130" s="13" t="n">
        <v>1.033188</v>
      </c>
      <c r="I130" s="13" t="n">
        <v>0.851668</v>
      </c>
      <c r="J130" s="13" t="n">
        <v>0.175677</v>
      </c>
      <c r="K130" s="13" t="n">
        <v>0</v>
      </c>
      <c r="L130" s="5" t="n">
        <v>2</v>
      </c>
    </row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3.95" customHeight="1"/>
    <row r="202" ht="13.95" customHeight="1"/>
    <row r="203" ht="13.95" customHeight="1"/>
    <row r="204" ht="13.95" customHeight="1"/>
    <row r="205" ht="13.95" customHeight="1"/>
    <row r="206" ht="13.95" customHeight="1"/>
    <row r="207" ht="13.95" customHeight="1"/>
    <row r="208" ht="13.95" customHeight="1"/>
    <row r="209" ht="13.95" customHeight="1"/>
    <row r="210" ht="13.95" customHeight="1"/>
    <row r="211" ht="13.95" customHeight="1"/>
    <row r="212" ht="13.95" customHeight="1"/>
    <row r="213" ht="13.95" customHeight="1"/>
    <row r="214" ht="13.95" customHeight="1"/>
    <row r="215" ht="13.95" customHeight="1"/>
    <row r="216" ht="13.95" customHeight="1"/>
    <row r="217" ht="13.95" customHeight="1"/>
    <row r="218" ht="13.95" customHeight="1"/>
    <row r="219" ht="13.95" customHeight="1"/>
    <row r="220" ht="13.95" customHeight="1"/>
    <row r="221" ht="13.95" customHeight="1"/>
    <row r="222" ht="13.95" customHeight="1"/>
    <row r="223" ht="13.95" customHeight="1"/>
    <row r="224" ht="13.95" customHeight="1"/>
    <row r="225" ht="13.95" customHeight="1"/>
    <row r="226" ht="13.95" customHeight="1"/>
    <row r="227" ht="13.95" customHeight="1"/>
    <row r="228" ht="13.95" customHeight="1"/>
    <row r="229" ht="13.95" customHeight="1"/>
    <row r="230" ht="13.95" customHeight="1"/>
    <row r="231" ht="13.95" customHeight="1"/>
    <row r="232" ht="13.95" customHeight="1"/>
    <row r="233" ht="13.95" customHeight="1"/>
    <row r="234" ht="13.95" customHeight="1"/>
    <row r="235" ht="13.95" customHeight="1"/>
    <row r="236" ht="13.95" customHeight="1"/>
    <row r="237" ht="13.95" customHeight="1"/>
    <row r="238" ht="13.95" customHeight="1"/>
    <row r="239" ht="13.95" customHeight="1"/>
    <row r="240" ht="13.95" customHeight="1"/>
    <row r="241" ht="13.95" customHeight="1"/>
    <row r="242" ht="13.95" customHeight="1"/>
    <row r="243" ht="13.95" customHeight="1"/>
    <row r="244" ht="13.95" customHeight="1"/>
    <row r="245" ht="13.95" customHeight="1"/>
    <row r="246" ht="13.95" customHeight="1"/>
    <row r="247" ht="13.95" customHeight="1"/>
    <row r="248" ht="13.95" customHeight="1"/>
    <row r="249" ht="13.95" customHeight="1"/>
    <row r="250" ht="13.95" customHeight="1"/>
    <row r="251" ht="13.95" customHeight="1"/>
    <row r="252" ht="13.95" customHeight="1"/>
    <row r="253" ht="13.95" customHeight="1"/>
    <row r="254" ht="13.95" customHeight="1"/>
    <row r="255" ht="13.95" customHeight="1"/>
    <row r="256" ht="13.95" customHeight="1"/>
    <row r="257" ht="13.95" customHeight="1"/>
    <row r="258" ht="13.95" customHeight="1"/>
    <row r="259" ht="13.95" customHeight="1"/>
    <row r="260" ht="13.95" customHeight="1"/>
    <row r="261" ht="13.95" customHeight="1"/>
    <row r="262" ht="13.95" customHeight="1"/>
    <row r="263" ht="13.95" customHeight="1"/>
    <row r="264" ht="13.95" customHeight="1"/>
    <row r="265" ht="13.95" customHeight="1"/>
    <row r="266" ht="13.95" customHeight="1"/>
    <row r="267" ht="13.95" customHeight="1"/>
    <row r="268" ht="13.95" customHeight="1"/>
    <row r="269" ht="13.95" customHeight="1"/>
    <row r="270" ht="13.95" customHeight="1"/>
    <row r="271" ht="13.95" customHeight="1"/>
    <row r="272" ht="13.95" customHeight="1"/>
    <row r="273" ht="13.95" customHeight="1"/>
    <row r="274" ht="13.95" customHeight="1"/>
    <row r="275" ht="13.95" customHeight="1"/>
    <row r="276" ht="13.95" customHeight="1"/>
    <row r="277" ht="13.95" customHeight="1"/>
    <row r="278" ht="13.95" customHeight="1"/>
    <row r="279" ht="13.95" customHeight="1"/>
    <row r="280" ht="13.95" customHeight="1"/>
    <row r="281" ht="13.95" customHeight="1"/>
    <row r="282" ht="13.95" customHeight="1"/>
    <row r="283" ht="13.95" customHeight="1"/>
    <row r="284" ht="13.95" customHeight="1"/>
    <row r="285" ht="13.95" customHeight="1"/>
    <row r="286" ht="13.95" customHeight="1"/>
    <row r="287" ht="13.95" customHeight="1"/>
    <row r="288" ht="13.95" customHeight="1"/>
    <row r="289" ht="13.95" customHeight="1"/>
    <row r="290" ht="13.95" customHeight="1"/>
    <row r="291" ht="13.95" customHeight="1"/>
    <row r="292" ht="13.95" customHeight="1"/>
    <row r="293" ht="13.95" customHeight="1"/>
    <row r="294" ht="13.95" customHeight="1"/>
    <row r="295" ht="13.95" customHeight="1"/>
    <row r="296" ht="13.95" customHeight="1"/>
    <row r="297" ht="13.95" customHeight="1"/>
    <row r="298" ht="13.95" customHeight="1"/>
    <row r="299" ht="13.95" customHeight="1"/>
    <row r="300" ht="13.95" customHeight="1"/>
    <row r="301" ht="13.95" customHeight="1"/>
    <row r="302" ht="13.95" customHeight="1"/>
    <row r="303" ht="13.95" customHeight="1"/>
    <row r="304" ht="13.95" customHeight="1"/>
    <row r="305" ht="13.95" customHeight="1"/>
    <row r="306" ht="13.95" customHeight="1"/>
    <row r="307" ht="13.95" customHeight="1"/>
    <row r="308" ht="13.95" customHeight="1"/>
    <row r="309" ht="13.95" customHeight="1"/>
    <row r="310" ht="13.95" customHeight="1"/>
    <row r="311" ht="13.95" customHeight="1"/>
    <row r="312" ht="13.95" customHeight="1"/>
    <row r="313" ht="13.95" customHeight="1"/>
    <row r="314" ht="13.95" customHeight="1"/>
    <row r="315" ht="13.95" customHeight="1"/>
    <row r="316" ht="13.95" customHeight="1"/>
    <row r="317" ht="13.95" customHeight="1"/>
    <row r="318" ht="13.95" customHeight="1"/>
    <row r="319" ht="13.95" customHeight="1"/>
    <row r="320" ht="13.95" customHeight="1"/>
    <row r="321" ht="13.95" customHeight="1"/>
    <row r="322" ht="13.95" customHeight="1"/>
    <row r="323" ht="13.95" customHeight="1"/>
    <row r="324" ht="13.95" customHeight="1"/>
    <row r="325" ht="13.95" customHeight="1"/>
    <row r="326" ht="13.95" customHeight="1"/>
    <row r="327" ht="13.95" customHeight="1"/>
    <row r="328" ht="13.95" customHeight="1"/>
    <row r="329" ht="13.95" customHeight="1"/>
    <row r="330" ht="13.95" customHeight="1"/>
    <row r="331" ht="13.95" customHeight="1"/>
    <row r="332" ht="13.95" customHeight="1"/>
    <row r="333" ht="13.95" customHeight="1"/>
    <row r="334" ht="13.95" customHeight="1"/>
    <row r="335" ht="13.95" customHeight="1"/>
    <row r="336" ht="13.95" customHeight="1"/>
    <row r="337" ht="13.95" customHeight="1"/>
    <row r="338" ht="13.95" customHeight="1"/>
    <row r="339" ht="13.95" customHeight="1"/>
    <row r="340" ht="13.95" customHeight="1"/>
    <row r="341" ht="13.95" customHeight="1"/>
    <row r="342" ht="13.95" customHeight="1"/>
    <row r="343" ht="13.95" customHeight="1"/>
    <row r="344" ht="13.95" customHeight="1"/>
    <row r="345" ht="13.95" customHeight="1"/>
    <row r="346" ht="13.95" customHeight="1"/>
    <row r="347" ht="13.95" customHeight="1"/>
    <row r="348" ht="13.95" customHeight="1"/>
    <row r="349" ht="13.95" customHeight="1"/>
    <row r="350" ht="13.95" customHeight="1"/>
    <row r="351" ht="13.95" customHeight="1"/>
    <row r="352" ht="13.95" customHeight="1"/>
    <row r="353" ht="13.95" customHeight="1"/>
    <row r="354" ht="13.95" customHeight="1"/>
    <row r="355" ht="13.95" customHeight="1"/>
    <row r="356" ht="13.95" customHeight="1"/>
    <row r="357" ht="13.95" customHeight="1"/>
    <row r="358" ht="13.95" customHeight="1"/>
    <row r="359" ht="13.95" customHeight="1"/>
    <row r="360" ht="13.95" customHeight="1"/>
    <row r="361" ht="13.95" customHeight="1"/>
    <row r="362" ht="13.95" customHeight="1"/>
    <row r="363" ht="13.95" customHeight="1"/>
    <row r="364" ht="13.95" customHeight="1"/>
    <row r="365" ht="13.95" customHeight="1"/>
    <row r="366" ht="13.95" customHeight="1"/>
    <row r="367" ht="13.95" customHeight="1"/>
    <row r="368" ht="13.95" customHeight="1"/>
    <row r="369" ht="13.95" customHeight="1"/>
    <row r="370" ht="13.95" customHeight="1"/>
    <row r="371" ht="13.95" customHeight="1"/>
    <row r="372" ht="13.95" customHeight="1"/>
    <row r="373" ht="13.95" customHeight="1"/>
    <row r="374" ht="13.95" customHeight="1"/>
    <row r="375" ht="13.95" customHeight="1"/>
    <row r="376" ht="13.95" customHeight="1"/>
    <row r="377" ht="13.95" customHeight="1"/>
    <row r="378" ht="13.95" customHeight="1"/>
    <row r="379" ht="13.95" customHeight="1"/>
    <row r="380" ht="13.95" customHeight="1"/>
    <row r="381" ht="13.95" customHeight="1"/>
    <row r="382" ht="13.95" customHeight="1"/>
    <row r="383" ht="13.95" customHeight="1"/>
    <row r="384" ht="13.95" customHeight="1"/>
    <row r="385" ht="13.95" customHeight="1"/>
    <row r="386" ht="13.95" customHeight="1"/>
    <row r="387" ht="13.95" customHeight="1"/>
    <row r="388" ht="13.95" customHeight="1"/>
    <row r="389" ht="13.95" customHeight="1"/>
    <row r="390" ht="13.95" customHeight="1"/>
    <row r="391" ht="13.95" customHeight="1"/>
    <row r="392" ht="13.95" customHeight="1"/>
    <row r="393" ht="13.95" customHeight="1"/>
    <row r="394" ht="13.95" customHeight="1"/>
    <row r="395" ht="13.95" customHeight="1"/>
    <row r="396" ht="13.95" customHeight="1"/>
    <row r="397" ht="13.95" customHeight="1"/>
    <row r="398" ht="13.95" customHeight="1"/>
    <row r="399" ht="13.95" customHeight="1"/>
    <row r="400" ht="13.95" customHeight="1"/>
    <row r="401" ht="13.95" customHeight="1"/>
  </sheetData>
  <mergeCells count="33">
    <mergeCell ref="AQ74:AU74"/>
    <mergeCell ref="I32:I33"/>
    <mergeCell ref="BC74:BG74"/>
    <mergeCell ref="A15:E15"/>
    <mergeCell ref="BC15:BG15"/>
    <mergeCell ref="Y15:AC15"/>
    <mergeCell ref="A28:G28"/>
    <mergeCell ref="Y74:AC74"/>
    <mergeCell ref="AK74:AO74"/>
    <mergeCell ref="AK15:AO15"/>
    <mergeCell ref="AW15:BA15"/>
    <mergeCell ref="A74:E74"/>
    <mergeCell ref="I44:J45"/>
    <mergeCell ref="G74:K74"/>
    <mergeCell ref="M74:Q74"/>
    <mergeCell ref="AW74:BA74"/>
    <mergeCell ref="G15:K15"/>
    <mergeCell ref="M15:Q15"/>
    <mergeCell ref="A87:G87"/>
    <mergeCell ref="S15:W15"/>
    <mergeCell ref="K29:L30"/>
    <mergeCell ref="I29:I30"/>
    <mergeCell ref="S74:W74"/>
    <mergeCell ref="K32:L33"/>
    <mergeCell ref="AE74:AI74"/>
    <mergeCell ref="A60:L60"/>
    <mergeCell ref="AE15:AI15"/>
    <mergeCell ref="A1:L1"/>
    <mergeCell ref="A101:G101"/>
    <mergeCell ref="A119:L119"/>
    <mergeCell ref="AQ15:AU15"/>
    <mergeCell ref="I47:J48"/>
    <mergeCell ref="A42:G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E17" sqref="E17"/>
    </sheetView>
  </sheetViews>
  <sheetFormatPr baseColWidth="8" defaultRowHeight="14.4"/>
  <cols>
    <col width="10.77734375" customWidth="1" min="1" max="9"/>
    <col width="11.77734375" customWidth="1" min="10" max="12"/>
    <col width="10.77734375" customWidth="1" min="13" max="14"/>
  </cols>
  <sheetData>
    <row r="1" ht="15" customHeight="1">
      <c r="A1" s="65" t="inlineStr">
        <is>
          <t>Full A(S) Matrix based on Euclidean Distance (k = 1,2,3,4,5)</t>
        </is>
      </c>
      <c r="B1" s="100" t="n"/>
      <c r="C1" s="100" t="n"/>
      <c r="D1" s="100" t="n"/>
      <c r="E1" s="100" t="n"/>
      <c r="F1" s="100" t="n"/>
      <c r="G1" s="101" t="n"/>
    </row>
    <row r="2" ht="15" customHeight="1">
      <c r="A2" s="3" t="inlineStr">
        <is>
          <t>Object</t>
        </is>
      </c>
      <c r="B2" s="18" t="inlineStr">
        <is>
          <t>Class</t>
        </is>
      </c>
      <c r="C2" s="4" t="inlineStr">
        <is>
          <t>a1</t>
        </is>
      </c>
      <c r="D2" s="4" t="inlineStr">
        <is>
          <t>a2</t>
        </is>
      </c>
      <c r="E2" s="4" t="inlineStr">
        <is>
          <t>a3</t>
        </is>
      </c>
      <c r="F2" s="4" t="inlineStr">
        <is>
          <t>a4</t>
        </is>
      </c>
      <c r="G2" s="4" t="inlineStr">
        <is>
          <t>a5</t>
        </is>
      </c>
    </row>
    <row r="3" ht="15" customHeight="1">
      <c r="A3" s="4" t="inlineStr">
        <is>
          <t>A(S1)</t>
        </is>
      </c>
      <c r="B3" s="5" t="n">
        <v>1</v>
      </c>
      <c r="C3" s="17" t="n">
        <v>1</v>
      </c>
      <c r="D3" s="17" t="n">
        <v>2</v>
      </c>
      <c r="E3" s="17" t="n">
        <v>3</v>
      </c>
      <c r="F3" s="17" t="n">
        <v>4</v>
      </c>
      <c r="G3" s="17" t="n">
        <v>5</v>
      </c>
    </row>
    <row r="4" ht="15" customHeight="1">
      <c r="A4" s="4" t="inlineStr">
        <is>
          <t>A(S2)</t>
        </is>
      </c>
      <c r="B4" s="5" t="n">
        <v>1</v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</row>
    <row r="5" ht="15" customHeight="1">
      <c r="A5" s="4" t="inlineStr">
        <is>
          <t>A(S3)</t>
        </is>
      </c>
      <c r="B5" s="5" t="n">
        <v>2</v>
      </c>
      <c r="C5" s="17" t="n">
        <v>0</v>
      </c>
      <c r="D5" s="17" t="n">
        <v>1</v>
      </c>
      <c r="E5" s="17" t="n">
        <v>2</v>
      </c>
      <c r="F5" s="17" t="n">
        <v>2</v>
      </c>
      <c r="G5" s="17" t="n">
        <v>3</v>
      </c>
    </row>
    <row r="6" ht="15" customHeight="1">
      <c r="A6" s="4" t="inlineStr">
        <is>
          <t>A(S4)</t>
        </is>
      </c>
      <c r="B6" s="5" t="n">
        <v>1</v>
      </c>
      <c r="C6" s="17" t="n">
        <v>1</v>
      </c>
      <c r="D6" s="17" t="n">
        <v>2</v>
      </c>
      <c r="E6" s="17" t="n">
        <v>3</v>
      </c>
      <c r="F6" s="17" t="n">
        <v>4</v>
      </c>
      <c r="G6" s="17" t="n">
        <v>4</v>
      </c>
    </row>
    <row r="7" ht="15" customHeight="1">
      <c r="A7" s="4" t="inlineStr">
        <is>
          <t>A(S5)</t>
        </is>
      </c>
      <c r="B7" s="5" t="n">
        <v>2</v>
      </c>
      <c r="C7" s="17" t="n">
        <v>1</v>
      </c>
      <c r="D7" s="17" t="n">
        <v>2</v>
      </c>
      <c r="E7" s="17" t="n">
        <v>3</v>
      </c>
      <c r="F7" s="17" t="n">
        <v>3</v>
      </c>
      <c r="G7" s="17" t="n">
        <v>3</v>
      </c>
    </row>
    <row r="8" ht="15" customHeight="1">
      <c r="A8" s="4" t="inlineStr">
        <is>
          <t>A(S6)</t>
        </is>
      </c>
      <c r="B8" s="5" t="n">
        <v>1</v>
      </c>
      <c r="C8" s="17" t="n">
        <v>0</v>
      </c>
      <c r="D8" s="17" t="n">
        <v>1</v>
      </c>
      <c r="E8" s="17" t="n">
        <v>2</v>
      </c>
      <c r="F8" s="17" t="n">
        <v>3</v>
      </c>
      <c r="G8" s="17" t="n">
        <v>4</v>
      </c>
    </row>
    <row r="9" ht="15" customHeight="1">
      <c r="A9" s="4" t="inlineStr">
        <is>
          <t>A(S7)</t>
        </is>
      </c>
      <c r="B9" s="5" t="n">
        <v>1</v>
      </c>
      <c r="C9" s="17" t="n">
        <v>1</v>
      </c>
      <c r="D9" s="17" t="n">
        <v>2</v>
      </c>
      <c r="E9" s="17" t="n">
        <v>3</v>
      </c>
      <c r="F9" s="17" t="n">
        <v>4</v>
      </c>
      <c r="G9" s="17" t="n">
        <v>4</v>
      </c>
    </row>
    <row r="10" ht="15" customHeight="1">
      <c r="A10" s="4" t="inlineStr">
        <is>
          <t>A(S8)</t>
        </is>
      </c>
      <c r="B10" s="5" t="n">
        <v>1</v>
      </c>
      <c r="C10" s="17" t="n">
        <v>1</v>
      </c>
      <c r="D10" s="17" t="n">
        <v>2</v>
      </c>
      <c r="E10" s="17" t="n">
        <v>3</v>
      </c>
      <c r="F10" s="17" t="n">
        <v>4</v>
      </c>
      <c r="G10" s="17" t="n">
        <v>4</v>
      </c>
    </row>
    <row r="11" ht="15" customHeight="1">
      <c r="A11" s="4" t="inlineStr">
        <is>
          <t>A(S9)</t>
        </is>
      </c>
      <c r="B11" s="5" t="n">
        <v>2</v>
      </c>
      <c r="C11" s="17" t="n">
        <v>1</v>
      </c>
      <c r="D11" s="17" t="n">
        <v>2</v>
      </c>
      <c r="E11" s="17" t="n">
        <v>3</v>
      </c>
      <c r="F11" s="17" t="n">
        <v>3</v>
      </c>
      <c r="G11" s="17" t="n">
        <v>3</v>
      </c>
    </row>
    <row r="12" ht="15" customHeight="1">
      <c r="A12" s="4" t="inlineStr">
        <is>
          <t>A(S10)</t>
        </is>
      </c>
      <c r="B12" s="5" t="n">
        <v>2</v>
      </c>
      <c r="C12" s="17" t="n">
        <v>1</v>
      </c>
      <c r="D12" s="17" t="n">
        <v>2</v>
      </c>
      <c r="E12" s="17" t="n">
        <v>3</v>
      </c>
      <c r="F12" s="17" t="n">
        <v>3</v>
      </c>
      <c r="G12" s="17" t="n">
        <v>3</v>
      </c>
    </row>
    <row r="13" ht="15" customHeight="1"/>
    <row r="14" ht="15" customHeight="1"/>
    <row r="15" ht="15" customHeight="1" thickBot="1">
      <c r="A15" s="65" t="inlineStr">
        <is>
          <t>Full Binary Euclidean</t>
        </is>
      </c>
      <c r="B15" s="100" t="n"/>
      <c r="C15" s="100" t="n"/>
      <c r="D15" s="100" t="n"/>
      <c r="E15" s="100" t="n"/>
      <c r="F15" s="100" t="n"/>
      <c r="G15" s="101" t="n"/>
    </row>
    <row r="16" ht="15" customHeight="1">
      <c r="A16" s="10" t="inlineStr">
        <is>
          <t>Object</t>
        </is>
      </c>
      <c r="B16" s="19" t="inlineStr">
        <is>
          <t>Class</t>
        </is>
      </c>
      <c r="C16" s="20" t="inlineStr">
        <is>
          <t>b1</t>
        </is>
      </c>
      <c r="D16" s="20" t="inlineStr">
        <is>
          <t>b2</t>
        </is>
      </c>
      <c r="E16" s="20" t="inlineStr">
        <is>
          <t>b3</t>
        </is>
      </c>
      <c r="F16" s="20" t="inlineStr">
        <is>
          <t>b4</t>
        </is>
      </c>
      <c r="G16" s="20" t="inlineStr">
        <is>
          <t>b5</t>
        </is>
      </c>
      <c r="I16" s="116" t="inlineStr">
        <is>
          <t>Majority Rule (Majorant Principle)</t>
        </is>
      </c>
      <c r="J16" s="108" t="n"/>
      <c r="K16" s="103" t="n"/>
    </row>
    <row r="17" ht="15" customHeight="1">
      <c r="A17" s="4" t="inlineStr">
        <is>
          <t>b(S1)</t>
        </is>
      </c>
      <c r="B17" s="5" t="n">
        <v>1</v>
      </c>
      <c r="C17" s="26">
        <f>IF(C3/1&gt;0.5,1,0)</f>
        <v/>
      </c>
      <c r="D17" s="26">
        <f>IF(D3/2&gt;0.5,1,0)</f>
        <v/>
      </c>
      <c r="E17" s="26">
        <f>IF(E3/3&gt;0.5,1,0)</f>
        <v/>
      </c>
      <c r="F17" s="26">
        <f>IF(F3/4&gt;0.5,1,0)</f>
        <v/>
      </c>
      <c r="G17" s="26">
        <f>IF(G3/5&gt;0.5,1,0)</f>
        <v/>
      </c>
      <c r="I17" s="104" t="n"/>
      <c r="K17" s="105" t="n"/>
    </row>
    <row r="18" ht="15" customHeight="1">
      <c r="A18" s="4" t="inlineStr">
        <is>
          <t>b(S2)</t>
        </is>
      </c>
      <c r="B18" s="5" t="n">
        <v>1</v>
      </c>
      <c r="C18" s="26">
        <f>IF(C4/1&gt;0.5,1,0)</f>
        <v/>
      </c>
      <c r="D18" s="26">
        <f>IF(D4/2&gt;0.5,1,0)</f>
        <v/>
      </c>
      <c r="E18" s="26">
        <f>IF(E4/3&gt;0.5,1,0)</f>
        <v/>
      </c>
      <c r="F18" s="26">
        <f>IF(F4/4&gt;0.5,1,0)</f>
        <v/>
      </c>
      <c r="G18" s="26">
        <f>IF(G4/5&gt;0.5,1,0)</f>
        <v/>
      </c>
      <c r="I18" s="104" t="n"/>
      <c r="K18" s="105" t="n"/>
    </row>
    <row r="19" ht="15" customHeight="1">
      <c r="A19" s="4" t="inlineStr">
        <is>
          <t>b(S3)</t>
        </is>
      </c>
      <c r="B19" s="5" t="n">
        <v>2</v>
      </c>
      <c r="C19" s="26">
        <f>IF(C5/1&gt;0.5,1,0)</f>
        <v/>
      </c>
      <c r="D19" s="26">
        <f>IF(D5/2&gt;0.5,1,0)</f>
        <v/>
      </c>
      <c r="E19" s="26">
        <f>IF(E5/3&gt;0.5,1,0)</f>
        <v/>
      </c>
      <c r="F19" s="26">
        <f>IF(F5/4&gt;0.5,1,0)</f>
        <v/>
      </c>
      <c r="G19" s="26">
        <f>IF(G5/5&gt;0.5,1,0)</f>
        <v/>
      </c>
      <c r="I19" s="104" t="n"/>
      <c r="K19" s="105" t="n"/>
    </row>
    <row r="20" ht="15" customHeight="1">
      <c r="A20" s="4" t="inlineStr">
        <is>
          <t>b(S4)</t>
        </is>
      </c>
      <c r="B20" s="5" t="n">
        <v>1</v>
      </c>
      <c r="C20" s="26">
        <f>IF(C6/1&gt;0.5,1,0)</f>
        <v/>
      </c>
      <c r="D20" s="26">
        <f>IF(D6/2&gt;0.5,1,0)</f>
        <v/>
      </c>
      <c r="E20" s="26">
        <f>IF(E6/3&gt;0.5,1,0)</f>
        <v/>
      </c>
      <c r="F20" s="26">
        <f>IF(F6/4&gt;0.5,1,0)</f>
        <v/>
      </c>
      <c r="G20" s="26">
        <f>IF(G6/5&gt;0.5,1,0)</f>
        <v/>
      </c>
      <c r="I20" s="104" t="n"/>
      <c r="K20" s="105" t="n"/>
    </row>
    <row r="21" ht="15" customHeight="1" thickBot="1">
      <c r="A21" s="4" t="inlineStr">
        <is>
          <t>b(S5)</t>
        </is>
      </c>
      <c r="B21" s="5" t="n">
        <v>2</v>
      </c>
      <c r="C21" s="26">
        <f>IF(C7/1&gt;0.5,1,0)</f>
        <v/>
      </c>
      <c r="D21" s="26">
        <f>IF(D7/2&gt;0.5,1,0)</f>
        <v/>
      </c>
      <c r="E21" s="26">
        <f>IF(E7/3&gt;0.5,1,0)</f>
        <v/>
      </c>
      <c r="F21" s="26">
        <f>IF(F7/4&gt;0.5,1,0)</f>
        <v/>
      </c>
      <c r="G21" s="26">
        <f>IF(G7/5&gt;0.5,1,0)</f>
        <v/>
      </c>
      <c r="I21" s="106" t="n"/>
      <c r="J21" s="48" t="n"/>
      <c r="K21" s="107" t="n"/>
    </row>
    <row r="22" ht="15" customHeight="1">
      <c r="A22" s="4" t="inlineStr">
        <is>
          <t>b(S6)</t>
        </is>
      </c>
      <c r="B22" s="5" t="n">
        <v>1</v>
      </c>
      <c r="C22" s="26">
        <f>IF(C8/1&gt;0.5,1,0)</f>
        <v/>
      </c>
      <c r="D22" s="26">
        <f>IF(D8/2&gt;0.5,1,0)</f>
        <v/>
      </c>
      <c r="E22" s="26">
        <f>IF(E8/3&gt;0.5,1,0)</f>
        <v/>
      </c>
      <c r="F22" s="26">
        <f>IF(F8/4&gt;0.5,1,0)</f>
        <v/>
      </c>
      <c r="G22" s="26">
        <f>IF(G8/5&gt;0.5,1,0)</f>
        <v/>
      </c>
    </row>
    <row r="23" ht="15" customHeight="1">
      <c r="A23" s="4" t="inlineStr">
        <is>
          <t>b(S7)</t>
        </is>
      </c>
      <c r="B23" s="5" t="n">
        <v>1</v>
      </c>
      <c r="C23" s="26">
        <f>IF(C9/1&gt;0.5,1,0)</f>
        <v/>
      </c>
      <c r="D23" s="26">
        <f>IF(D9/2&gt;0.5,1,0)</f>
        <v/>
      </c>
      <c r="E23" s="26">
        <f>IF(E9/3&gt;0.5,1,0)</f>
        <v/>
      </c>
      <c r="F23" s="26">
        <f>IF(F9/4&gt;0.5,1,0)</f>
        <v/>
      </c>
      <c r="G23" s="26">
        <f>IF(G9/5&gt;0.5,1,0)</f>
        <v/>
      </c>
    </row>
    <row r="24" ht="15" customHeight="1">
      <c r="A24" s="4" t="inlineStr">
        <is>
          <t>b(S8)</t>
        </is>
      </c>
      <c r="B24" s="5" t="n">
        <v>1</v>
      </c>
      <c r="C24" s="26">
        <f>IF(C10/1&gt;0.5,1,0)</f>
        <v/>
      </c>
      <c r="D24" s="26">
        <f>IF(D10/2&gt;0.5,1,0)</f>
        <v/>
      </c>
      <c r="E24" s="26">
        <f>IF(E10/3&gt;0.5,1,0)</f>
        <v/>
      </c>
      <c r="F24" s="26">
        <f>IF(F10/4&gt;0.5,1,0)</f>
        <v/>
      </c>
      <c r="G24" s="26">
        <f>IF(G10/5&gt;0.5,1,0)</f>
        <v/>
      </c>
    </row>
    <row r="25" ht="15" customHeight="1">
      <c r="A25" s="4" t="inlineStr">
        <is>
          <t>b(S9)</t>
        </is>
      </c>
      <c r="B25" s="5" t="n">
        <v>2</v>
      </c>
      <c r="C25" s="26">
        <f>IF(C11/1&gt;0.5,1,0)</f>
        <v/>
      </c>
      <c r="D25" s="26">
        <f>IF(D11/2&gt;0.5,1,0)</f>
        <v/>
      </c>
      <c r="E25" s="26">
        <f>IF(E11/3&gt;0.5,1,0)</f>
        <v/>
      </c>
      <c r="F25" s="26">
        <f>IF(F11/4&gt;0.5,1,0)</f>
        <v/>
      </c>
      <c r="G25" s="26">
        <f>IF(G11/5&gt;0.5,1,0)</f>
        <v/>
      </c>
    </row>
    <row r="26" ht="15" customHeight="1">
      <c r="A26" s="4" t="inlineStr">
        <is>
          <t>b(S10)</t>
        </is>
      </c>
      <c r="B26" s="5" t="n">
        <v>2</v>
      </c>
      <c r="C26" s="26">
        <f>IF(C12/1&gt;0.5,1,0)</f>
        <v/>
      </c>
      <c r="D26" s="26">
        <f>IF(D12/2&gt;0.5,1,0)</f>
        <v/>
      </c>
      <c r="E26" s="26">
        <f>IF(E12/3&gt;0.5,1,0)</f>
        <v/>
      </c>
      <c r="F26" s="26">
        <f>IF(F12/4&gt;0.5,1,0)</f>
        <v/>
      </c>
      <c r="G26" s="26">
        <f>IF(G12/5&gt;0.5,1,0)</f>
        <v/>
      </c>
    </row>
    <row r="27" ht="15" customHeight="1"/>
    <row r="28" ht="15" customHeight="1"/>
    <row r="29" ht="15" customHeight="1"/>
    <row r="30" ht="15" customHeight="1">
      <c r="A30" s="65" t="inlineStr">
        <is>
          <t>Reduced A(S) Matrix based on Euclidean Distance (k = 3,5)</t>
        </is>
      </c>
      <c r="B30" s="100" t="n"/>
      <c r="C30" s="100" t="n"/>
      <c r="D30" s="100" t="n"/>
      <c r="E30" s="100" t="n"/>
      <c r="F30" s="100" t="n"/>
      <c r="G30" s="101" t="n"/>
    </row>
    <row r="31" ht="15" customHeight="1">
      <c r="A31" s="10" t="inlineStr">
        <is>
          <t>Object</t>
        </is>
      </c>
      <c r="B31" s="19" t="inlineStr">
        <is>
          <t>Class</t>
        </is>
      </c>
      <c r="E31" s="28" t="inlineStr">
        <is>
          <t>a3</t>
        </is>
      </c>
      <c r="G31" s="28" t="inlineStr">
        <is>
          <t>a5</t>
        </is>
      </c>
    </row>
    <row r="32" ht="15" customHeight="1">
      <c r="A32" s="4" t="inlineStr">
        <is>
          <t>A(S1)</t>
        </is>
      </c>
      <c r="B32" s="5" t="n">
        <v>1</v>
      </c>
      <c r="E32" s="17">
        <f>E3</f>
        <v/>
      </c>
      <c r="G32" s="17">
        <f>G3</f>
        <v/>
      </c>
    </row>
    <row r="33" ht="15" customHeight="1">
      <c r="A33" s="4" t="inlineStr">
        <is>
          <t>A(S2)</t>
        </is>
      </c>
      <c r="B33" s="5" t="n">
        <v>1</v>
      </c>
      <c r="E33" s="17">
        <f>E4</f>
        <v/>
      </c>
      <c r="G33" s="17">
        <f>G4</f>
        <v/>
      </c>
    </row>
    <row r="34" ht="15" customHeight="1">
      <c r="A34" s="4" t="inlineStr">
        <is>
          <t>A(S3)</t>
        </is>
      </c>
      <c r="B34" s="5" t="n">
        <v>2</v>
      </c>
      <c r="E34" s="17">
        <f>E5</f>
        <v/>
      </c>
      <c r="G34" s="17">
        <f>G5</f>
        <v/>
      </c>
    </row>
    <row r="35" ht="15" customHeight="1">
      <c r="A35" s="4" t="inlineStr">
        <is>
          <t>A(S4)</t>
        </is>
      </c>
      <c r="B35" s="5" t="n">
        <v>1</v>
      </c>
      <c r="E35" s="17">
        <f>E6</f>
        <v/>
      </c>
      <c r="G35" s="17">
        <f>G6</f>
        <v/>
      </c>
    </row>
    <row r="36" ht="15" customHeight="1">
      <c r="A36" s="4" t="inlineStr">
        <is>
          <t>A(S5)</t>
        </is>
      </c>
      <c r="B36" s="5" t="n">
        <v>2</v>
      </c>
      <c r="E36" s="17">
        <f>E7</f>
        <v/>
      </c>
      <c r="G36" s="17">
        <f>G7</f>
        <v/>
      </c>
    </row>
    <row r="37" ht="15" customHeight="1">
      <c r="A37" s="4" t="inlineStr">
        <is>
          <t>A(S6)</t>
        </is>
      </c>
      <c r="B37" s="5" t="n">
        <v>1</v>
      </c>
      <c r="E37" s="17">
        <f>E8</f>
        <v/>
      </c>
      <c r="G37" s="17">
        <f>G8</f>
        <v/>
      </c>
    </row>
    <row r="38" ht="15" customHeight="1">
      <c r="A38" s="4" t="inlineStr">
        <is>
          <t>A(S7)</t>
        </is>
      </c>
      <c r="B38" s="5" t="n">
        <v>1</v>
      </c>
      <c r="E38" s="17">
        <f>E9</f>
        <v/>
      </c>
      <c r="G38" s="17">
        <f>G9</f>
        <v/>
      </c>
    </row>
    <row r="39" ht="15" customHeight="1">
      <c r="A39" s="4" t="inlineStr">
        <is>
          <t>A(S8)</t>
        </is>
      </c>
      <c r="B39" s="5" t="n">
        <v>1</v>
      </c>
      <c r="E39" s="17">
        <f>E10</f>
        <v/>
      </c>
      <c r="G39" s="17">
        <f>G10</f>
        <v/>
      </c>
    </row>
    <row r="40" ht="15" customHeight="1">
      <c r="A40" s="4" t="inlineStr">
        <is>
          <t>A(S9)</t>
        </is>
      </c>
      <c r="B40" s="5" t="n">
        <v>2</v>
      </c>
      <c r="E40" s="17">
        <f>E11</f>
        <v/>
      </c>
      <c r="G40" s="17">
        <f>G11</f>
        <v/>
      </c>
    </row>
    <row r="41" ht="15" customHeight="1">
      <c r="A41" s="4" t="inlineStr">
        <is>
          <t>A(S10)</t>
        </is>
      </c>
      <c r="B41" s="5" t="n">
        <v>2</v>
      </c>
      <c r="E41" s="17">
        <f>E12</f>
        <v/>
      </c>
      <c r="G41" s="17">
        <f>G12</f>
        <v/>
      </c>
    </row>
    <row r="42" ht="15" customHeight="1"/>
    <row r="43" ht="15" customHeight="1"/>
    <row r="44" ht="15" customHeight="1">
      <c r="A44" s="65" t="inlineStr">
        <is>
          <t>Reduced Binary Euclidean</t>
        </is>
      </c>
      <c r="B44" s="100" t="n"/>
      <c r="C44" s="100" t="n"/>
      <c r="D44" s="100" t="n"/>
      <c r="E44" s="100" t="n"/>
      <c r="F44" s="100" t="n"/>
      <c r="G44" s="101" t="n"/>
    </row>
    <row r="45" ht="15" customHeight="1">
      <c r="A45" s="10" t="inlineStr">
        <is>
          <t>Object</t>
        </is>
      </c>
      <c r="B45" s="19" t="inlineStr">
        <is>
          <t>Class</t>
        </is>
      </c>
      <c r="E45" s="20" t="inlineStr">
        <is>
          <t>b3</t>
        </is>
      </c>
      <c r="G45" s="20" t="inlineStr">
        <is>
          <t>b5</t>
        </is>
      </c>
    </row>
    <row r="46" ht="15" customHeight="1">
      <c r="A46" s="4" t="inlineStr">
        <is>
          <t>b(S1)</t>
        </is>
      </c>
      <c r="B46" s="5" t="n">
        <v>1</v>
      </c>
      <c r="E46" s="26">
        <f>E17</f>
        <v/>
      </c>
      <c r="G46" s="26">
        <f>G17</f>
        <v/>
      </c>
    </row>
    <row r="47" ht="15" customHeight="1">
      <c r="A47" s="4" t="inlineStr">
        <is>
          <t>b(S2)</t>
        </is>
      </c>
      <c r="B47" s="5" t="n">
        <v>1</v>
      </c>
      <c r="E47" s="26">
        <f>E18</f>
        <v/>
      </c>
      <c r="G47" s="26">
        <f>G18</f>
        <v/>
      </c>
    </row>
    <row r="48" ht="15" customHeight="1">
      <c r="A48" s="4" t="inlineStr">
        <is>
          <t>b(S3)</t>
        </is>
      </c>
      <c r="B48" s="5" t="n">
        <v>2</v>
      </c>
      <c r="E48" s="26">
        <f>E19</f>
        <v/>
      </c>
      <c r="G48" s="26">
        <f>G19</f>
        <v/>
      </c>
    </row>
    <row r="49" ht="15" customHeight="1">
      <c r="A49" s="4" t="inlineStr">
        <is>
          <t>b(S4)</t>
        </is>
      </c>
      <c r="B49" s="5" t="n">
        <v>1</v>
      </c>
      <c r="E49" s="26">
        <f>E20</f>
        <v/>
      </c>
      <c r="G49" s="26">
        <f>G20</f>
        <v/>
      </c>
    </row>
    <row r="50" ht="15" customHeight="1">
      <c r="A50" s="4" t="inlineStr">
        <is>
          <t>b(S5)</t>
        </is>
      </c>
      <c r="B50" s="5" t="n">
        <v>2</v>
      </c>
      <c r="E50" s="26">
        <f>E21</f>
        <v/>
      </c>
      <c r="G50" s="26">
        <f>G21</f>
        <v/>
      </c>
    </row>
    <row r="51" ht="15" customHeight="1">
      <c r="A51" s="4" t="inlineStr">
        <is>
          <t>b(S6)</t>
        </is>
      </c>
      <c r="B51" s="5" t="n">
        <v>1</v>
      </c>
      <c r="E51" s="26">
        <f>E22</f>
        <v/>
      </c>
      <c r="G51" s="26">
        <f>G22</f>
        <v/>
      </c>
    </row>
    <row r="52" ht="15" customHeight="1">
      <c r="A52" s="4" t="inlineStr">
        <is>
          <t>b(S7)</t>
        </is>
      </c>
      <c r="B52" s="5" t="n">
        <v>1</v>
      </c>
      <c r="E52" s="26">
        <f>E23</f>
        <v/>
      </c>
      <c r="G52" s="26">
        <f>G23</f>
        <v/>
      </c>
    </row>
    <row r="53" ht="15" customHeight="1">
      <c r="A53" s="4" t="inlineStr">
        <is>
          <t>b(S8)</t>
        </is>
      </c>
      <c r="B53" s="5" t="n">
        <v>1</v>
      </c>
      <c r="E53" s="26">
        <f>E24</f>
        <v/>
      </c>
      <c r="G53" s="26">
        <f>G24</f>
        <v/>
      </c>
    </row>
    <row r="54" ht="15" customHeight="1">
      <c r="A54" s="4" t="inlineStr">
        <is>
          <t>b(S9)</t>
        </is>
      </c>
      <c r="B54" s="5" t="n">
        <v>2</v>
      </c>
      <c r="E54" s="26">
        <f>E25</f>
        <v/>
      </c>
      <c r="G54" s="26">
        <f>G25</f>
        <v/>
      </c>
    </row>
    <row r="55" ht="15" customHeight="1">
      <c r="A55" s="4" t="inlineStr">
        <is>
          <t>b(S10)</t>
        </is>
      </c>
      <c r="B55" s="5" t="n">
        <v>2</v>
      </c>
      <c r="E55" s="26">
        <f>E26</f>
        <v/>
      </c>
      <c r="G55" s="26">
        <f>G26</f>
        <v/>
      </c>
    </row>
    <row r="56" ht="15" customHeight="1"/>
    <row r="57" ht="15" customHeight="1"/>
    <row r="58" ht="15" customHeight="1" thickBot="1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</row>
    <row r="59" ht="15" customHeight="1"/>
    <row r="60" ht="15" customHeight="1"/>
    <row r="61" ht="15" customHeight="1"/>
    <row r="62" ht="15" customHeight="1">
      <c r="A62" s="65" t="inlineStr">
        <is>
          <t>Full A(S) Matrix based on Chebyshev Distance (k = 1,2,3,4,5)</t>
        </is>
      </c>
      <c r="B62" s="100" t="n"/>
      <c r="C62" s="100" t="n"/>
      <c r="D62" s="100" t="n"/>
      <c r="E62" s="100" t="n"/>
      <c r="F62" s="100" t="n"/>
      <c r="G62" s="101" t="n"/>
    </row>
    <row r="63" ht="15" customHeight="1">
      <c r="A63" s="3" t="inlineStr">
        <is>
          <t>Object</t>
        </is>
      </c>
      <c r="B63" s="18" t="inlineStr">
        <is>
          <t>Class</t>
        </is>
      </c>
      <c r="C63" s="4" t="inlineStr">
        <is>
          <t>a1</t>
        </is>
      </c>
      <c r="D63" s="4" t="inlineStr">
        <is>
          <t>a2</t>
        </is>
      </c>
      <c r="E63" s="4" t="inlineStr">
        <is>
          <t>a3</t>
        </is>
      </c>
      <c r="F63" s="4" t="inlineStr">
        <is>
          <t>a4</t>
        </is>
      </c>
      <c r="G63" s="4" t="inlineStr">
        <is>
          <t>a5</t>
        </is>
      </c>
    </row>
    <row r="64" ht="15" customHeight="1">
      <c r="A64" s="4" t="inlineStr">
        <is>
          <t>A(S1)</t>
        </is>
      </c>
      <c r="B64" s="5" t="n">
        <v>1</v>
      </c>
      <c r="C64" s="17" t="n">
        <v>1</v>
      </c>
      <c r="D64" s="17" t="n">
        <v>2</v>
      </c>
      <c r="E64" s="17" t="n">
        <v>3</v>
      </c>
      <c r="F64" s="17" t="n">
        <v>4</v>
      </c>
      <c r="G64" s="17" t="n">
        <v>5</v>
      </c>
    </row>
    <row r="65" ht="15" customHeight="1">
      <c r="A65" s="4" t="inlineStr">
        <is>
          <t>A(S2)</t>
        </is>
      </c>
      <c r="B65" s="5" t="n">
        <v>1</v>
      </c>
      <c r="C65" s="17" t="n">
        <v>1</v>
      </c>
      <c r="D65" s="17" t="n">
        <v>2</v>
      </c>
      <c r="E65" s="17" t="n">
        <v>3</v>
      </c>
      <c r="F65" s="17" t="n">
        <v>4</v>
      </c>
      <c r="G65" s="17" t="n">
        <v>5</v>
      </c>
    </row>
    <row r="66" ht="15" customHeight="1">
      <c r="A66" s="4" t="inlineStr">
        <is>
          <t>A(S3)</t>
        </is>
      </c>
      <c r="B66" s="5" t="n">
        <v>2</v>
      </c>
      <c r="C66" s="17" t="n">
        <v>0</v>
      </c>
      <c r="D66" s="17" t="n">
        <v>1</v>
      </c>
      <c r="E66" s="17" t="n">
        <v>1</v>
      </c>
      <c r="F66" s="17" t="n">
        <v>2</v>
      </c>
      <c r="G66" s="17" t="n">
        <v>3</v>
      </c>
    </row>
    <row r="67" ht="15" customHeight="1">
      <c r="A67" s="4" t="inlineStr">
        <is>
          <t>A(S4)</t>
        </is>
      </c>
      <c r="B67" s="5" t="n">
        <v>1</v>
      </c>
      <c r="C67" s="17" t="n">
        <v>1</v>
      </c>
      <c r="D67" s="17" t="n">
        <v>2</v>
      </c>
      <c r="E67" s="17" t="n">
        <v>3</v>
      </c>
      <c r="F67" s="17" t="n">
        <v>4</v>
      </c>
      <c r="G67" s="17" t="n">
        <v>4</v>
      </c>
    </row>
    <row r="68" ht="15" customHeight="1">
      <c r="A68" s="4" t="inlineStr">
        <is>
          <t>A(S5)</t>
        </is>
      </c>
      <c r="B68" s="5" t="n">
        <v>2</v>
      </c>
      <c r="C68" s="17" t="n">
        <v>1</v>
      </c>
      <c r="D68" s="17" t="n">
        <v>2</v>
      </c>
      <c r="E68" s="17" t="n">
        <v>3</v>
      </c>
      <c r="F68" s="17" t="n">
        <v>3</v>
      </c>
      <c r="G68" s="17" t="n">
        <v>3</v>
      </c>
    </row>
    <row r="69" ht="15" customHeight="1">
      <c r="A69" s="4" t="inlineStr">
        <is>
          <t>A(S6)</t>
        </is>
      </c>
      <c r="B69" s="5" t="n">
        <v>1</v>
      </c>
      <c r="C69" s="17" t="n">
        <v>0</v>
      </c>
      <c r="D69" s="17" t="n">
        <v>1</v>
      </c>
      <c r="E69" s="17" t="n">
        <v>2</v>
      </c>
      <c r="F69" s="17" t="n">
        <v>3</v>
      </c>
      <c r="G69" s="17" t="n">
        <v>4</v>
      </c>
    </row>
    <row r="70" ht="15" customHeight="1">
      <c r="A70" s="4" t="inlineStr">
        <is>
          <t>A(S7)</t>
        </is>
      </c>
      <c r="B70" s="5" t="n">
        <v>1</v>
      </c>
      <c r="C70" s="17" t="n">
        <v>1</v>
      </c>
      <c r="D70" s="17" t="n">
        <v>2</v>
      </c>
      <c r="E70" s="17" t="n">
        <v>3</v>
      </c>
      <c r="F70" s="17" t="n">
        <v>4</v>
      </c>
      <c r="G70" s="17" t="n">
        <v>4</v>
      </c>
    </row>
    <row r="71" ht="15" customHeight="1">
      <c r="A71" s="4" t="inlineStr">
        <is>
          <t>A(S8)</t>
        </is>
      </c>
      <c r="B71" s="5" t="n">
        <v>1</v>
      </c>
      <c r="C71" s="17" t="n">
        <v>1</v>
      </c>
      <c r="D71" s="17" t="n">
        <v>2</v>
      </c>
      <c r="E71" s="17" t="n">
        <v>3</v>
      </c>
      <c r="F71" s="17" t="n">
        <v>4</v>
      </c>
      <c r="G71" s="17" t="n">
        <v>4</v>
      </c>
    </row>
    <row r="72" ht="15" customHeight="1">
      <c r="A72" s="4" t="inlineStr">
        <is>
          <t>A(S9)</t>
        </is>
      </c>
      <c r="B72" s="5" t="n">
        <v>2</v>
      </c>
      <c r="C72" s="17" t="n">
        <v>1</v>
      </c>
      <c r="D72" s="17" t="n">
        <v>2</v>
      </c>
      <c r="E72" s="17" t="n">
        <v>3</v>
      </c>
      <c r="F72" s="17" t="n">
        <v>3</v>
      </c>
      <c r="G72" s="17" t="n">
        <v>3</v>
      </c>
    </row>
    <row r="73" ht="15" customHeight="1">
      <c r="A73" s="4" t="inlineStr">
        <is>
          <t>A(S10)</t>
        </is>
      </c>
      <c r="B73" s="5" t="n">
        <v>2</v>
      </c>
      <c r="C73" s="17" t="n">
        <v>1</v>
      </c>
      <c r="D73" s="17" t="n">
        <v>2</v>
      </c>
      <c r="E73" s="17" t="n">
        <v>3</v>
      </c>
      <c r="F73" s="17" t="n">
        <v>3</v>
      </c>
      <c r="G73" s="17" t="n">
        <v>3</v>
      </c>
    </row>
    <row r="74" ht="15" customHeight="1"/>
    <row r="75" ht="15" customHeight="1"/>
    <row r="76" ht="15" customHeight="1" thickBot="1">
      <c r="A76" s="65" t="inlineStr">
        <is>
          <t>Full Binary Chebyshev</t>
        </is>
      </c>
      <c r="B76" s="100" t="n"/>
      <c r="C76" s="100" t="n"/>
      <c r="D76" s="100" t="n"/>
      <c r="E76" s="100" t="n"/>
      <c r="F76" s="100" t="n"/>
      <c r="G76" s="101" t="n"/>
    </row>
    <row r="77" ht="15" customHeight="1">
      <c r="A77" s="10" t="inlineStr">
        <is>
          <t>Object</t>
        </is>
      </c>
      <c r="B77" s="19" t="inlineStr">
        <is>
          <t>Class</t>
        </is>
      </c>
      <c r="C77" s="20" t="inlineStr">
        <is>
          <t>b1</t>
        </is>
      </c>
      <c r="D77" s="20" t="inlineStr">
        <is>
          <t>b2</t>
        </is>
      </c>
      <c r="E77" s="20" t="inlineStr">
        <is>
          <t>b3</t>
        </is>
      </c>
      <c r="F77" s="20" t="inlineStr">
        <is>
          <t>b4</t>
        </is>
      </c>
      <c r="G77" s="20" t="inlineStr">
        <is>
          <t>b5</t>
        </is>
      </c>
      <c r="I77" s="116" t="inlineStr">
        <is>
          <t>Majority Rule (Majorant Principle)</t>
        </is>
      </c>
      <c r="J77" s="108" t="n"/>
      <c r="K77" s="103" t="n"/>
    </row>
    <row r="78" ht="15" customHeight="1">
      <c r="A78" s="4" t="inlineStr">
        <is>
          <t>b(S1)</t>
        </is>
      </c>
      <c r="B78" s="5" t="n">
        <v>1</v>
      </c>
      <c r="C78" s="26">
        <f>IF(C64/1&gt;0.5,1,0)</f>
        <v/>
      </c>
      <c r="D78" s="26">
        <f>IF(D64/2&gt;0.5,1,0)</f>
        <v/>
      </c>
      <c r="E78" s="26">
        <f>IF(E64/3&gt;0.5,1,0)</f>
        <v/>
      </c>
      <c r="F78" s="26">
        <f>IF(F64/4&gt;0.5,1,0)</f>
        <v/>
      </c>
      <c r="G78" s="26">
        <f>IF(G64/5&gt;0.5,1,0)</f>
        <v/>
      </c>
      <c r="I78" s="104" t="n"/>
      <c r="K78" s="105" t="n"/>
    </row>
    <row r="79" ht="15" customHeight="1">
      <c r="A79" s="4" t="inlineStr">
        <is>
          <t>b(S2)</t>
        </is>
      </c>
      <c r="B79" s="5" t="n">
        <v>1</v>
      </c>
      <c r="C79" s="26">
        <f>IF(C65/1&gt;0.5,1,0)</f>
        <v/>
      </c>
      <c r="D79" s="26">
        <f>IF(D65/2&gt;0.5,1,0)</f>
        <v/>
      </c>
      <c r="E79" s="26">
        <f>IF(E65/3&gt;0.5,1,0)</f>
        <v/>
      </c>
      <c r="F79" s="26">
        <f>IF(F65/4&gt;0.5,1,0)</f>
        <v/>
      </c>
      <c r="G79" s="26">
        <f>IF(G65/5&gt;0.5,1,0)</f>
        <v/>
      </c>
      <c r="I79" s="104" t="n"/>
      <c r="K79" s="105" t="n"/>
    </row>
    <row r="80" ht="15" customHeight="1">
      <c r="A80" s="4" t="inlineStr">
        <is>
          <t>b(S3)</t>
        </is>
      </c>
      <c r="B80" s="5" t="n">
        <v>2</v>
      </c>
      <c r="C80" s="26">
        <f>IF(C66/1&gt;0.5,1,0)</f>
        <v/>
      </c>
      <c r="D80" s="26">
        <f>IF(D66/2&gt;0.5,1,0)</f>
        <v/>
      </c>
      <c r="E80" s="26">
        <f>IF(E66/3&gt;0.5,1,0)</f>
        <v/>
      </c>
      <c r="F80" s="26">
        <f>IF(F66/4&gt;0.5,1,0)</f>
        <v/>
      </c>
      <c r="G80" s="26">
        <f>IF(G66/5&gt;0.5,1,0)</f>
        <v/>
      </c>
      <c r="I80" s="104" t="n"/>
      <c r="K80" s="105" t="n"/>
    </row>
    <row r="81" ht="15" customHeight="1">
      <c r="A81" s="4" t="inlineStr">
        <is>
          <t>b(S4)</t>
        </is>
      </c>
      <c r="B81" s="5" t="n">
        <v>1</v>
      </c>
      <c r="C81" s="26">
        <f>IF(C67/1&gt;0.5,1,0)</f>
        <v/>
      </c>
      <c r="D81" s="26">
        <f>IF(D67/2&gt;0.5,1,0)</f>
        <v/>
      </c>
      <c r="E81" s="26">
        <f>IF(E67/3&gt;0.5,1,0)</f>
        <v/>
      </c>
      <c r="F81" s="26">
        <f>IF(F67/4&gt;0.5,1,0)</f>
        <v/>
      </c>
      <c r="G81" s="26">
        <f>IF(G67/5&gt;0.5,1,0)</f>
        <v/>
      </c>
      <c r="I81" s="104" t="n"/>
      <c r="K81" s="105" t="n"/>
    </row>
    <row r="82" ht="15" customHeight="1" thickBot="1">
      <c r="A82" s="4" t="inlineStr">
        <is>
          <t>b(S5)</t>
        </is>
      </c>
      <c r="B82" s="5" t="n">
        <v>2</v>
      </c>
      <c r="C82" s="26">
        <f>IF(C68/1&gt;0.5,1,0)</f>
        <v/>
      </c>
      <c r="D82" s="26">
        <f>IF(D68/2&gt;0.5,1,0)</f>
        <v/>
      </c>
      <c r="E82" s="26">
        <f>IF(E68/3&gt;0.5,1,0)</f>
        <v/>
      </c>
      <c r="F82" s="26">
        <f>IF(F68/4&gt;0.5,1,0)</f>
        <v/>
      </c>
      <c r="G82" s="26">
        <f>IF(G68/5&gt;0.5,1,0)</f>
        <v/>
      </c>
      <c r="I82" s="106" t="n"/>
      <c r="J82" s="48" t="n"/>
      <c r="K82" s="107" t="n"/>
    </row>
    <row r="83" ht="15" customHeight="1">
      <c r="A83" s="4" t="inlineStr">
        <is>
          <t>b(S6)</t>
        </is>
      </c>
      <c r="B83" s="5" t="n">
        <v>1</v>
      </c>
      <c r="C83" s="26">
        <f>IF(C69/1&gt;0.5,1,0)</f>
        <v/>
      </c>
      <c r="D83" s="26">
        <f>IF(D69/2&gt;0.5,1,0)</f>
        <v/>
      </c>
      <c r="E83" s="26">
        <f>IF(E69/3&gt;0.5,1,0)</f>
        <v/>
      </c>
      <c r="F83" s="26">
        <f>IF(F69/4&gt;0.5,1,0)</f>
        <v/>
      </c>
      <c r="G83" s="26">
        <f>IF(G69/5&gt;0.5,1,0)</f>
        <v/>
      </c>
    </row>
    <row r="84" ht="15" customHeight="1">
      <c r="A84" s="4" t="inlineStr">
        <is>
          <t>b(S7)</t>
        </is>
      </c>
      <c r="B84" s="5" t="n">
        <v>1</v>
      </c>
      <c r="C84" s="26">
        <f>IF(C70/1&gt;0.5,1,0)</f>
        <v/>
      </c>
      <c r="D84" s="26">
        <f>IF(D70/2&gt;0.5,1,0)</f>
        <v/>
      </c>
      <c r="E84" s="26">
        <f>IF(E70/3&gt;0.5,1,0)</f>
        <v/>
      </c>
      <c r="F84" s="26">
        <f>IF(F70/4&gt;0.5,1,0)</f>
        <v/>
      </c>
      <c r="G84" s="26">
        <f>IF(G70/5&gt;0.5,1,0)</f>
        <v/>
      </c>
    </row>
    <row r="85" ht="15" customHeight="1">
      <c r="A85" s="4" t="inlineStr">
        <is>
          <t>b(S8)</t>
        </is>
      </c>
      <c r="B85" s="5" t="n">
        <v>1</v>
      </c>
      <c r="C85" s="26">
        <f>IF(C71/1&gt;0.5,1,0)</f>
        <v/>
      </c>
      <c r="D85" s="26">
        <f>IF(D71/2&gt;0.5,1,0)</f>
        <v/>
      </c>
      <c r="E85" s="26">
        <f>IF(E71/3&gt;0.5,1,0)</f>
        <v/>
      </c>
      <c r="F85" s="26">
        <f>IF(F71/4&gt;0.5,1,0)</f>
        <v/>
      </c>
      <c r="G85" s="26">
        <f>IF(G71/5&gt;0.5,1,0)</f>
        <v/>
      </c>
    </row>
    <row r="86" ht="15" customHeight="1">
      <c r="A86" s="4" t="inlineStr">
        <is>
          <t>b(S9)</t>
        </is>
      </c>
      <c r="B86" s="5" t="n">
        <v>2</v>
      </c>
      <c r="C86" s="26">
        <f>IF(C72/1&gt;0.5,1,0)</f>
        <v/>
      </c>
      <c r="D86" s="26">
        <f>IF(D72/2&gt;0.5,1,0)</f>
        <v/>
      </c>
      <c r="E86" s="26">
        <f>IF(E72/3&gt;0.5,1,0)</f>
        <v/>
      </c>
      <c r="F86" s="26">
        <f>IF(F72/4&gt;0.5,1,0)</f>
        <v/>
      </c>
      <c r="G86" s="26">
        <f>IF(G72/5&gt;0.5,1,0)</f>
        <v/>
      </c>
    </row>
    <row r="87" ht="15" customHeight="1">
      <c r="A87" s="4" t="inlineStr">
        <is>
          <t>b(S10)</t>
        </is>
      </c>
      <c r="B87" s="5" t="n">
        <v>2</v>
      </c>
      <c r="C87" s="26">
        <f>IF(C73/1&gt;0.5,1,0)</f>
        <v/>
      </c>
      <c r="D87" s="26">
        <f>IF(D73/2&gt;0.5,1,0)</f>
        <v/>
      </c>
      <c r="E87" s="26">
        <f>IF(E73/3&gt;0.5,1,0)</f>
        <v/>
      </c>
      <c r="F87" s="26">
        <f>IF(F73/4&gt;0.5,1,0)</f>
        <v/>
      </c>
      <c r="G87" s="26">
        <f>IF(G73/5&gt;0.5,1,0)</f>
        <v/>
      </c>
    </row>
    <row r="88" ht="15" customHeight="1"/>
    <row r="89" ht="15" customHeight="1"/>
    <row r="90" ht="15" customHeight="1"/>
    <row r="91" ht="15" customHeight="1">
      <c r="A91" s="65" t="inlineStr">
        <is>
          <t>Reduced A(S) Matrix based on Chebyshev Distance (k = 3,5)</t>
        </is>
      </c>
      <c r="B91" s="100" t="n"/>
      <c r="C91" s="100" t="n"/>
      <c r="D91" s="100" t="n"/>
      <c r="E91" s="100" t="n"/>
      <c r="F91" s="100" t="n"/>
      <c r="G91" s="101" t="n"/>
    </row>
    <row r="92" ht="15" customHeight="1">
      <c r="A92" s="10" t="inlineStr">
        <is>
          <t>Object</t>
        </is>
      </c>
      <c r="B92" s="19" t="inlineStr">
        <is>
          <t>Class</t>
        </is>
      </c>
      <c r="E92" s="28" t="inlineStr">
        <is>
          <t>a3</t>
        </is>
      </c>
      <c r="G92" s="28" t="inlineStr">
        <is>
          <t>a5</t>
        </is>
      </c>
    </row>
    <row r="93" ht="15" customHeight="1">
      <c r="A93" s="4" t="inlineStr">
        <is>
          <t>A(S1)</t>
        </is>
      </c>
      <c r="B93" s="5" t="n">
        <v>1</v>
      </c>
      <c r="E93" s="17">
        <f>E64</f>
        <v/>
      </c>
      <c r="G93" s="17">
        <f>G64</f>
        <v/>
      </c>
    </row>
    <row r="94" ht="15" customHeight="1">
      <c r="A94" s="4" t="inlineStr">
        <is>
          <t>A(S2)</t>
        </is>
      </c>
      <c r="B94" s="5" t="n">
        <v>1</v>
      </c>
      <c r="E94" s="17">
        <f>E65</f>
        <v/>
      </c>
      <c r="G94" s="17">
        <f>G65</f>
        <v/>
      </c>
    </row>
    <row r="95" ht="15" customHeight="1">
      <c r="A95" s="4" t="inlineStr">
        <is>
          <t>A(S3)</t>
        </is>
      </c>
      <c r="B95" s="5" t="n">
        <v>2</v>
      </c>
      <c r="E95" s="17">
        <f>E66</f>
        <v/>
      </c>
      <c r="G95" s="17">
        <f>G66</f>
        <v/>
      </c>
    </row>
    <row r="96" ht="15" customHeight="1">
      <c r="A96" s="4" t="inlineStr">
        <is>
          <t>A(S4)</t>
        </is>
      </c>
      <c r="B96" s="5" t="n">
        <v>1</v>
      </c>
      <c r="E96" s="17">
        <f>E67</f>
        <v/>
      </c>
      <c r="G96" s="17">
        <f>G67</f>
        <v/>
      </c>
    </row>
    <row r="97" ht="15" customHeight="1">
      <c r="A97" s="4" t="inlineStr">
        <is>
          <t>A(S5)</t>
        </is>
      </c>
      <c r="B97" s="5" t="n">
        <v>2</v>
      </c>
      <c r="E97" s="17">
        <f>E68</f>
        <v/>
      </c>
      <c r="G97" s="17">
        <f>G68</f>
        <v/>
      </c>
    </row>
    <row r="98" ht="15" customHeight="1">
      <c r="A98" s="4" t="inlineStr">
        <is>
          <t>A(S6)</t>
        </is>
      </c>
      <c r="B98" s="5" t="n">
        <v>1</v>
      </c>
      <c r="E98" s="17">
        <f>E69</f>
        <v/>
      </c>
      <c r="G98" s="17">
        <f>G69</f>
        <v/>
      </c>
    </row>
    <row r="99" ht="15" customHeight="1">
      <c r="A99" s="4" t="inlineStr">
        <is>
          <t>A(S7)</t>
        </is>
      </c>
      <c r="B99" s="5" t="n">
        <v>1</v>
      </c>
      <c r="E99" s="17">
        <f>E70</f>
        <v/>
      </c>
      <c r="G99" s="17">
        <f>G70</f>
        <v/>
      </c>
    </row>
    <row r="100" ht="15" customHeight="1">
      <c r="A100" s="4" t="inlineStr">
        <is>
          <t>A(S8)</t>
        </is>
      </c>
      <c r="B100" s="5" t="n">
        <v>1</v>
      </c>
      <c r="E100" s="17">
        <f>E71</f>
        <v/>
      </c>
      <c r="G100" s="17">
        <f>G71</f>
        <v/>
      </c>
    </row>
    <row r="101" ht="15" customHeight="1">
      <c r="A101" s="4" t="inlineStr">
        <is>
          <t>A(S9)</t>
        </is>
      </c>
      <c r="B101" s="5" t="n">
        <v>2</v>
      </c>
      <c r="E101" s="17">
        <f>E72</f>
        <v/>
      </c>
      <c r="G101" s="17">
        <f>G72</f>
        <v/>
      </c>
    </row>
    <row r="102" ht="15" customHeight="1">
      <c r="A102" s="4" t="inlineStr">
        <is>
          <t>A(S10)</t>
        </is>
      </c>
      <c r="B102" s="5" t="n">
        <v>2</v>
      </c>
      <c r="E102" s="17">
        <f>E73</f>
        <v/>
      </c>
      <c r="G102" s="17">
        <f>G73</f>
        <v/>
      </c>
    </row>
    <row r="103" ht="15" customHeight="1"/>
    <row r="104" ht="15" customHeight="1"/>
    <row r="105" ht="15" customHeight="1">
      <c r="A105" s="65" t="inlineStr">
        <is>
          <t>Reduced Binary Chebyshev</t>
        </is>
      </c>
      <c r="B105" s="100" t="n"/>
      <c r="C105" s="100" t="n"/>
      <c r="D105" s="100" t="n"/>
      <c r="E105" s="100" t="n"/>
      <c r="F105" s="100" t="n"/>
      <c r="G105" s="101" t="n"/>
    </row>
    <row r="106" ht="15" customHeight="1">
      <c r="A106" s="10" t="inlineStr">
        <is>
          <t>Object</t>
        </is>
      </c>
      <c r="B106" s="19" t="inlineStr">
        <is>
          <t>Class</t>
        </is>
      </c>
      <c r="E106" s="20" t="inlineStr">
        <is>
          <t>b3</t>
        </is>
      </c>
      <c r="G106" s="20" t="inlineStr">
        <is>
          <t>b5</t>
        </is>
      </c>
    </row>
    <row r="107" ht="15" customHeight="1">
      <c r="A107" s="4" t="inlineStr">
        <is>
          <t>b(S1)</t>
        </is>
      </c>
      <c r="B107" s="5" t="n">
        <v>1</v>
      </c>
      <c r="E107" s="26">
        <f>E78</f>
        <v/>
      </c>
      <c r="G107" s="26">
        <f>G78</f>
        <v/>
      </c>
    </row>
    <row r="108" ht="15" customHeight="1">
      <c r="A108" s="4" t="inlineStr">
        <is>
          <t>b(S2)</t>
        </is>
      </c>
      <c r="B108" s="5" t="n">
        <v>1</v>
      </c>
      <c r="E108" s="26">
        <f>E79</f>
        <v/>
      </c>
      <c r="G108" s="26">
        <f>G79</f>
        <v/>
      </c>
    </row>
    <row r="109" ht="15" customHeight="1">
      <c r="A109" s="4" t="inlineStr">
        <is>
          <t>b(S3)</t>
        </is>
      </c>
      <c r="B109" s="5" t="n">
        <v>2</v>
      </c>
      <c r="E109" s="26">
        <f>E80</f>
        <v/>
      </c>
      <c r="G109" s="26">
        <f>G80</f>
        <v/>
      </c>
    </row>
    <row r="110" ht="15" customHeight="1">
      <c r="A110" s="4" t="inlineStr">
        <is>
          <t>b(S4)</t>
        </is>
      </c>
      <c r="B110" s="5" t="n">
        <v>1</v>
      </c>
      <c r="E110" s="26">
        <f>E81</f>
        <v/>
      </c>
      <c r="G110" s="26">
        <f>G81</f>
        <v/>
      </c>
    </row>
    <row r="111" ht="15" customHeight="1">
      <c r="A111" s="4" t="inlineStr">
        <is>
          <t>b(S5)</t>
        </is>
      </c>
      <c r="B111" s="5" t="n">
        <v>2</v>
      </c>
      <c r="E111" s="26">
        <f>E82</f>
        <v/>
      </c>
      <c r="G111" s="26">
        <f>G82</f>
        <v/>
      </c>
    </row>
    <row r="112" ht="15" customHeight="1">
      <c r="A112" s="4" t="inlineStr">
        <is>
          <t>b(S6)</t>
        </is>
      </c>
      <c r="B112" s="5" t="n">
        <v>1</v>
      </c>
      <c r="E112" s="26">
        <f>E83</f>
        <v/>
      </c>
      <c r="G112" s="26">
        <f>G83</f>
        <v/>
      </c>
    </row>
    <row r="113" ht="15" customHeight="1">
      <c r="A113" s="4" t="inlineStr">
        <is>
          <t>b(S7)</t>
        </is>
      </c>
      <c r="B113" s="5" t="n">
        <v>1</v>
      </c>
      <c r="E113" s="26">
        <f>E84</f>
        <v/>
      </c>
      <c r="G113" s="26">
        <f>G84</f>
        <v/>
      </c>
    </row>
    <row r="114" ht="15" customHeight="1">
      <c r="A114" s="4" t="inlineStr">
        <is>
          <t>b(S8)</t>
        </is>
      </c>
      <c r="B114" s="5" t="n">
        <v>1</v>
      </c>
      <c r="E114" s="26">
        <f>E85</f>
        <v/>
      </c>
      <c r="G114" s="26">
        <f>G85</f>
        <v/>
      </c>
    </row>
    <row r="115" ht="15" customHeight="1">
      <c r="A115" s="4" t="inlineStr">
        <is>
          <t>b(S9)</t>
        </is>
      </c>
      <c r="B115" s="5" t="n">
        <v>2</v>
      </c>
      <c r="E115" s="26">
        <f>E86</f>
        <v/>
      </c>
      <c r="G115" s="26">
        <f>G86</f>
        <v/>
      </c>
    </row>
    <row r="116" ht="15" customHeight="1">
      <c r="A116" s="4" t="inlineStr">
        <is>
          <t>b(S10)</t>
        </is>
      </c>
      <c r="B116" s="5" t="n">
        <v>2</v>
      </c>
      <c r="E116" s="26">
        <f>E87</f>
        <v/>
      </c>
      <c r="G116" s="26">
        <f>G87</f>
        <v/>
      </c>
    </row>
    <row r="117" ht="15" customHeight="1"/>
    <row r="118" ht="15" customHeight="1"/>
    <row r="119" ht="15" customHeight="1" thickBot="1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</row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10">
    <mergeCell ref="I77:K82"/>
    <mergeCell ref="I16:K21"/>
    <mergeCell ref="A44:G44"/>
    <mergeCell ref="A1:G1"/>
    <mergeCell ref="A91:G91"/>
    <mergeCell ref="A105:G105"/>
    <mergeCell ref="A62:G62"/>
    <mergeCell ref="A30:G30"/>
    <mergeCell ref="A15:G15"/>
    <mergeCell ref="A76:G76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I9" sqref="I9"/>
    </sheetView>
  </sheetViews>
  <sheetFormatPr baseColWidth="8" defaultRowHeight="14.4"/>
  <cols>
    <col width="10.77734375" customWidth="1" min="1" max="10"/>
  </cols>
  <sheetData>
    <row r="1" ht="15" customHeight="1">
      <c r="A1" s="65" t="inlineStr">
        <is>
          <t>Reduced Binary Euclidean</t>
        </is>
      </c>
      <c r="B1" s="100" t="n"/>
      <c r="C1" s="100" t="n"/>
      <c r="D1" s="100" t="n"/>
      <c r="E1" s="100" t="n"/>
      <c r="F1" s="101" t="n"/>
    </row>
    <row r="2" ht="34.95" customHeight="1">
      <c r="A2" s="10" t="inlineStr">
        <is>
          <t>Object</t>
        </is>
      </c>
      <c r="B2" s="19" t="inlineStr">
        <is>
          <t>Class</t>
        </is>
      </c>
      <c r="C2" s="20" t="inlineStr">
        <is>
          <t>b3</t>
        </is>
      </c>
      <c r="D2" s="20" t="inlineStr">
        <is>
          <t>b5</t>
        </is>
      </c>
      <c r="E2" s="22" t="inlineStr">
        <is>
          <t>Binary Sequence</t>
        </is>
      </c>
      <c r="F2" s="22" t="inlineStr">
        <is>
          <t>Decimal</t>
        </is>
      </c>
    </row>
    <row r="3" ht="15" customHeight="1">
      <c r="A3" s="4" t="inlineStr">
        <is>
          <t>b(S1)</t>
        </is>
      </c>
      <c r="B3" s="5" t="n">
        <v>1</v>
      </c>
      <c r="C3" s="26" t="n">
        <v>1</v>
      </c>
      <c r="D3" s="26" t="n">
        <v>1</v>
      </c>
      <c r="E3" s="27">
        <f>C3&amp;D3</f>
        <v/>
      </c>
      <c r="F3" s="27">
        <f>BIN2DEC(E3)</f>
        <v/>
      </c>
    </row>
    <row r="4" ht="15" customHeight="1">
      <c r="A4" s="4" t="inlineStr">
        <is>
          <t>b(S2)</t>
        </is>
      </c>
      <c r="B4" s="5" t="n">
        <v>1</v>
      </c>
      <c r="C4" s="26" t="n">
        <v>1</v>
      </c>
      <c r="D4" s="26" t="n">
        <v>1</v>
      </c>
      <c r="E4" s="27">
        <f>C4&amp;D4</f>
        <v/>
      </c>
      <c r="F4" s="27">
        <f>BIN2DEC(E4)</f>
        <v/>
      </c>
    </row>
    <row r="5" ht="15" customHeight="1">
      <c r="A5" s="4" t="inlineStr">
        <is>
          <t>b(S3)</t>
        </is>
      </c>
      <c r="B5" s="5" t="n">
        <v>2</v>
      </c>
      <c r="C5" s="26" t="n">
        <v>1</v>
      </c>
      <c r="D5" s="26" t="n">
        <v>1</v>
      </c>
      <c r="E5" s="27">
        <f>C5&amp;D5</f>
        <v/>
      </c>
      <c r="F5" s="27">
        <f>BIN2DEC(E5)</f>
        <v/>
      </c>
    </row>
    <row r="6" ht="15" customHeight="1">
      <c r="A6" s="4" t="inlineStr">
        <is>
          <t>b(S4)</t>
        </is>
      </c>
      <c r="B6" s="5" t="n">
        <v>1</v>
      </c>
      <c r="C6" s="26" t="n">
        <v>1</v>
      </c>
      <c r="D6" s="26" t="n">
        <v>1</v>
      </c>
      <c r="E6" s="27">
        <f>C6&amp;D6</f>
        <v/>
      </c>
      <c r="F6" s="27">
        <f>BIN2DEC(E6)</f>
        <v/>
      </c>
    </row>
    <row r="7" ht="15" customHeight="1">
      <c r="A7" s="4" t="inlineStr">
        <is>
          <t>b(S5)</t>
        </is>
      </c>
      <c r="B7" s="5" t="n">
        <v>2</v>
      </c>
      <c r="C7" s="26" t="n">
        <v>1</v>
      </c>
      <c r="D7" s="26" t="n">
        <v>1</v>
      </c>
      <c r="E7" s="27">
        <f>C7&amp;D7</f>
        <v/>
      </c>
      <c r="F7" s="27">
        <f>BIN2DEC(E7)</f>
        <v/>
      </c>
    </row>
    <row r="8" ht="15" customHeight="1">
      <c r="A8" s="4" t="inlineStr">
        <is>
          <t>b(S6)</t>
        </is>
      </c>
      <c r="B8" s="5" t="n">
        <v>1</v>
      </c>
      <c r="C8" s="26" t="n">
        <v>1</v>
      </c>
      <c r="D8" s="26" t="n">
        <v>1</v>
      </c>
      <c r="E8" s="27">
        <f>C8&amp;D8</f>
        <v/>
      </c>
      <c r="F8" s="27">
        <f>BIN2DEC(E8)</f>
        <v/>
      </c>
    </row>
    <row r="9" ht="15" customHeight="1">
      <c r="A9" s="4" t="inlineStr">
        <is>
          <t>b(S7)</t>
        </is>
      </c>
      <c r="B9" s="5" t="n">
        <v>1</v>
      </c>
      <c r="C9" s="26" t="n">
        <v>1</v>
      </c>
      <c r="D9" s="26" t="n">
        <v>1</v>
      </c>
      <c r="E9" s="27">
        <f>C9&amp;D9</f>
        <v/>
      </c>
      <c r="F9" s="27">
        <f>BIN2DEC(E9)</f>
        <v/>
      </c>
    </row>
    <row r="10" ht="15" customHeight="1">
      <c r="A10" s="4" t="inlineStr">
        <is>
          <t>b(S8)</t>
        </is>
      </c>
      <c r="B10" s="5" t="n">
        <v>1</v>
      </c>
      <c r="C10" s="26" t="n">
        <v>1</v>
      </c>
      <c r="D10" s="26" t="n">
        <v>1</v>
      </c>
      <c r="E10" s="27">
        <f>C10&amp;D10</f>
        <v/>
      </c>
      <c r="F10" s="27">
        <f>BIN2DEC(E10)</f>
        <v/>
      </c>
    </row>
    <row r="11" ht="15" customHeight="1">
      <c r="A11" s="4" t="inlineStr">
        <is>
          <t>b(S9)</t>
        </is>
      </c>
      <c r="B11" s="5" t="n">
        <v>2</v>
      </c>
      <c r="C11" s="26" t="n">
        <v>1</v>
      </c>
      <c r="D11" s="26" t="n">
        <v>1</v>
      </c>
      <c r="E11" s="27">
        <f>C11&amp;D11</f>
        <v/>
      </c>
      <c r="F11" s="27">
        <f>BIN2DEC(E11)</f>
        <v/>
      </c>
    </row>
    <row r="12" ht="15" customHeight="1">
      <c r="A12" s="4" t="inlineStr">
        <is>
          <t>b(S10)</t>
        </is>
      </c>
      <c r="B12" s="5" t="n">
        <v>2</v>
      </c>
      <c r="C12" s="26" t="n">
        <v>1</v>
      </c>
      <c r="D12" s="26" t="n">
        <v>1</v>
      </c>
      <c r="E12" s="27">
        <f>C12&amp;D12</f>
        <v/>
      </c>
      <c r="F12" s="27">
        <f>BIN2DEC(E12)</f>
        <v/>
      </c>
    </row>
    <row r="13" ht="15" customHeight="1"/>
    <row r="14" ht="15" customHeight="1"/>
    <row r="15" ht="15" customHeight="1">
      <c r="A15" s="65" t="inlineStr">
        <is>
          <t>Stats Euclidean</t>
        </is>
      </c>
      <c r="B15" s="100" t="n"/>
      <c r="C15" s="100" t="n"/>
      <c r="D15" s="100" t="n"/>
      <c r="E15" s="100" t="n"/>
      <c r="F15" s="100" t="n"/>
      <c r="G15" s="100" t="n"/>
      <c r="H15" s="100" t="n"/>
      <c r="I15" s="100" t="n"/>
      <c r="J15" s="101" t="n"/>
    </row>
    <row r="16" ht="49.95" customHeight="1">
      <c r="A16" s="22" t="inlineStr">
        <is>
          <t>Unique Binary Sequence</t>
        </is>
      </c>
      <c r="B16" s="41" t="inlineStr">
        <is>
          <t>Decimal</t>
        </is>
      </c>
      <c r="C16" s="23" t="inlineStr">
        <is>
          <t>Count K1</t>
        </is>
      </c>
      <c r="D16" s="23" t="inlineStr">
        <is>
          <t>Count K2</t>
        </is>
      </c>
      <c r="E16" s="24" t="inlineStr">
        <is>
          <t>Total Count</t>
        </is>
      </c>
      <c r="F16" s="25" t="inlineStr">
        <is>
          <t>Dominant Class</t>
        </is>
      </c>
      <c r="G16" s="38" t="inlineStr">
        <is>
          <t>Purity (Fuzzy)</t>
        </is>
      </c>
      <c r="H16" s="21" t="inlineStr">
        <is>
          <t>Status</t>
        </is>
      </c>
      <c r="I16" s="34" t="inlineStr">
        <is>
          <t>Rank Key</t>
        </is>
      </c>
      <c r="J16" s="33" t="inlineStr">
        <is>
          <t>Winner Rank</t>
        </is>
      </c>
    </row>
    <row r="17" ht="15" customHeight="1">
      <c r="A17" s="27">
        <f t="array" ref="A17">_xlfn._xlws.SORT(_xlfn.UNIQUE($E$3:$E$12))</f>
        <v/>
      </c>
      <c r="B17" s="42">
        <f>_xlfn.DECIMAL(A17,2)</f>
        <v/>
      </c>
      <c r="C17" s="29">
        <f>COUNTIFS($E$3:$E$12,A17,$B$3:$B$12,1)</f>
        <v/>
      </c>
      <c r="D17" s="29">
        <f>COUNTIFS($E$3:$E$12,A17,$B$3:$B$12,2)</f>
        <v/>
      </c>
      <c r="E17" s="30">
        <f>C17+D17</f>
        <v/>
      </c>
      <c r="F17" s="31">
        <f>IF(C17&gt;D17,1,IF(D17&gt;C17,2,"Tie"))</f>
        <v/>
      </c>
      <c r="G17" s="32">
        <f>IF(E17=0,"",MAX(C17,D17)/E17)</f>
        <v/>
      </c>
      <c r="H17" s="3">
        <f>IF(C17=D17,"Tie",IF(G17=1,"Pure","Mixed"))</f>
        <v/>
      </c>
      <c r="I17" s="39">
        <f>G17*1000000 + E17*1000 - B17</f>
        <v/>
      </c>
      <c r="J17" s="40">
        <f>1
+COUNTIFS($G$17:$G$18,"&gt;"&amp;G17)
+COUNTIFS($G$17:$G$18,G17,$E$17:$E$18,"&gt;"&amp;E17)
+COUNTIFS($G$17:$G$18,G17,$E$17:$E$18,E17,$B$17:$B$18,"&lt;"&amp;B17)
+COUNTIFS($G$17:$G$18,G17,$E$17:$E$18,E17,$B$17:$B$18,B17,$A$17:$A$18,"&lt;"&amp;A17)</f>
        <v/>
      </c>
    </row>
    <row r="18" ht="15" customHeight="1">
      <c r="A18" s="27" t="n"/>
      <c r="B18" s="42" t="n"/>
      <c r="C18" s="29" t="n"/>
      <c r="D18" s="29" t="n"/>
      <c r="E18" s="30" t="n"/>
      <c r="F18" s="31" t="n"/>
      <c r="G18" s="32" t="n"/>
      <c r="H18" s="3" t="n"/>
      <c r="I18" s="39" t="n"/>
      <c r="J18" s="40" t="n"/>
    </row>
    <row r="19" ht="15" customHeight="1"/>
    <row r="20" ht="15" customHeight="1"/>
    <row r="21" ht="15" customHeight="1" thickBot="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 ht="15" customHeight="1"/>
    <row r="23" ht="15" customHeight="1"/>
    <row r="24" ht="15" customHeight="1"/>
    <row r="25" ht="15" customHeight="1">
      <c r="A25" s="65" t="inlineStr">
        <is>
          <t>Reduced Binary Chebyshev</t>
        </is>
      </c>
      <c r="B25" s="100" t="n"/>
      <c r="C25" s="100" t="n"/>
      <c r="D25" s="100" t="n"/>
      <c r="E25" s="100" t="n"/>
      <c r="F25" s="101" t="n"/>
    </row>
    <row r="26" ht="34.95" customHeight="1">
      <c r="A26" s="10" t="inlineStr">
        <is>
          <t>Object</t>
        </is>
      </c>
      <c r="B26" s="19" t="inlineStr">
        <is>
          <t>Class</t>
        </is>
      </c>
      <c r="C26" s="20" t="inlineStr">
        <is>
          <t>b3</t>
        </is>
      </c>
      <c r="D26" s="20" t="inlineStr">
        <is>
          <t>b5</t>
        </is>
      </c>
      <c r="E26" s="22" t="inlineStr">
        <is>
          <t>Binary Sequence</t>
        </is>
      </c>
      <c r="F26" s="22" t="inlineStr">
        <is>
          <t>Decimal</t>
        </is>
      </c>
    </row>
    <row r="27" ht="15" customHeight="1">
      <c r="A27" s="4" t="inlineStr">
        <is>
          <t>b(S1)</t>
        </is>
      </c>
      <c r="B27" s="5" t="n">
        <v>1</v>
      </c>
      <c r="C27" s="26" t="n">
        <v>1</v>
      </c>
      <c r="D27" s="26" t="n">
        <v>1</v>
      </c>
      <c r="E27" s="27">
        <f>C27&amp;D27</f>
        <v/>
      </c>
      <c r="F27" s="27">
        <f>BIN2DEC(E27)</f>
        <v/>
      </c>
    </row>
    <row r="28" ht="15" customHeight="1">
      <c r="A28" s="4" t="inlineStr">
        <is>
          <t>b(S2)</t>
        </is>
      </c>
      <c r="B28" s="5" t="n">
        <v>1</v>
      </c>
      <c r="C28" s="26" t="n">
        <v>1</v>
      </c>
      <c r="D28" s="26" t="n">
        <v>1</v>
      </c>
      <c r="E28" s="27">
        <f>C28&amp;D28</f>
        <v/>
      </c>
      <c r="F28" s="27">
        <f>BIN2DEC(E28)</f>
        <v/>
      </c>
    </row>
    <row r="29" ht="15" customHeight="1">
      <c r="A29" s="4" t="inlineStr">
        <is>
          <t>b(S3)</t>
        </is>
      </c>
      <c r="B29" s="5" t="n">
        <v>2</v>
      </c>
      <c r="C29" s="26" t="n">
        <v>0</v>
      </c>
      <c r="D29" s="26" t="n">
        <v>1</v>
      </c>
      <c r="E29" s="27">
        <f>C29&amp;D29</f>
        <v/>
      </c>
      <c r="F29" s="27">
        <f>BIN2DEC(E29)</f>
        <v/>
      </c>
    </row>
    <row r="30" ht="15" customHeight="1">
      <c r="A30" s="4" t="inlineStr">
        <is>
          <t>b(S4)</t>
        </is>
      </c>
      <c r="B30" s="5" t="n">
        <v>1</v>
      </c>
      <c r="C30" s="26" t="n">
        <v>1</v>
      </c>
      <c r="D30" s="26" t="n">
        <v>1</v>
      </c>
      <c r="E30" s="27">
        <f>C30&amp;D30</f>
        <v/>
      </c>
      <c r="F30" s="27">
        <f>BIN2DEC(E30)</f>
        <v/>
      </c>
    </row>
    <row r="31" ht="15" customHeight="1">
      <c r="A31" s="4" t="inlineStr">
        <is>
          <t>b(S5)</t>
        </is>
      </c>
      <c r="B31" s="5" t="n">
        <v>2</v>
      </c>
      <c r="C31" s="26" t="n">
        <v>1</v>
      </c>
      <c r="D31" s="26" t="n">
        <v>1</v>
      </c>
      <c r="E31" s="27">
        <f>C31&amp;D31</f>
        <v/>
      </c>
      <c r="F31" s="27">
        <f>BIN2DEC(E31)</f>
        <v/>
      </c>
    </row>
    <row r="32" ht="15" customHeight="1">
      <c r="A32" s="4" t="inlineStr">
        <is>
          <t>b(S6)</t>
        </is>
      </c>
      <c r="B32" s="5" t="n">
        <v>1</v>
      </c>
      <c r="C32" s="26" t="n">
        <v>1</v>
      </c>
      <c r="D32" s="26" t="n">
        <v>1</v>
      </c>
      <c r="E32" s="27">
        <f>C32&amp;D32</f>
        <v/>
      </c>
      <c r="F32" s="27">
        <f>BIN2DEC(E32)</f>
        <v/>
      </c>
    </row>
    <row r="33" ht="15" customHeight="1">
      <c r="A33" s="4" t="inlineStr">
        <is>
          <t>b(S7)</t>
        </is>
      </c>
      <c r="B33" s="5" t="n">
        <v>1</v>
      </c>
      <c r="C33" s="26" t="n">
        <v>1</v>
      </c>
      <c r="D33" s="26" t="n">
        <v>1</v>
      </c>
      <c r="E33" s="27">
        <f>C33&amp;D33</f>
        <v/>
      </c>
      <c r="F33" s="27">
        <f>BIN2DEC(E33)</f>
        <v/>
      </c>
    </row>
    <row r="34" ht="15" customHeight="1">
      <c r="A34" s="4" t="inlineStr">
        <is>
          <t>b(S8)</t>
        </is>
      </c>
      <c r="B34" s="5" t="n">
        <v>1</v>
      </c>
      <c r="C34" s="26" t="n">
        <v>1</v>
      </c>
      <c r="D34" s="26" t="n">
        <v>1</v>
      </c>
      <c r="E34" s="27">
        <f>C34&amp;D34</f>
        <v/>
      </c>
      <c r="F34" s="27">
        <f>BIN2DEC(E34)</f>
        <v/>
      </c>
    </row>
    <row r="35" ht="15" customHeight="1">
      <c r="A35" s="4" t="inlineStr">
        <is>
          <t>b(S9)</t>
        </is>
      </c>
      <c r="B35" s="5" t="n">
        <v>2</v>
      </c>
      <c r="C35" s="26" t="n">
        <v>1</v>
      </c>
      <c r="D35" s="26" t="n">
        <v>1</v>
      </c>
      <c r="E35" s="27">
        <f>C35&amp;D35</f>
        <v/>
      </c>
      <c r="F35" s="27">
        <f>BIN2DEC(E35)</f>
        <v/>
      </c>
    </row>
    <row r="36" ht="15" customHeight="1">
      <c r="A36" s="4" t="inlineStr">
        <is>
          <t>b(S10)</t>
        </is>
      </c>
      <c r="B36" s="5" t="n">
        <v>2</v>
      </c>
      <c r="C36" s="26" t="n">
        <v>1</v>
      </c>
      <c r="D36" s="26" t="n">
        <v>1</v>
      </c>
      <c r="E36" s="27">
        <f>C36&amp;D36</f>
        <v/>
      </c>
      <c r="F36" s="27">
        <f>BIN2DEC(E36)</f>
        <v/>
      </c>
    </row>
    <row r="37" ht="15" customHeight="1"/>
    <row r="38" ht="15" customHeight="1"/>
    <row r="39" ht="15" customHeight="1">
      <c r="A39" s="65" t="inlineStr">
        <is>
          <t>Stats Chebyshev</t>
        </is>
      </c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1" t="n"/>
    </row>
    <row r="40" ht="49.95" customHeight="1">
      <c r="A40" s="22" t="inlineStr">
        <is>
          <t>Unique Binary Sequence</t>
        </is>
      </c>
      <c r="B40" s="41" t="inlineStr">
        <is>
          <t>Decimal</t>
        </is>
      </c>
      <c r="C40" s="23" t="inlineStr">
        <is>
          <t>Count K1</t>
        </is>
      </c>
      <c r="D40" s="23" t="inlineStr">
        <is>
          <t>Count K2</t>
        </is>
      </c>
      <c r="E40" s="24" t="inlineStr">
        <is>
          <t>Total Count</t>
        </is>
      </c>
      <c r="F40" s="25" t="inlineStr">
        <is>
          <t>Dominant Class</t>
        </is>
      </c>
      <c r="G40" s="38" t="inlineStr">
        <is>
          <t>Purity (Fuzzy)</t>
        </is>
      </c>
      <c r="H40" s="21" t="inlineStr">
        <is>
          <t>Status</t>
        </is>
      </c>
      <c r="I40" s="34" t="inlineStr">
        <is>
          <t>Rank Key</t>
        </is>
      </c>
      <c r="J40" s="33" t="inlineStr">
        <is>
          <t>Winner Rank</t>
        </is>
      </c>
    </row>
    <row r="41" ht="15" customHeight="1">
      <c r="A41" s="27">
        <f t="array" ref="A41:A42">_xlfn.UNIQUE($E$27:$E$36)</f>
        <v/>
      </c>
      <c r="B41" s="42">
        <f>BIN2DEC(A41)</f>
        <v/>
      </c>
      <c r="C41" s="29">
        <f>COUNTIFS($E$27:$E$36,$A41,$B$27:$B$36,1)</f>
        <v/>
      </c>
      <c r="D41" s="29">
        <f>COUNTIFS($E$27:$E$36,$A41,$B$27:$B$36,2)</f>
        <v/>
      </c>
      <c r="E41" s="30">
        <f>C41+D41</f>
        <v/>
      </c>
      <c r="F41" s="31">
        <f>IF(C41&gt;D41,1,IF(D41&gt;C41,2,"Tie"))</f>
        <v/>
      </c>
      <c r="G41" s="32">
        <f>IF(E41=0,"",MAX(C41,D41)/E41)</f>
        <v/>
      </c>
      <c r="H41" s="3">
        <f>IF(G41=1,"Pure",IF(G41=0.5,"Tie","Mixed"))</f>
        <v/>
      </c>
      <c r="I41" s="39">
        <f>G41*1000000 + E41*1000 - B41</f>
        <v/>
      </c>
      <c r="J41" s="40">
        <f>1
+COUNTIFS($G$41:$G$43,"&gt;"&amp;G41)
+COUNTIFS($G$41:$G$43,G41,$E$41:$E$43,"&gt;"&amp;E41)
+COUNTIFS($G$41:$G$43,G41,$E$41:$E$43,E41,$B$41:$B$43,"&lt;"&amp;B41)
+COUNTIFS($G$41:$G$43,G41,$E$41:$E$43,E41,$B$41:$B$43,B41,$A$41:$A$43,"&lt;"&amp;A41)</f>
        <v/>
      </c>
    </row>
    <row r="42" ht="15" customHeight="1">
      <c r="A42" s="27" t="inlineStr">
        <is>
          <t>01</t>
        </is>
      </c>
      <c r="B42" s="42">
        <f>BIN2DEC(A42)</f>
        <v/>
      </c>
      <c r="C42" s="29">
        <f>COUNTIFS($E$27:$E$36,$A42,$B$27:$B$36,1)</f>
        <v/>
      </c>
      <c r="D42" s="29">
        <f>COUNTIFS($E$27:$E$36,$A42,$B$27:$B$36,2)</f>
        <v/>
      </c>
      <c r="E42" s="30">
        <f>C42+D42</f>
        <v/>
      </c>
      <c r="F42" s="31">
        <f>IF(C42&gt;D42,1,IF(D42&gt;C42,2,"Tie"))</f>
        <v/>
      </c>
      <c r="G42" s="32">
        <f>IF(E42=0,"",MAX(C42,D42)/E42)</f>
        <v/>
      </c>
      <c r="H42" s="3">
        <f>IF(G42=1,"Pure",IF(G42=0.5,"Tie","Mixed"))</f>
        <v/>
      </c>
      <c r="I42" s="39">
        <f>G42*1000000 + E42*1000 - B42</f>
        <v/>
      </c>
      <c r="J42" s="40">
        <f>1
+COUNTIFS($G$41:$G$43,"&gt;"&amp;G42)
+COUNTIFS($G$41:$G$43,G42,$E$41:$E$43,"&gt;"&amp;E42)
+COUNTIFS($G$41:$G$43,G42,$E$41:$E$43,E42,$B$41:$B$43,"&lt;"&amp;B42)
+COUNTIFS($G$41:$G$43,G42,$E$41:$E$43,E42,$B$41:$B$43,B42,$A$41:$A$43,"&lt;"&amp;A42)</f>
        <v/>
      </c>
    </row>
    <row r="43" ht="15" customHeight="1">
      <c r="A43" s="27" t="n"/>
      <c r="B43" s="42" t="n"/>
      <c r="C43" s="29" t="n"/>
      <c r="D43" s="29" t="n"/>
      <c r="E43" s="30" t="n"/>
      <c r="F43" s="31" t="n"/>
      <c r="G43" s="32" t="n"/>
      <c r="H43" s="3" t="n"/>
      <c r="I43" s="39" t="n"/>
      <c r="J43" s="40" t="n"/>
    </row>
    <row r="44" ht="15" customHeight="1"/>
    <row r="45" ht="15" customHeight="1"/>
    <row r="46" ht="15" customHeight="1" thickBot="1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</row>
    <row r="47" ht="15" customHeight="1"/>
    <row r="48" ht="15" customHeight="1"/>
    <row r="49" ht="15" customHeight="1"/>
    <row r="50" ht="15" customHeight="1">
      <c r="A50" s="65" t="inlineStr">
        <is>
          <t>Reduced Binary Canberra</t>
        </is>
      </c>
      <c r="B50" s="100" t="n"/>
      <c r="C50" s="100" t="n"/>
      <c r="D50" s="100" t="n"/>
      <c r="E50" s="100" t="n"/>
      <c r="F50" s="101" t="n"/>
    </row>
    <row r="51" ht="34.95" customHeight="1">
      <c r="A51" s="10" t="inlineStr">
        <is>
          <t>Object</t>
        </is>
      </c>
      <c r="B51" s="19" t="inlineStr">
        <is>
          <t>Class</t>
        </is>
      </c>
      <c r="C51" s="20" t="inlineStr">
        <is>
          <t>b3</t>
        </is>
      </c>
      <c r="D51" s="20" t="inlineStr">
        <is>
          <t>b5</t>
        </is>
      </c>
      <c r="E51" s="22" t="inlineStr">
        <is>
          <t>Binary Sequence</t>
        </is>
      </c>
      <c r="F51" s="22" t="inlineStr">
        <is>
          <t>Decimal</t>
        </is>
      </c>
    </row>
    <row r="52" ht="15" customHeight="1">
      <c r="A52" s="4" t="inlineStr">
        <is>
          <t>b(S1)</t>
        </is>
      </c>
      <c r="B52" s="5" t="n">
        <v>1</v>
      </c>
      <c r="C52" s="26" t="n">
        <v>1</v>
      </c>
      <c r="D52" s="26" t="n">
        <v>1</v>
      </c>
      <c r="E52" s="27" t="inlineStr">
        <is>
          <t>11</t>
        </is>
      </c>
      <c r="F52" s="27" t="n">
        <v>3</v>
      </c>
    </row>
    <row r="53" ht="15" customHeight="1">
      <c r="A53" s="4" t="inlineStr">
        <is>
          <t>b(S2)</t>
        </is>
      </c>
      <c r="B53" s="5" t="n">
        <v>1</v>
      </c>
      <c r="C53" s="26" t="n">
        <v>1</v>
      </c>
      <c r="D53" s="26" t="n">
        <v>1</v>
      </c>
      <c r="E53" s="27" t="inlineStr">
        <is>
          <t>11</t>
        </is>
      </c>
      <c r="F53" s="27" t="n">
        <v>3</v>
      </c>
    </row>
    <row r="54" ht="15" customHeight="1">
      <c r="A54" s="4" t="inlineStr">
        <is>
          <t>b(S3)</t>
        </is>
      </c>
      <c r="B54" s="5" t="n">
        <v>2</v>
      </c>
      <c r="C54" s="26" t="n">
        <v>1</v>
      </c>
      <c r="D54" s="26" t="n">
        <v>1</v>
      </c>
      <c r="E54" s="27" t="inlineStr">
        <is>
          <t>11</t>
        </is>
      </c>
      <c r="F54" s="27" t="n">
        <v>3</v>
      </c>
    </row>
    <row r="55" ht="15" customHeight="1">
      <c r="A55" s="4" t="inlineStr">
        <is>
          <t>b(S4)</t>
        </is>
      </c>
      <c r="B55" s="5" t="n">
        <v>1</v>
      </c>
      <c r="C55" s="26" t="n">
        <v>1</v>
      </c>
      <c r="D55" s="26" t="n">
        <v>1</v>
      </c>
      <c r="E55" s="27" t="inlineStr">
        <is>
          <t>11</t>
        </is>
      </c>
      <c r="F55" s="27" t="n">
        <v>3</v>
      </c>
    </row>
    <row r="56" ht="15" customHeight="1">
      <c r="A56" s="4" t="inlineStr">
        <is>
          <t>b(S5)</t>
        </is>
      </c>
      <c r="B56" s="5" t="n">
        <v>2</v>
      </c>
      <c r="C56" s="26" t="n">
        <v>1</v>
      </c>
      <c r="D56" s="26" t="n">
        <v>1</v>
      </c>
      <c r="E56" s="27" t="inlineStr">
        <is>
          <t>11</t>
        </is>
      </c>
      <c r="F56" s="27" t="n">
        <v>3</v>
      </c>
    </row>
    <row r="57" ht="15" customHeight="1">
      <c r="A57" s="4" t="inlineStr">
        <is>
          <t>b(S6)</t>
        </is>
      </c>
      <c r="B57" s="5" t="n">
        <v>1</v>
      </c>
      <c r="C57" s="26" t="n">
        <v>1</v>
      </c>
      <c r="D57" s="26" t="n">
        <v>1</v>
      </c>
      <c r="E57" s="27" t="inlineStr">
        <is>
          <t>11</t>
        </is>
      </c>
      <c r="F57" s="27" t="n">
        <v>3</v>
      </c>
    </row>
    <row r="58" ht="15" customHeight="1">
      <c r="A58" s="4" t="inlineStr">
        <is>
          <t>b(S7)</t>
        </is>
      </c>
      <c r="B58" s="5" t="n">
        <v>1</v>
      </c>
      <c r="C58" s="26" t="n">
        <v>1</v>
      </c>
      <c r="D58" s="26" t="n">
        <v>1</v>
      </c>
      <c r="E58" s="27" t="inlineStr">
        <is>
          <t>11</t>
        </is>
      </c>
      <c r="F58" s="27" t="n">
        <v>3</v>
      </c>
    </row>
    <row r="59" ht="15" customHeight="1">
      <c r="A59" s="4" t="inlineStr">
        <is>
          <t>b(S8)</t>
        </is>
      </c>
      <c r="B59" s="5" t="n">
        <v>1</v>
      </c>
      <c r="C59" s="26" t="n">
        <v>1</v>
      </c>
      <c r="D59" s="26" t="n">
        <v>1</v>
      </c>
      <c r="E59" s="27" t="inlineStr">
        <is>
          <t>11</t>
        </is>
      </c>
      <c r="F59" s="27" t="n">
        <v>3</v>
      </c>
    </row>
    <row r="60" ht="15" customHeight="1">
      <c r="A60" s="4" t="inlineStr">
        <is>
          <t>b(S9)</t>
        </is>
      </c>
      <c r="B60" s="5" t="n">
        <v>2</v>
      </c>
      <c r="C60" s="26" t="n">
        <v>1</v>
      </c>
      <c r="D60" s="26" t="n">
        <v>1</v>
      </c>
      <c r="E60" s="27" t="inlineStr">
        <is>
          <t>11</t>
        </is>
      </c>
      <c r="F60" s="27" t="n">
        <v>3</v>
      </c>
    </row>
    <row r="61" ht="15" customHeight="1">
      <c r="A61" s="4" t="inlineStr">
        <is>
          <t>b(S10)</t>
        </is>
      </c>
      <c r="B61" s="5" t="n">
        <v>2</v>
      </c>
      <c r="C61" s="26" t="n">
        <v>1</v>
      </c>
      <c r="D61" s="26" t="n">
        <v>1</v>
      </c>
      <c r="E61" s="27" t="inlineStr">
        <is>
          <t>11</t>
        </is>
      </c>
      <c r="F61" s="27" t="n">
        <v>3</v>
      </c>
    </row>
    <row r="62" ht="15" customHeight="1"/>
    <row r="63" ht="15" customHeight="1"/>
    <row r="64" ht="15" customHeight="1">
      <c r="A64" s="65" t="inlineStr">
        <is>
          <t>Stats Canberra</t>
        </is>
      </c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1" t="n"/>
    </row>
    <row r="65" ht="49.95" customHeight="1">
      <c r="A65" s="22" t="inlineStr">
        <is>
          <t>Unique Binary Sequence</t>
        </is>
      </c>
      <c r="B65" s="41" t="inlineStr">
        <is>
          <t>Decimal</t>
        </is>
      </c>
      <c r="C65" s="23" t="inlineStr">
        <is>
          <t>Count K1</t>
        </is>
      </c>
      <c r="D65" s="23" t="inlineStr">
        <is>
          <t>Count K2</t>
        </is>
      </c>
      <c r="E65" s="24" t="inlineStr">
        <is>
          <t>Total Count</t>
        </is>
      </c>
      <c r="F65" s="25" t="inlineStr">
        <is>
          <t>Dominant Class</t>
        </is>
      </c>
      <c r="G65" s="38" t="inlineStr">
        <is>
          <t>Purity (Fuzzy)</t>
        </is>
      </c>
      <c r="H65" s="21" t="inlineStr">
        <is>
          <t>Status</t>
        </is>
      </c>
      <c r="I65" s="34" t="inlineStr">
        <is>
          <t>Rank Key</t>
        </is>
      </c>
      <c r="J65" s="33" t="inlineStr">
        <is>
          <t>Winner Rank</t>
        </is>
      </c>
    </row>
    <row r="66" ht="15" customHeight="1">
      <c r="A66" s="27" t="inlineStr">
        <is>
          <t>11</t>
        </is>
      </c>
      <c r="B66" s="42" t="n">
        <v>3</v>
      </c>
      <c r="C66" s="29" t="n">
        <v>6</v>
      </c>
      <c r="D66" s="29" t="n">
        <v>4</v>
      </c>
      <c r="E66" s="30" t="n">
        <v>10</v>
      </c>
      <c r="F66" s="31" t="n">
        <v>1</v>
      </c>
      <c r="G66" s="32" t="n">
        <v>0.6</v>
      </c>
      <c r="H66" s="3" t="inlineStr">
        <is>
          <t>Mixed</t>
        </is>
      </c>
      <c r="I66" s="39" t="n">
        <v>609997</v>
      </c>
      <c r="J66" s="40" t="n">
        <v>1</v>
      </c>
    </row>
    <row r="67" ht="15" customHeight="1">
      <c r="A67" s="27" t="n"/>
      <c r="B67" s="42" t="n"/>
      <c r="C67" s="29" t="n"/>
      <c r="D67" s="29" t="n"/>
      <c r="E67" s="30" t="n"/>
      <c r="F67" s="31" t="n"/>
      <c r="G67" s="32" t="n"/>
      <c r="H67" s="3" t="n"/>
      <c r="I67" s="39" t="n"/>
      <c r="J67" s="40" t="n"/>
    </row>
    <row r="68" ht="15" customHeight="1">
      <c r="A68" s="27" t="n"/>
      <c r="B68" s="42" t="n"/>
      <c r="C68" s="29" t="n"/>
      <c r="D68" s="29" t="n"/>
      <c r="E68" s="30" t="n"/>
      <c r="F68" s="31" t="n"/>
      <c r="G68" s="32" t="n"/>
      <c r="H68" s="3" t="n"/>
      <c r="I68" s="39" t="n"/>
      <c r="J68" s="40" t="n"/>
    </row>
    <row r="69" ht="15" customHeight="1"/>
    <row r="70" ht="15" customHeight="1"/>
    <row r="71" ht="15" customHeight="1" thickBot="1"/>
    <row r="72" ht="15" customHeight="1" thickBot="1">
      <c r="A72" s="109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1" t="n"/>
    </row>
    <row r="73" ht="15" customHeight="1"/>
    <row r="74" ht="15" customHeight="1"/>
    <row r="75" ht="15" customHeight="1"/>
    <row r="76" ht="15" customHeight="1">
      <c r="A76" s="65" t="inlineStr">
        <is>
          <t>Final Comparison Stats among Metrics</t>
        </is>
      </c>
      <c r="B76" s="100" t="n"/>
      <c r="C76" s="100" t="n"/>
      <c r="D76" s="100" t="n"/>
      <c r="E76" s="100" t="n"/>
      <c r="F76" s="101" t="n"/>
    </row>
    <row r="77" ht="49.95" customHeight="1">
      <c r="A77" s="36" t="inlineStr">
        <is>
          <t>Metric</t>
        </is>
      </c>
      <c r="B77" s="35" t="inlineStr">
        <is>
          <t>Winner Class</t>
        </is>
      </c>
      <c r="C77" s="22" t="inlineStr">
        <is>
          <t>Winner Binary</t>
        </is>
      </c>
      <c r="D77" s="43" t="inlineStr">
        <is>
          <t>Winner Decimal</t>
        </is>
      </c>
      <c r="E77" s="37" t="inlineStr">
        <is>
          <t>Winner Frequency</t>
        </is>
      </c>
      <c r="F77" s="34" t="inlineStr">
        <is>
          <t>Winner Purity (Fuzzy)</t>
        </is>
      </c>
    </row>
    <row r="78" ht="19.95" customHeight="1">
      <c r="A78" s="4" t="inlineStr">
        <is>
          <t>Euclidean</t>
        </is>
      </c>
      <c r="B78" s="46">
        <f>INDEX($F$17:$F$18,MATCH(1,$J$17:$J$18,0))</f>
        <v/>
      </c>
      <c r="C78" s="32">
        <f>INDEX($A$17:$A$18,MATCH(1,$J$17:$J$18,0))</f>
        <v/>
      </c>
      <c r="D78" s="44">
        <f>INDEX($B$17:$B$18,MATCH(1,$J$17:$J$18,0))</f>
        <v/>
      </c>
      <c r="E78" s="45">
        <f>INDEX($E$17:$E$18,MATCH(1,$J$17:$J$18,0))</f>
        <v/>
      </c>
      <c r="F78" s="47">
        <f>INDEX($G$17:$G$18,MATCH(1,$J$17:$J$18,0))</f>
        <v/>
      </c>
    </row>
    <row r="79" ht="19.95" customHeight="1">
      <c r="A79" s="4" t="inlineStr">
        <is>
          <t>Chebyshev</t>
        </is>
      </c>
      <c r="B79" s="46">
        <f>INDEX($F$41:$F$43,MATCH(1,$J$41:$J$43,0))</f>
        <v/>
      </c>
      <c r="C79" s="32">
        <f>INDEX($A$41:$A$43,MATCH(1,$J$41:$J$43,0))</f>
        <v/>
      </c>
      <c r="D79" s="44">
        <f>INDEX($B$41:$B$43,MATCH(1,$J$41:$J$43,0))</f>
        <v/>
      </c>
      <c r="E79" s="45">
        <f>INDEX($E$41:$E$43,MATCH(1,$J$41:$J$43,0))</f>
        <v/>
      </c>
      <c r="F79" s="47">
        <f>INDEX($G$41:$G$43,MATCH(1,$J$41:$J$43,0))</f>
        <v/>
      </c>
    </row>
    <row r="80" ht="19.95" customHeight="1">
      <c r="A80" s="4" t="inlineStr">
        <is>
          <t>Canberra</t>
        </is>
      </c>
      <c r="B80" s="46" t="n">
        <v>1</v>
      </c>
      <c r="C80" s="32" t="inlineStr">
        <is>
          <t>11</t>
        </is>
      </c>
      <c r="D80" s="44" t="n">
        <v>3</v>
      </c>
      <c r="E80" s="45" t="n">
        <v>10</v>
      </c>
      <c r="F80" s="47" t="n">
        <v>0.6</v>
      </c>
    </row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mergeCells count="8">
    <mergeCell ref="A76:F76"/>
    <mergeCell ref="A1:F1"/>
    <mergeCell ref="A39:J39"/>
    <mergeCell ref="A15:J15"/>
    <mergeCell ref="A50:F50"/>
    <mergeCell ref="A72:J72"/>
    <mergeCell ref="A64:J64"/>
    <mergeCell ref="A25:F25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21" workbookViewId="0">
      <selection activeCell="I28" sqref="I28"/>
    </sheetView>
  </sheetViews>
  <sheetFormatPr baseColWidth="8" defaultRowHeight="14.4"/>
  <cols>
    <col width="10.77734375" customWidth="1" min="1" max="9"/>
    <col width="8.77734375" customWidth="1" min="10" max="12"/>
  </cols>
  <sheetData>
    <row r="1" ht="15.6" customHeight="1">
      <c r="A1" s="65" t="inlineStr">
        <is>
          <t>Reduced Binary Euclidean</t>
        </is>
      </c>
      <c r="B1" s="100" t="n"/>
      <c r="C1" s="100" t="n"/>
      <c r="D1" s="101" t="n"/>
    </row>
    <row r="2" ht="15.6" customHeight="1">
      <c r="A2" s="10" t="inlineStr">
        <is>
          <t>Object</t>
        </is>
      </c>
      <c r="B2" s="19" t="inlineStr">
        <is>
          <t>Class</t>
        </is>
      </c>
      <c r="C2" s="20" t="inlineStr">
        <is>
          <t>b3</t>
        </is>
      </c>
      <c r="D2" s="20" t="inlineStr">
        <is>
          <t>b5</t>
        </is>
      </c>
    </row>
    <row r="3" ht="15.6" customHeight="1">
      <c r="A3" s="4" t="inlineStr">
        <is>
          <t>b(S1)</t>
        </is>
      </c>
      <c r="B3" s="5" t="n">
        <v>1</v>
      </c>
      <c r="C3" s="26" t="n">
        <v>1</v>
      </c>
      <c r="D3" s="26" t="n">
        <v>1</v>
      </c>
    </row>
    <row r="4" ht="15.6" customHeight="1">
      <c r="A4" s="4" t="inlineStr">
        <is>
          <t>b(S2)</t>
        </is>
      </c>
      <c r="B4" s="5" t="n">
        <v>1</v>
      </c>
      <c r="C4" s="26" t="n">
        <v>1</v>
      </c>
      <c r="D4" s="26" t="n">
        <v>1</v>
      </c>
    </row>
    <row r="5" ht="15.6" customHeight="1">
      <c r="A5" s="4" t="inlineStr">
        <is>
          <t>b(S3)</t>
        </is>
      </c>
      <c r="B5" s="5" t="n">
        <v>2</v>
      </c>
      <c r="C5" s="26" t="n">
        <v>1</v>
      </c>
      <c r="D5" s="26" t="n">
        <v>1</v>
      </c>
    </row>
    <row r="6" ht="15.6" customHeight="1">
      <c r="A6" s="4" t="inlineStr">
        <is>
          <t>b(S4)</t>
        </is>
      </c>
      <c r="B6" s="5" t="n">
        <v>1</v>
      </c>
      <c r="C6" s="26" t="n">
        <v>1</v>
      </c>
      <c r="D6" s="26" t="n">
        <v>1</v>
      </c>
    </row>
    <row r="7" ht="15.6" customHeight="1">
      <c r="A7" s="4" t="inlineStr">
        <is>
          <t>b(S5)</t>
        </is>
      </c>
      <c r="B7" s="5" t="n">
        <v>2</v>
      </c>
      <c r="C7" s="26" t="n">
        <v>1</v>
      </c>
      <c r="D7" s="26" t="n">
        <v>1</v>
      </c>
    </row>
    <row r="8" ht="15.6" customHeight="1">
      <c r="A8" s="4" t="inlineStr">
        <is>
          <t>b(S6)</t>
        </is>
      </c>
      <c r="B8" s="5" t="n">
        <v>1</v>
      </c>
      <c r="C8" s="26" t="n">
        <v>1</v>
      </c>
      <c r="D8" s="26" t="n">
        <v>1</v>
      </c>
    </row>
    <row r="9" ht="15.6" customHeight="1">
      <c r="A9" s="4" t="inlineStr">
        <is>
          <t>b(S7)</t>
        </is>
      </c>
      <c r="B9" s="5" t="n">
        <v>1</v>
      </c>
      <c r="C9" s="26" t="n">
        <v>1</v>
      </c>
      <c r="D9" s="26" t="n">
        <v>1</v>
      </c>
    </row>
    <row r="10" ht="15.6" customHeight="1">
      <c r="A10" s="4" t="inlineStr">
        <is>
          <t>b(S8)</t>
        </is>
      </c>
      <c r="B10" s="5" t="n">
        <v>1</v>
      </c>
      <c r="C10" s="26" t="n">
        <v>1</v>
      </c>
      <c r="D10" s="26" t="n">
        <v>1</v>
      </c>
    </row>
    <row r="11" ht="15.6" customHeight="1">
      <c r="A11" s="4" t="inlineStr">
        <is>
          <t>b(S9)</t>
        </is>
      </c>
      <c r="B11" s="5" t="n">
        <v>2</v>
      </c>
      <c r="C11" s="26" t="n">
        <v>1</v>
      </c>
      <c r="D11" s="26" t="n">
        <v>1</v>
      </c>
    </row>
    <row r="12" ht="15.6" customHeight="1">
      <c r="A12" s="4" t="inlineStr">
        <is>
          <t>b(S10)</t>
        </is>
      </c>
      <c r="B12" s="5" t="n">
        <v>2</v>
      </c>
      <c r="C12" s="26" t="n">
        <v>1</v>
      </c>
      <c r="D12" s="26" t="n">
        <v>1</v>
      </c>
    </row>
    <row r="16" ht="15.6" customHeight="1">
      <c r="A16" s="65" t="inlineStr">
        <is>
          <t>Reduced Binary Euclidean</t>
        </is>
      </c>
      <c r="B16" s="100" t="n"/>
      <c r="C16" s="100" t="n"/>
      <c r="D16" s="100" t="n"/>
      <c r="E16" s="100" t="n"/>
      <c r="F16" s="101" t="n"/>
    </row>
    <row r="17" ht="31.2" customHeight="1">
      <c r="A17" s="10" t="inlineStr">
        <is>
          <t>Object</t>
        </is>
      </c>
      <c r="B17" s="19" t="inlineStr">
        <is>
          <t>Class</t>
        </is>
      </c>
      <c r="C17" s="22" t="inlineStr">
        <is>
          <t>Binary (b3)</t>
        </is>
      </c>
      <c r="D17" s="22" t="inlineStr">
        <is>
          <t>Decimal (b3)</t>
        </is>
      </c>
      <c r="E17" s="22" t="inlineStr">
        <is>
          <t>Binary (b3+b5)</t>
        </is>
      </c>
      <c r="F17" s="22" t="inlineStr">
        <is>
          <t>Decimal (b3+b5)</t>
        </is>
      </c>
    </row>
    <row r="18" ht="15.6" customHeight="1">
      <c r="A18" s="4" t="inlineStr">
        <is>
          <t>b(S1)</t>
        </is>
      </c>
      <c r="B18" s="5" t="n">
        <v>1</v>
      </c>
      <c r="C18" s="27">
        <f>C3</f>
        <v/>
      </c>
      <c r="D18" s="27">
        <f>BIN2DEC(C18)</f>
        <v/>
      </c>
      <c r="E18" s="27">
        <f>C3&amp;D3</f>
        <v/>
      </c>
      <c r="F18" s="27">
        <f>BIN2DEC(E18)</f>
        <v/>
      </c>
    </row>
    <row r="19" ht="15.6" customHeight="1">
      <c r="A19" s="4" t="inlineStr">
        <is>
          <t>b(S2)</t>
        </is>
      </c>
      <c r="B19" s="5" t="n">
        <v>1</v>
      </c>
      <c r="C19" s="27">
        <f>C4</f>
        <v/>
      </c>
      <c r="D19" s="27">
        <f>BIN2DEC(C19)</f>
        <v/>
      </c>
      <c r="E19" s="27">
        <f>C4&amp;D4</f>
        <v/>
      </c>
      <c r="F19" s="27">
        <f>BIN2DEC(E19)</f>
        <v/>
      </c>
    </row>
    <row r="20" ht="15.6" customHeight="1">
      <c r="A20" s="4" t="inlineStr">
        <is>
          <t>b(S3)</t>
        </is>
      </c>
      <c r="B20" s="5" t="n">
        <v>2</v>
      </c>
      <c r="C20" s="27">
        <f>C5</f>
        <v/>
      </c>
      <c r="D20" s="27">
        <f>BIN2DEC(C20)</f>
        <v/>
      </c>
      <c r="E20" s="27">
        <f>C5&amp;D5</f>
        <v/>
      </c>
      <c r="F20" s="27">
        <f>BIN2DEC(E20)</f>
        <v/>
      </c>
    </row>
    <row r="21" ht="15.6" customHeight="1">
      <c r="A21" s="4" t="inlineStr">
        <is>
          <t>b(S4)</t>
        </is>
      </c>
      <c r="B21" s="5" t="n">
        <v>1</v>
      </c>
      <c r="C21" s="27">
        <f>C6</f>
        <v/>
      </c>
      <c r="D21" s="27">
        <f>BIN2DEC(C21)</f>
        <v/>
      </c>
      <c r="E21" s="27">
        <f>C6&amp;D6</f>
        <v/>
      </c>
      <c r="F21" s="27">
        <f>BIN2DEC(E21)</f>
        <v/>
      </c>
    </row>
    <row r="22" ht="15.6" customHeight="1">
      <c r="A22" s="4" t="inlineStr">
        <is>
          <t>b(S5)</t>
        </is>
      </c>
      <c r="B22" s="5" t="n">
        <v>2</v>
      </c>
      <c r="C22" s="27">
        <f>C7</f>
        <v/>
      </c>
      <c r="D22" s="27">
        <f>BIN2DEC(C22)</f>
        <v/>
      </c>
      <c r="E22" s="27">
        <f>C7&amp;D7</f>
        <v/>
      </c>
      <c r="F22" s="27">
        <f>BIN2DEC(E22)</f>
        <v/>
      </c>
    </row>
    <row r="23" ht="15.6" customHeight="1">
      <c r="A23" s="4" t="inlineStr">
        <is>
          <t>b(S6)</t>
        </is>
      </c>
      <c r="B23" s="5" t="n">
        <v>1</v>
      </c>
      <c r="C23" s="27">
        <f>C8</f>
        <v/>
      </c>
      <c r="D23" s="27">
        <f>BIN2DEC(C23)</f>
        <v/>
      </c>
      <c r="E23" s="27">
        <f>C8&amp;D8</f>
        <v/>
      </c>
      <c r="F23" s="27">
        <f>BIN2DEC(E23)</f>
        <v/>
      </c>
    </row>
    <row r="24" ht="15.6" customHeight="1">
      <c r="A24" s="4" t="inlineStr">
        <is>
          <t>b(S7)</t>
        </is>
      </c>
      <c r="B24" s="5" t="n">
        <v>1</v>
      </c>
      <c r="C24" s="27">
        <f>C9</f>
        <v/>
      </c>
      <c r="D24" s="27">
        <f>BIN2DEC(C24)</f>
        <v/>
      </c>
      <c r="E24" s="27">
        <f>C9&amp;D9</f>
        <v/>
      </c>
      <c r="F24" s="27">
        <f>BIN2DEC(E24)</f>
        <v/>
      </c>
    </row>
    <row r="25" ht="15.6" customHeight="1">
      <c r="A25" s="4" t="inlineStr">
        <is>
          <t>b(S8)</t>
        </is>
      </c>
      <c r="B25" s="5" t="n">
        <v>1</v>
      </c>
      <c r="C25" s="27">
        <f>C10</f>
        <v/>
      </c>
      <c r="D25" s="27">
        <f>BIN2DEC(C25)</f>
        <v/>
      </c>
      <c r="E25" s="27">
        <f>C10&amp;D10</f>
        <v/>
      </c>
      <c r="F25" s="27">
        <f>BIN2DEC(E25)</f>
        <v/>
      </c>
    </row>
    <row r="26" ht="15.6" customHeight="1">
      <c r="A26" s="4" t="inlineStr">
        <is>
          <t>b(S9)</t>
        </is>
      </c>
      <c r="B26" s="5" t="n">
        <v>2</v>
      </c>
      <c r="C26" s="27">
        <f>C11</f>
        <v/>
      </c>
      <c r="D26" s="27">
        <f>BIN2DEC(C26)</f>
        <v/>
      </c>
      <c r="E26" s="27">
        <f>C11&amp;D11</f>
        <v/>
      </c>
      <c r="F26" s="27">
        <f>BIN2DEC(E26)</f>
        <v/>
      </c>
    </row>
    <row r="27" ht="15.6" customHeight="1">
      <c r="A27" s="4" t="inlineStr">
        <is>
          <t>b(S10)</t>
        </is>
      </c>
      <c r="B27" s="5" t="n">
        <v>2</v>
      </c>
      <c r="C27" s="27">
        <f>C12</f>
        <v/>
      </c>
      <c r="D27" s="27">
        <f>BIN2DEC(C27)</f>
        <v/>
      </c>
      <c r="E27" s="27">
        <f>C12&amp;D12</f>
        <v/>
      </c>
      <c r="F27" s="27">
        <f>BIN2DEC(E27)</f>
        <v/>
      </c>
    </row>
    <row r="30" ht="15" customHeight="1" thickBot="1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</row>
    <row r="34" ht="15.6" customHeight="1">
      <c r="A34" s="65" t="inlineStr">
        <is>
          <t>Membership function and Stability for Decimal of Reduced Binary Euclidean (b3)</t>
        </is>
      </c>
      <c r="B34" s="100" t="n"/>
      <c r="C34" s="100" t="n"/>
      <c r="D34" s="100" t="n"/>
      <c r="E34" s="100" t="n"/>
      <c r="F34" s="100" t="n"/>
      <c r="G34" s="100" t="n"/>
      <c r="H34" s="101" t="n"/>
    </row>
    <row r="35" ht="19.95" customHeight="1">
      <c r="A35" s="22" t="n"/>
      <c r="B35" s="22" t="n"/>
      <c r="C35" s="22" t="n"/>
      <c r="D35" s="22" t="n"/>
      <c r="E35" s="23" t="n"/>
      <c r="F35" s="50" t="n"/>
    </row>
    <row r="36" ht="15.6" customHeight="1">
      <c r="A36" s="51">
        <f t="array" ref="A36">_xlfn._xlws.SORT(_xlfn.UNIQUE($D$18:$D$27))</f>
        <v/>
      </c>
      <c r="B36" s="51">
        <f>COUNTIFS($D$18:$D$27,$A36,$B$18:$B$27,1)</f>
        <v/>
      </c>
      <c r="C36" s="51">
        <f>COUNTIFS($D$18:$D$27,$A36,$B$18:$B$27,2)</f>
        <v/>
      </c>
      <c r="D36" s="51">
        <f>B36+C36</f>
        <v/>
      </c>
      <c r="E36" s="52">
        <f>IF(D36=0,"",(B36/COUNTIF($B$18:$B$27,1))/((B36/COUNTIF($B$18:$B$27,1))+(C36/COUNTIF($B$18:$B$27,2))))</f>
        <v/>
      </c>
      <c r="F36" s="51">
        <f>IF(E36="","",IF(E36&gt;0.5,"Closer to K1",IF(E36&lt;0.5,"Closer to K2","Neutral")))</f>
        <v/>
      </c>
      <c r="H36" s="53" t="n"/>
      <c r="I36" s="54">
        <f>IF(D36=0,"",IF(E36&gt;=0.5,D36*E36/COUNT($B$18:$B$27),D36*(1-E36)/COUNT($B$18:$B$27)))</f>
        <v/>
      </c>
      <c r="J36" s="99">
        <f>IF(I36&lt;=0.5,"(Not distinguishable)",IF(I36&lt;=0.6,"(Poor stability)",IF(I36&lt;=0.8,"(Satisfactory)","(High)")))</f>
        <v/>
      </c>
      <c r="K36" s="100" t="n"/>
      <c r="L36" s="101" t="n"/>
    </row>
    <row r="39" ht="15.6" customHeight="1"/>
    <row r="40" ht="15.6" customHeight="1">
      <c r="A40" s="65" t="inlineStr">
        <is>
          <t>Membership function and Stability for Decimal of Reduced Binary Euclidean (b3+b5)</t>
        </is>
      </c>
      <c r="B40" s="100" t="n"/>
      <c r="C40" s="100" t="n"/>
      <c r="D40" s="100" t="n"/>
      <c r="E40" s="100" t="n"/>
      <c r="F40" s="100" t="n"/>
      <c r="G40" s="100" t="n"/>
      <c r="H40" s="101" t="n"/>
    </row>
    <row r="41" ht="19.95" customHeight="1">
      <c r="A41" s="22" t="n"/>
      <c r="B41" s="22" t="n"/>
      <c r="C41" s="22" t="n"/>
      <c r="D41" s="22" t="n"/>
      <c r="E41" s="23" t="n"/>
      <c r="F41" s="50" t="n"/>
    </row>
    <row r="42" ht="18" customHeight="1">
      <c r="A42" s="51">
        <f t="array" ref="A42">_xlfn._xlws.SORT(_xlfn.UNIQUE($F$18:$F$27))</f>
        <v/>
      </c>
      <c r="B42" s="51">
        <f>COUNTIFS($F$18:$F$27,$A42,$B$18:$B$27,1)</f>
        <v/>
      </c>
      <c r="C42" s="51">
        <f>COUNTIFS($F$18:$F$27,$A42,$B$18:$B$27,2)</f>
        <v/>
      </c>
      <c r="D42" s="51">
        <f>B42+C42</f>
        <v/>
      </c>
      <c r="E42" s="52">
        <f>IF(D42=0,"",(B42/COUNTIF($B$18:$B$27,1))/((B42/COUNTIF($B$18:$B$27,1))+(C42/COUNTIF($B$18:$B$27,2))))</f>
        <v/>
      </c>
      <c r="F42" s="51">
        <f>IF(E42="","",IF(E42&gt;0.5,"Closer to K1",IF(E42&lt;0.5,"Closer to K2","Neutral")))</f>
        <v/>
      </c>
      <c r="H42" s="53" t="n"/>
      <c r="I42" s="54">
        <f>IF(D42=0,"",IF(E42&gt;=0.5,D42*E42/COUNT($B$18:$B$27),D42*(1-E42)/COUNT($B$18:$B$27)))</f>
        <v/>
      </c>
      <c r="J42" s="99">
        <f>IF(I42&lt;=0.5,"(Not distinguishable)",IF(I42&lt;=0.6,"(Poor stability)",IF(I42&lt;=0.8,"(Satisfactory)","(High)")))</f>
        <v/>
      </c>
      <c r="K42" s="100" t="n"/>
      <c r="L42" s="101" t="n"/>
    </row>
  </sheetData>
  <mergeCells count="6">
    <mergeCell ref="A1:D1"/>
    <mergeCell ref="A16:F16"/>
    <mergeCell ref="J42:L42"/>
    <mergeCell ref="J36:L36"/>
    <mergeCell ref="A40:H40"/>
    <mergeCell ref="A34:H34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cols>
    <col width="18" customWidth="1" min="1" max="1"/>
    <col width="15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/>
    <row r="2"/>
    <row r="3"/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2026-06-08T09:24:52Z</dcterms:modified>
</cp:coreProperties>
</file>