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BA66AF9A-6C83-4249-9AFD-094AF99C463C}" xr6:coauthVersionLast="47" xr6:coauthVersionMax="47" xr10:uidLastSave="{00000000-0000-0000-0000-000000000000}"/>
  <bookViews>
    <workbookView xWindow="-108" yWindow="-108" windowWidth="23256" windowHeight="13176" firstSheet="2" activeTab="6" xr2:uid="{00000000-000D-0000-FFFF-FFFF00000000}"/>
  </bookViews>
  <sheets>
    <sheet name="Dataset" sheetId="1" r:id="rId1"/>
    <sheet name="Normalized_Dataset" sheetId="26" r:id="rId2"/>
    <sheet name="Distance_Matrix" sheetId="25" r:id="rId3"/>
    <sheet name="Metrics_Neighbors &amp; A(S)" sheetId="27" r:id="rId4"/>
    <sheet name="Binary_Matrix (b(S))" sheetId="28" r:id="rId5"/>
    <sheet name="Binary_Sequence_Statistics" sheetId="29" r:id="rId6"/>
    <sheet name="Stability" sheetId="31" r:id="rId7"/>
    <sheet name="Dominant Metric" sheetId="3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4" i="31" l="1"/>
  <c r="F24" i="31" s="1"/>
  <c r="E21" i="31"/>
  <c r="F21" i="31" s="1"/>
  <c r="E19" i="31"/>
  <c r="F19" i="31" s="1"/>
  <c r="E20" i="31"/>
  <c r="F20" i="31" s="1"/>
  <c r="E22" i="31"/>
  <c r="F22" i="31" s="1"/>
  <c r="E23" i="31"/>
  <c r="F23" i="31" s="1"/>
  <c r="E25" i="31"/>
  <c r="F25" i="31" s="1"/>
  <c r="E26" i="31"/>
  <c r="F26" i="31" s="1"/>
  <c r="E27" i="31"/>
  <c r="F27" i="31" s="1"/>
  <c r="C23" i="31"/>
  <c r="D23" i="31" s="1"/>
  <c r="C19" i="31"/>
  <c r="D19" i="31" s="1"/>
  <c r="C20" i="31"/>
  <c r="D20" i="31" s="1"/>
  <c r="C21" i="31"/>
  <c r="D21" i="31" s="1"/>
  <c r="C22" i="31"/>
  <c r="D22" i="31" s="1"/>
  <c r="C24" i="31"/>
  <c r="D24" i="31" s="1"/>
  <c r="C25" i="31"/>
  <c r="D25" i="31" s="1"/>
  <c r="C26" i="31"/>
  <c r="D26" i="31" s="1"/>
  <c r="C27" i="31"/>
  <c r="D27" i="31" s="1"/>
  <c r="C18" i="31"/>
  <c r="D18" i="31" s="1"/>
  <c r="E18" i="31"/>
  <c r="F18" i="31" s="1"/>
  <c r="E52" i="29"/>
  <c r="F52" i="29" s="1"/>
  <c r="F60" i="29"/>
  <c r="E53" i="29"/>
  <c r="F53" i="29" s="1"/>
  <c r="E54" i="29"/>
  <c r="F54" i="29" s="1"/>
  <c r="E55" i="29"/>
  <c r="F55" i="29" s="1"/>
  <c r="E56" i="29"/>
  <c r="F56" i="29" s="1"/>
  <c r="E57" i="29"/>
  <c r="F57" i="29" s="1"/>
  <c r="E58" i="29"/>
  <c r="F58" i="29" s="1"/>
  <c r="E59" i="29"/>
  <c r="F59" i="29" s="1"/>
  <c r="E60" i="29"/>
  <c r="E61" i="29"/>
  <c r="F61" i="29" s="1"/>
  <c r="E28" i="29"/>
  <c r="F28" i="29" s="1"/>
  <c r="E29" i="29"/>
  <c r="F29" i="29" s="1"/>
  <c r="E30" i="29"/>
  <c r="F30" i="29" s="1"/>
  <c r="E31" i="29"/>
  <c r="F31" i="29" s="1"/>
  <c r="E32" i="29"/>
  <c r="F32" i="29" s="1"/>
  <c r="E33" i="29"/>
  <c r="F33" i="29" s="1"/>
  <c r="E34" i="29"/>
  <c r="F34" i="29" s="1"/>
  <c r="E35" i="29"/>
  <c r="F35" i="29" s="1"/>
  <c r="E36" i="29"/>
  <c r="F36" i="29" s="1"/>
  <c r="E27" i="29"/>
  <c r="E11" i="29"/>
  <c r="F11" i="29" s="1"/>
  <c r="E4" i="29"/>
  <c r="F4" i="29" s="1"/>
  <c r="E5" i="29"/>
  <c r="F5" i="29" s="1"/>
  <c r="E6" i="29"/>
  <c r="F6" i="29" s="1"/>
  <c r="E7" i="29"/>
  <c r="F7" i="29" s="1"/>
  <c r="E8" i="29"/>
  <c r="F8" i="29" s="1"/>
  <c r="E9" i="29"/>
  <c r="F9" i="29" s="1"/>
  <c r="E10" i="29"/>
  <c r="F10" i="29" s="1"/>
  <c r="E12" i="29"/>
  <c r="F12" i="29" s="1"/>
  <c r="E3" i="29"/>
  <c r="F3" i="29" s="1"/>
  <c r="G93" i="28"/>
  <c r="E100" i="28"/>
  <c r="E93" i="28"/>
  <c r="G79" i="28"/>
  <c r="G108" i="28" s="1"/>
  <c r="G33" i="28"/>
  <c r="G34" i="28"/>
  <c r="G35" i="28"/>
  <c r="G36" i="28"/>
  <c r="G37" i="28"/>
  <c r="G38" i="28"/>
  <c r="G39" i="28"/>
  <c r="G40" i="28"/>
  <c r="G41" i="28"/>
  <c r="G32" i="28"/>
  <c r="E37" i="28"/>
  <c r="E32" i="28"/>
  <c r="E33" i="28"/>
  <c r="E34" i="28"/>
  <c r="E35" i="28"/>
  <c r="E36" i="28"/>
  <c r="E38" i="28"/>
  <c r="E39" i="28"/>
  <c r="E40" i="28"/>
  <c r="E41" i="28"/>
  <c r="G94" i="28"/>
  <c r="G95" i="28"/>
  <c r="G96" i="28"/>
  <c r="G97" i="28"/>
  <c r="G98" i="28"/>
  <c r="G99" i="28"/>
  <c r="G100" i="28"/>
  <c r="G101" i="28"/>
  <c r="G102" i="28"/>
  <c r="E98" i="28"/>
  <c r="E94" i="28"/>
  <c r="E95" i="28"/>
  <c r="E96" i="28"/>
  <c r="E97" i="28"/>
  <c r="E99" i="28"/>
  <c r="E101" i="28"/>
  <c r="E102" i="28"/>
  <c r="G83" i="28"/>
  <c r="G112" i="28" s="1"/>
  <c r="E85" i="28"/>
  <c r="E114" i="28" s="1"/>
  <c r="D83" i="28"/>
  <c r="C81" i="28"/>
  <c r="C78" i="28"/>
  <c r="C17" i="28"/>
  <c r="G87" i="28"/>
  <c r="G116" i="28" s="1"/>
  <c r="F87" i="28"/>
  <c r="E87" i="28"/>
  <c r="E116" i="28" s="1"/>
  <c r="D87" i="28"/>
  <c r="C87" i="28"/>
  <c r="G86" i="28"/>
  <c r="G115" i="28" s="1"/>
  <c r="F86" i="28"/>
  <c r="E86" i="28"/>
  <c r="E115" i="28" s="1"/>
  <c r="D86" i="28"/>
  <c r="C86" i="28"/>
  <c r="G85" i="28"/>
  <c r="G114" i="28" s="1"/>
  <c r="F85" i="28"/>
  <c r="D85" i="28"/>
  <c r="C85" i="28"/>
  <c r="G84" i="28"/>
  <c r="G113" i="28" s="1"/>
  <c r="F84" i="28"/>
  <c r="E84" i="28"/>
  <c r="E113" i="28" s="1"/>
  <c r="D84" i="28"/>
  <c r="C84" i="28"/>
  <c r="F83" i="28"/>
  <c r="E83" i="28"/>
  <c r="E112" i="28" s="1"/>
  <c r="C83" i="28"/>
  <c r="G82" i="28"/>
  <c r="G111" i="28" s="1"/>
  <c r="F82" i="28"/>
  <c r="E82" i="28"/>
  <c r="E111" i="28" s="1"/>
  <c r="D82" i="28"/>
  <c r="C82" i="28"/>
  <c r="G81" i="28"/>
  <c r="G110" i="28" s="1"/>
  <c r="F81" i="28"/>
  <c r="E81" i="28"/>
  <c r="E110" i="28" s="1"/>
  <c r="D81" i="28"/>
  <c r="G80" i="28"/>
  <c r="G109" i="28" s="1"/>
  <c r="F80" i="28"/>
  <c r="E80" i="28"/>
  <c r="E109" i="28" s="1"/>
  <c r="D80" i="28"/>
  <c r="C80" i="28"/>
  <c r="F79" i="28"/>
  <c r="E79" i="28"/>
  <c r="E108" i="28" s="1"/>
  <c r="D79" i="28"/>
  <c r="C79" i="28"/>
  <c r="G78" i="28"/>
  <c r="G107" i="28" s="1"/>
  <c r="F78" i="28"/>
  <c r="E78" i="28"/>
  <c r="E107" i="28" s="1"/>
  <c r="D78" i="28"/>
  <c r="H82" i="27" a="1"/>
  <c r="H82" i="27" s="1"/>
  <c r="J82" i="27" s="1"/>
  <c r="K82" i="27" s="1"/>
  <c r="B81" i="27" a="1"/>
  <c r="B81" i="27" s="1"/>
  <c r="G17" i="28"/>
  <c r="G46" i="28" s="1"/>
  <c r="G18" i="28"/>
  <c r="G47" i="28" s="1"/>
  <c r="G19" i="28"/>
  <c r="G48" i="28" s="1"/>
  <c r="G20" i="28"/>
  <c r="G49" i="28" s="1"/>
  <c r="G21" i="28"/>
  <c r="G50" i="28" s="1"/>
  <c r="G22" i="28"/>
  <c r="G51" i="28" s="1"/>
  <c r="G23" i="28"/>
  <c r="G52" i="28" s="1"/>
  <c r="G24" i="28"/>
  <c r="G53" i="28" s="1"/>
  <c r="G25" i="28"/>
  <c r="G54" i="28" s="1"/>
  <c r="G26" i="28"/>
  <c r="G55" i="28" s="1"/>
  <c r="F18" i="28"/>
  <c r="F19" i="28"/>
  <c r="F20" i="28"/>
  <c r="F21" i="28"/>
  <c r="F22" i="28"/>
  <c r="F23" i="28"/>
  <c r="F24" i="28"/>
  <c r="F25" i="28"/>
  <c r="F26" i="28"/>
  <c r="F17" i="28"/>
  <c r="E17" i="28"/>
  <c r="E46" i="28" s="1"/>
  <c r="E23" i="28"/>
  <c r="E52" i="28" s="1"/>
  <c r="E18" i="28"/>
  <c r="E47" i="28" s="1"/>
  <c r="E19" i="28"/>
  <c r="E48" i="28" s="1"/>
  <c r="E20" i="28"/>
  <c r="E49" i="28" s="1"/>
  <c r="E21" i="28"/>
  <c r="E50" i="28" s="1"/>
  <c r="E22" i="28"/>
  <c r="E51" i="28" s="1"/>
  <c r="E24" i="28"/>
  <c r="E53" i="28" s="1"/>
  <c r="E25" i="28"/>
  <c r="E54" i="28" s="1"/>
  <c r="E26" i="28"/>
  <c r="E55" i="28" s="1"/>
  <c r="D18" i="28"/>
  <c r="D19" i="28"/>
  <c r="D20" i="28"/>
  <c r="D21" i="28"/>
  <c r="D22" i="28"/>
  <c r="D23" i="28"/>
  <c r="D24" i="28"/>
  <c r="D25" i="28"/>
  <c r="D26" i="28"/>
  <c r="D17" i="28"/>
  <c r="C19" i="28"/>
  <c r="C18" i="28"/>
  <c r="C20" i="28"/>
  <c r="C21" i="28"/>
  <c r="C22" i="28"/>
  <c r="C23" i="28"/>
  <c r="C24" i="28"/>
  <c r="C25" i="28"/>
  <c r="C26" i="28"/>
  <c r="BD77" i="27" a="1"/>
  <c r="BD77" i="27" s="1"/>
  <c r="BE77" i="27" s="1"/>
  <c r="BD78" i="27" a="1"/>
  <c r="BD78" i="27" s="1"/>
  <c r="BD79" i="27" a="1"/>
  <c r="BD79" i="27" s="1"/>
  <c r="BE79" i="27" s="1"/>
  <c r="BD80" i="27" a="1"/>
  <c r="BD80" i="27" s="1"/>
  <c r="BD81" i="27" a="1"/>
  <c r="BD81" i="27" s="1"/>
  <c r="BE81" i="27" s="1"/>
  <c r="BD82" i="27" a="1"/>
  <c r="BD82" i="27" s="1"/>
  <c r="BD83" i="27" a="1"/>
  <c r="BD83" i="27" s="1"/>
  <c r="BE83" i="27" s="1"/>
  <c r="BD84" i="27" a="1"/>
  <c r="BD84" i="27" s="1"/>
  <c r="BE84" i="27" s="1"/>
  <c r="BD76" i="27" a="1"/>
  <c r="BD76" i="27" s="1"/>
  <c r="T80" i="27" a="1"/>
  <c r="T80" i="27" s="1"/>
  <c r="U80" i="27" s="1"/>
  <c r="H77" i="27" a="1"/>
  <c r="H77" i="27" s="1"/>
  <c r="I77" i="27" s="1"/>
  <c r="N78" i="27" a="1"/>
  <c r="N78" i="27" s="1"/>
  <c r="O78" i="27" s="1"/>
  <c r="H79" i="27" a="1"/>
  <c r="H79" i="27" s="1"/>
  <c r="B76" i="27" a="1"/>
  <c r="B76" i="27" s="1"/>
  <c r="D76" i="27" s="1"/>
  <c r="E76" i="27" s="1"/>
  <c r="N81" i="27" a="1"/>
  <c r="N81" i="27" s="1"/>
  <c r="P81" i="27" s="1"/>
  <c r="Q81" i="27" s="1"/>
  <c r="N80" i="27" a="1"/>
  <c r="N80" i="27" s="1"/>
  <c r="P80" i="27" s="1"/>
  <c r="Q80" i="27" s="1"/>
  <c r="AX77" i="27" a="1"/>
  <c r="AX77" i="27" s="1"/>
  <c r="AX78" i="27" a="1"/>
  <c r="AX78" i="27" s="1"/>
  <c r="AY78" i="27" s="1"/>
  <c r="AX79" i="27" a="1"/>
  <c r="AX79" i="27" s="1"/>
  <c r="AX80" i="27" a="1"/>
  <c r="AX80" i="27" s="1"/>
  <c r="AX81" i="27" a="1"/>
  <c r="AX81" i="27" s="1"/>
  <c r="AZ81" i="27" s="1"/>
  <c r="BA81" i="27" s="1"/>
  <c r="AX82" i="27" a="1"/>
  <c r="AX82" i="27" s="1"/>
  <c r="AX83" i="27" a="1"/>
  <c r="AX83" i="27" s="1"/>
  <c r="AX84" i="27" a="1"/>
  <c r="AX84" i="27" s="1"/>
  <c r="AX76" i="27" a="1"/>
  <c r="AX76" i="27" s="1"/>
  <c r="AY76" i="27" s="1"/>
  <c r="AR77" i="27" a="1"/>
  <c r="AR77" i="27" s="1"/>
  <c r="AS77" i="27" s="1"/>
  <c r="AR78" i="27" a="1"/>
  <c r="AR78" i="27" s="1"/>
  <c r="AT78" i="27" s="1"/>
  <c r="AU78" i="27" s="1"/>
  <c r="AR79" i="27" a="1"/>
  <c r="AR79" i="27" s="1"/>
  <c r="AR80" i="27" a="1"/>
  <c r="AR80" i="27" s="1"/>
  <c r="AT80" i="27" s="1"/>
  <c r="AU80" i="27" s="1"/>
  <c r="AR81" i="27" a="1"/>
  <c r="AR81" i="27" s="1"/>
  <c r="AS81" i="27" s="1"/>
  <c r="AR82" i="27" a="1"/>
  <c r="AR82" i="27" s="1"/>
  <c r="AR83" i="27" a="1"/>
  <c r="AR83" i="27" s="1"/>
  <c r="AS83" i="27" s="1"/>
  <c r="AR84" i="27" a="1"/>
  <c r="AR84" i="27" s="1"/>
  <c r="AR76" i="27" a="1"/>
  <c r="AR76" i="27" s="1"/>
  <c r="AL77" i="27" a="1"/>
  <c r="AL77" i="27" s="1"/>
  <c r="AN77" i="27" s="1"/>
  <c r="AO77" i="27" s="1"/>
  <c r="AL78" i="27" a="1"/>
  <c r="AL78" i="27" s="1"/>
  <c r="AM78" i="27" s="1"/>
  <c r="AL79" i="27" a="1"/>
  <c r="AL79" i="27" s="1"/>
  <c r="AM79" i="27" s="1"/>
  <c r="AL80" i="27" a="1"/>
  <c r="AL80" i="27" s="1"/>
  <c r="AM80" i="27" s="1"/>
  <c r="AL81" i="27" a="1"/>
  <c r="AL81" i="27" s="1"/>
  <c r="AL82" i="27" a="1"/>
  <c r="AL82" i="27" s="1"/>
  <c r="AN82" i="27" s="1"/>
  <c r="AO82" i="27" s="1"/>
  <c r="AL83" i="27" a="1"/>
  <c r="AL83" i="27" s="1"/>
  <c r="AL84" i="27" a="1"/>
  <c r="AL84" i="27" s="1"/>
  <c r="AM84" i="27" s="1"/>
  <c r="AL76" i="27" a="1"/>
  <c r="AL76" i="27" s="1"/>
  <c r="AM76" i="27" s="1"/>
  <c r="AF77" i="27" a="1"/>
  <c r="AF77" i="27" s="1"/>
  <c r="AH77" i="27" s="1"/>
  <c r="AI77" i="27" s="1"/>
  <c r="AF78" i="27" a="1"/>
  <c r="AF78" i="27" s="1"/>
  <c r="AH78" i="27" s="1"/>
  <c r="AI78" i="27" s="1"/>
  <c r="AF79" i="27" a="1"/>
  <c r="AF79" i="27" s="1"/>
  <c r="AH79" i="27" s="1"/>
  <c r="AI79" i="27" s="1"/>
  <c r="AF80" i="27" a="1"/>
  <c r="AF80" i="27" s="1"/>
  <c r="AH80" i="27" s="1"/>
  <c r="AI80" i="27" s="1"/>
  <c r="AF81" i="27" a="1"/>
  <c r="AF81" i="27" s="1"/>
  <c r="AF82" i="27" a="1"/>
  <c r="AF82" i="27" s="1"/>
  <c r="AF83" i="27" a="1"/>
  <c r="AF83" i="27" s="1"/>
  <c r="AG83" i="27" s="1"/>
  <c r="AF84" i="27" a="1"/>
  <c r="AF84" i="27" s="1"/>
  <c r="AH84" i="27" s="1"/>
  <c r="AI84" i="27" s="1"/>
  <c r="AF76" i="27" a="1"/>
  <c r="AF76" i="27" s="1"/>
  <c r="AH76" i="27" s="1"/>
  <c r="AI76" i="27" s="1"/>
  <c r="Z77" i="27" a="1"/>
  <c r="Z77" i="27" s="1"/>
  <c r="AA77" i="27" s="1"/>
  <c r="Z78" i="27" a="1"/>
  <c r="Z78" i="27" s="1"/>
  <c r="Z79" i="27" a="1"/>
  <c r="Z79" i="27" s="1"/>
  <c r="AB79" i="27" s="1"/>
  <c r="AC79" i="27" s="1"/>
  <c r="Z80" i="27" a="1"/>
  <c r="Z80" i="27" s="1"/>
  <c r="AB80" i="27" s="1"/>
  <c r="AC80" i="27" s="1"/>
  <c r="Z81" i="27" a="1"/>
  <c r="Z81" i="27" s="1"/>
  <c r="AA81" i="27" s="1"/>
  <c r="Z82" i="27" a="1"/>
  <c r="Z82" i="27" s="1"/>
  <c r="Z83" i="27" a="1"/>
  <c r="Z83" i="27" s="1"/>
  <c r="AB83" i="27" s="1"/>
  <c r="AC83" i="27" s="1"/>
  <c r="Z84" i="27" a="1"/>
  <c r="Z84" i="27" s="1"/>
  <c r="AB84" i="27" s="1"/>
  <c r="AC84" i="27" s="1"/>
  <c r="Z76" i="27" a="1"/>
  <c r="Z76" i="27" s="1"/>
  <c r="AB76" i="27" s="1"/>
  <c r="AC76" i="27" s="1"/>
  <c r="T77" i="27" a="1"/>
  <c r="T77" i="27" s="1"/>
  <c r="U77" i="27" s="1"/>
  <c r="T78" i="27" a="1"/>
  <c r="T78" i="27" s="1"/>
  <c r="U78" i="27" s="1"/>
  <c r="T79" i="27" a="1"/>
  <c r="T79" i="27" s="1"/>
  <c r="U79" i="27" s="1"/>
  <c r="T81" i="27" a="1"/>
  <c r="T81" i="27" s="1"/>
  <c r="V81" i="27" s="1"/>
  <c r="T82" i="27" a="1"/>
  <c r="T82" i="27" s="1"/>
  <c r="V82" i="27" s="1"/>
  <c r="W82" i="27" s="1"/>
  <c r="T83" i="27" a="1"/>
  <c r="T83" i="27" s="1"/>
  <c r="V83" i="27" s="1"/>
  <c r="W83" i="27" s="1"/>
  <c r="T84" i="27" a="1"/>
  <c r="T84" i="27" s="1"/>
  <c r="U84" i="27" s="1"/>
  <c r="T76" i="27" a="1"/>
  <c r="T76" i="27" s="1"/>
  <c r="U76" i="27" s="1"/>
  <c r="N77" i="27" a="1"/>
  <c r="N77" i="27" s="1"/>
  <c r="O77" i="27" s="1"/>
  <c r="N79" i="27" a="1"/>
  <c r="N79" i="27" s="1"/>
  <c r="P79" i="27" s="1"/>
  <c r="Q79" i="27" s="1"/>
  <c r="N82" i="27" a="1"/>
  <c r="N82" i="27" s="1"/>
  <c r="P82" i="27" s="1"/>
  <c r="Q82" i="27" s="1"/>
  <c r="N83" i="27" a="1"/>
  <c r="N83" i="27" s="1"/>
  <c r="O83" i="27" s="1"/>
  <c r="N84" i="27" a="1"/>
  <c r="N84" i="27" s="1"/>
  <c r="O84" i="27" s="1"/>
  <c r="N76" i="27" a="1"/>
  <c r="N76" i="27" s="1"/>
  <c r="P76" i="27" s="1"/>
  <c r="Q76" i="27" s="1"/>
  <c r="H78" i="27" a="1"/>
  <c r="H78" i="27" s="1"/>
  <c r="I78" i="27" s="1"/>
  <c r="H80" i="27" a="1"/>
  <c r="H80" i="27" s="1"/>
  <c r="J80" i="27" s="1"/>
  <c r="K80" i="27" s="1"/>
  <c r="H81" i="27" a="1"/>
  <c r="H81" i="27" s="1"/>
  <c r="H83" i="27" a="1"/>
  <c r="H83" i="27" s="1"/>
  <c r="H84" i="27" a="1"/>
  <c r="H84" i="27" s="1"/>
  <c r="H76" i="27" a="1"/>
  <c r="H76" i="27" s="1"/>
  <c r="J76" i="27" s="1"/>
  <c r="K76" i="27" s="1"/>
  <c r="H17" i="27" a="1"/>
  <c r="H17" i="27" s="1"/>
  <c r="I17" i="27" s="1"/>
  <c r="B77" i="27" a="1"/>
  <c r="B77" i="27" s="1"/>
  <c r="C77" i="27" s="1"/>
  <c r="B78" i="27" a="1"/>
  <c r="B78" i="27" s="1"/>
  <c r="D78" i="27" s="1"/>
  <c r="B79" i="27" a="1"/>
  <c r="B79" i="27" s="1"/>
  <c r="D79" i="27" s="1"/>
  <c r="B80" i="27" a="1"/>
  <c r="B80" i="27" s="1"/>
  <c r="B82" i="27" a="1"/>
  <c r="B82" i="27" s="1"/>
  <c r="D82" i="27" s="1"/>
  <c r="E82" i="27" s="1"/>
  <c r="B83" i="27" a="1"/>
  <c r="B83" i="27" s="1"/>
  <c r="D83" i="27" s="1"/>
  <c r="E83" i="27" s="1"/>
  <c r="B84" i="27" a="1"/>
  <c r="B84" i="27" s="1"/>
  <c r="D84" i="27" s="1"/>
  <c r="E84" i="27" s="1"/>
  <c r="BD18" i="27" a="1"/>
  <c r="BD18" i="27" s="1"/>
  <c r="BF18" i="27" s="1"/>
  <c r="BG18" i="27" s="1"/>
  <c r="BD19" i="27" a="1"/>
  <c r="BD19" i="27" s="1"/>
  <c r="BF19" i="27" s="1"/>
  <c r="BG19" i="27" s="1"/>
  <c r="BD20" i="27" a="1"/>
  <c r="BD20" i="27" s="1"/>
  <c r="BE20" i="27" s="1"/>
  <c r="BD21" i="27" a="1"/>
  <c r="BD21" i="27" s="1"/>
  <c r="BD22" i="27" a="1"/>
  <c r="BD22" i="27" s="1"/>
  <c r="BF22" i="27" s="1"/>
  <c r="BG22" i="27" s="1"/>
  <c r="BD23" i="27" a="1"/>
  <c r="BD23" i="27" s="1"/>
  <c r="BF23" i="27" s="1"/>
  <c r="BG23" i="27" s="1"/>
  <c r="BD24" i="27" a="1"/>
  <c r="BD24" i="27" s="1"/>
  <c r="BF24" i="27" s="1"/>
  <c r="BG24" i="27" s="1"/>
  <c r="BD25" i="27" a="1"/>
  <c r="BD25" i="27" s="1"/>
  <c r="BF25" i="27" s="1"/>
  <c r="BG25" i="27" s="1"/>
  <c r="BD17" i="27" a="1"/>
  <c r="BD17" i="27" s="1"/>
  <c r="BE17" i="27" s="1"/>
  <c r="AX18" i="27" a="1"/>
  <c r="AX18" i="27" s="1"/>
  <c r="AY18" i="27" s="1"/>
  <c r="AX19" i="27" a="1"/>
  <c r="AX19" i="27" s="1"/>
  <c r="AY19" i="27" s="1"/>
  <c r="AX20" i="27" a="1"/>
  <c r="AX20" i="27" s="1"/>
  <c r="AZ20" i="27" s="1"/>
  <c r="BA20" i="27" s="1"/>
  <c r="AX21" i="27" a="1"/>
  <c r="AX21" i="27" s="1"/>
  <c r="AX22" i="27" a="1"/>
  <c r="AX22" i="27" s="1"/>
  <c r="AZ22" i="27" s="1"/>
  <c r="BA22" i="27" s="1"/>
  <c r="AX23" i="27" a="1"/>
  <c r="AX23" i="27" s="1"/>
  <c r="AZ23" i="27" s="1"/>
  <c r="BA23" i="27" s="1"/>
  <c r="AX24" i="27" a="1"/>
  <c r="AX24" i="27" s="1"/>
  <c r="AX25" i="27" a="1"/>
  <c r="AX25" i="27" s="1"/>
  <c r="AX17" i="27" a="1"/>
  <c r="AX17" i="27" s="1"/>
  <c r="AZ17" i="27" s="1"/>
  <c r="BA17" i="27" s="1"/>
  <c r="AR18" i="27" a="1"/>
  <c r="AR18" i="27" s="1"/>
  <c r="AS18" i="27" s="1"/>
  <c r="AR19" i="27" a="1"/>
  <c r="AR19" i="27" s="1"/>
  <c r="AT19" i="27" s="1"/>
  <c r="AU19" i="27" s="1"/>
  <c r="AR20" i="27" a="1"/>
  <c r="AR20" i="27" s="1"/>
  <c r="AS20" i="27" s="1"/>
  <c r="AR21" i="27" a="1"/>
  <c r="AR21" i="27" s="1"/>
  <c r="AT21" i="27" s="1"/>
  <c r="AU21" i="27" s="1"/>
  <c r="AR22" i="27" a="1"/>
  <c r="AR22" i="27" s="1"/>
  <c r="AS22" i="27" s="1"/>
  <c r="AR23" i="27" a="1"/>
  <c r="AR23" i="27" s="1"/>
  <c r="AT23" i="27" s="1"/>
  <c r="AU23" i="27" s="1"/>
  <c r="AR24" i="27" a="1"/>
  <c r="AR24" i="27" s="1"/>
  <c r="AT24" i="27" s="1"/>
  <c r="AU24" i="27" s="1"/>
  <c r="AR25" i="27" a="1"/>
  <c r="AR25" i="27" s="1"/>
  <c r="AT25" i="27" s="1"/>
  <c r="AU25" i="27" s="1"/>
  <c r="AR17" i="27" a="1"/>
  <c r="AR17" i="27" s="1"/>
  <c r="AT17" i="27" s="1"/>
  <c r="AU17" i="27" s="1"/>
  <c r="AL18" i="27" a="1"/>
  <c r="AL18" i="27" s="1"/>
  <c r="AN18" i="27" s="1"/>
  <c r="AO18" i="27" s="1"/>
  <c r="AL19" i="27" a="1"/>
  <c r="AL19" i="27" s="1"/>
  <c r="AM19" i="27" s="1"/>
  <c r="AL20" i="27" a="1"/>
  <c r="AL20" i="27" s="1"/>
  <c r="AM20" i="27" s="1"/>
  <c r="AL21" i="27" a="1"/>
  <c r="AL21" i="27" s="1"/>
  <c r="AM21" i="27" s="1"/>
  <c r="AL22" i="27" a="1"/>
  <c r="AL22" i="27" s="1"/>
  <c r="AM22" i="27" s="1"/>
  <c r="AL23" i="27" a="1"/>
  <c r="AL23" i="27" s="1"/>
  <c r="AN23" i="27" s="1"/>
  <c r="AO23" i="27" s="1"/>
  <c r="AL24" i="27" a="1"/>
  <c r="AL24" i="27" s="1"/>
  <c r="AN24" i="27" s="1"/>
  <c r="AO24" i="27" s="1"/>
  <c r="AL25" i="27" a="1"/>
  <c r="AL25" i="27" s="1"/>
  <c r="AN25" i="27" s="1"/>
  <c r="AO25" i="27" s="1"/>
  <c r="AL17" i="27" a="1"/>
  <c r="AL17" i="27" s="1"/>
  <c r="AM17" i="27" s="1"/>
  <c r="AF18" i="27" a="1"/>
  <c r="AF18" i="27" s="1"/>
  <c r="AH18" i="27" s="1"/>
  <c r="AI18" i="27" s="1"/>
  <c r="AF19" i="27" a="1"/>
  <c r="AF19" i="27" s="1"/>
  <c r="AH19" i="27" s="1"/>
  <c r="AI19" i="27" s="1"/>
  <c r="AF20" i="27" a="1"/>
  <c r="AF20" i="27" s="1"/>
  <c r="AF21" i="27" a="1"/>
  <c r="AF21" i="27" s="1"/>
  <c r="AH21" i="27" s="1"/>
  <c r="AI21" i="27" s="1"/>
  <c r="AF22" i="27" a="1"/>
  <c r="AF22" i="27" s="1"/>
  <c r="AF23" i="27" a="1"/>
  <c r="AF23" i="27" s="1"/>
  <c r="AF24" i="27" a="1"/>
  <c r="AF24" i="27" s="1"/>
  <c r="AH24" i="27" s="1"/>
  <c r="AI24" i="27" s="1"/>
  <c r="AF25" i="27" a="1"/>
  <c r="AF25" i="27"/>
  <c r="AG25" i="27" s="1"/>
  <c r="AF17" i="27" a="1"/>
  <c r="AF17" i="27" s="1"/>
  <c r="AH17" i="27" s="1"/>
  <c r="AI17" i="27" s="1"/>
  <c r="Z18" i="27" a="1"/>
  <c r="Z18" i="27" s="1"/>
  <c r="AB18" i="27" s="1"/>
  <c r="AC18" i="27" s="1"/>
  <c r="Z19" i="27" a="1"/>
  <c r="Z19" i="27" s="1"/>
  <c r="Z20" i="27" a="1"/>
  <c r="Z20" i="27" s="1"/>
  <c r="AA20" i="27" s="1"/>
  <c r="Z21" i="27" a="1"/>
  <c r="Z21" i="27" s="1"/>
  <c r="AB21" i="27" s="1"/>
  <c r="AC21" i="27" s="1"/>
  <c r="Z22" i="27" a="1"/>
  <c r="Z22" i="27" s="1"/>
  <c r="AA22" i="27" s="1"/>
  <c r="Z23" i="27" a="1"/>
  <c r="Z23" i="27" s="1"/>
  <c r="AB23" i="27" s="1"/>
  <c r="AC23" i="27" s="1"/>
  <c r="Z24" i="27" a="1"/>
  <c r="Z24" i="27" s="1"/>
  <c r="AA24" i="27" s="1"/>
  <c r="Z25" i="27" a="1"/>
  <c r="Z25" i="27" s="1"/>
  <c r="AA25" i="27" s="1"/>
  <c r="Z17" i="27" a="1"/>
  <c r="Z17" i="27" s="1"/>
  <c r="AA17" i="27" s="1"/>
  <c r="T18" i="27" a="1"/>
  <c r="T18" i="27" s="1"/>
  <c r="T19" i="27" a="1"/>
  <c r="T19" i="27" s="1"/>
  <c r="V19" i="27" s="1"/>
  <c r="W19" i="27" s="1"/>
  <c r="T20" i="27" a="1"/>
  <c r="T20" i="27" s="1"/>
  <c r="T21" i="27" a="1"/>
  <c r="T21" i="27" s="1"/>
  <c r="T22" i="27" a="1"/>
  <c r="T22" i="27" s="1"/>
  <c r="U22" i="27" s="1"/>
  <c r="T23" i="27" a="1"/>
  <c r="T23" i="27" s="1"/>
  <c r="U23" i="27" s="1"/>
  <c r="T24" i="27" a="1"/>
  <c r="T24" i="27" s="1"/>
  <c r="U24" i="27" s="1"/>
  <c r="T25" i="27" a="1"/>
  <c r="T25" i="27" s="1"/>
  <c r="V25" i="27" s="1"/>
  <c r="W25" i="27" s="1"/>
  <c r="T17" i="27" a="1"/>
  <c r="T17" i="27" s="1"/>
  <c r="V17" i="27" s="1"/>
  <c r="W17" i="27" s="1"/>
  <c r="N18" i="27" a="1"/>
  <c r="N18" i="27" s="1"/>
  <c r="O18" i="27" s="1"/>
  <c r="N19" i="27" a="1"/>
  <c r="N19" i="27" s="1"/>
  <c r="O19" i="27" s="1"/>
  <c r="N20" i="27" a="1"/>
  <c r="N20" i="27" s="1"/>
  <c r="O20" i="27" s="1"/>
  <c r="N21" i="27" a="1"/>
  <c r="N21" i="27" s="1"/>
  <c r="P21" i="27" s="1"/>
  <c r="Q21" i="27" s="1"/>
  <c r="N22" i="27" a="1"/>
  <c r="N22" i="27" s="1"/>
  <c r="N23" i="27" a="1"/>
  <c r="N23" i="27" s="1"/>
  <c r="P23" i="27" s="1"/>
  <c r="Q23" i="27" s="1"/>
  <c r="N24" i="27" a="1"/>
  <c r="N24" i="27"/>
  <c r="O24" i="27" s="1"/>
  <c r="N25" i="27" a="1"/>
  <c r="N25" i="27" s="1"/>
  <c r="O25" i="27" s="1"/>
  <c r="N17" i="27" a="1"/>
  <c r="N17" i="27" s="1"/>
  <c r="O17" i="27" s="1"/>
  <c r="H18" i="27" a="1"/>
  <c r="H18" i="27" s="1"/>
  <c r="I18" i="27" s="1"/>
  <c r="H19" i="27" a="1"/>
  <c r="H19" i="27" s="1"/>
  <c r="I19" i="27" s="1"/>
  <c r="H20" i="27" a="1"/>
  <c r="H20" i="27" s="1"/>
  <c r="J20" i="27" s="1"/>
  <c r="K20" i="27" s="1"/>
  <c r="H21" i="27" a="1"/>
  <c r="H21" i="27" s="1"/>
  <c r="J21" i="27" s="1"/>
  <c r="K21" i="27" s="1"/>
  <c r="H22" i="27" a="1"/>
  <c r="H22" i="27" s="1"/>
  <c r="H23" i="27" a="1"/>
  <c r="H23" i="27" s="1"/>
  <c r="I23" i="27" s="1"/>
  <c r="H24" i="27" a="1"/>
  <c r="H24" i="27" s="1"/>
  <c r="J24" i="27" s="1"/>
  <c r="K24" i="27" s="1"/>
  <c r="H25" i="27" a="1"/>
  <c r="H25" i="27" s="1"/>
  <c r="J25" i="27" s="1"/>
  <c r="K25" i="27" s="1"/>
  <c r="B17" i="27" a="1"/>
  <c r="B17" i="27" s="1"/>
  <c r="D17" i="27" s="1"/>
  <c r="E17" i="27" s="1"/>
  <c r="B18" i="27" a="1"/>
  <c r="B18" i="27" s="1"/>
  <c r="D18" i="27" s="1"/>
  <c r="E18" i="27" s="1"/>
  <c r="B19" i="27" a="1"/>
  <c r="B19" i="27"/>
  <c r="D19" i="27" s="1"/>
  <c r="E19" i="27" s="1"/>
  <c r="B20" i="27" a="1"/>
  <c r="B20" i="27" s="1"/>
  <c r="C20" i="27" s="1"/>
  <c r="B21" i="27" a="1"/>
  <c r="B21" i="27" s="1"/>
  <c r="C21" i="27" s="1"/>
  <c r="B22" i="27" a="1"/>
  <c r="B22" i="27" s="1"/>
  <c r="C22" i="27" s="1"/>
  <c r="B23" i="27" a="1"/>
  <c r="B23" i="27" s="1"/>
  <c r="C23" i="27" s="1"/>
  <c r="B24" i="27" a="1"/>
  <c r="B24" i="27" s="1"/>
  <c r="B25" i="27" a="1"/>
  <c r="B25" i="27" s="1"/>
  <c r="C25" i="27" s="1"/>
  <c r="B149" i="25" a="1"/>
  <c r="B149" i="25" s="1"/>
  <c r="C149" i="25" a="1"/>
  <c r="C149" i="25" s="1"/>
  <c r="D149" i="25" a="1"/>
  <c r="D149" i="25" s="1"/>
  <c r="E149" i="25" a="1"/>
  <c r="E149" i="25" s="1"/>
  <c r="F149" i="25" a="1"/>
  <c r="F149" i="25" s="1"/>
  <c r="G149" i="25" a="1"/>
  <c r="G149" i="25" s="1"/>
  <c r="H149" i="25" a="1"/>
  <c r="H149" i="25" s="1"/>
  <c r="I149" i="25" a="1"/>
  <c r="I149" i="25" s="1"/>
  <c r="J149" i="25" a="1"/>
  <c r="J149" i="25" s="1"/>
  <c r="K149" i="25" a="1"/>
  <c r="K149" i="25" s="1"/>
  <c r="B150" i="25" a="1"/>
  <c r="B150" i="25" s="1"/>
  <c r="C150" i="25" a="1"/>
  <c r="C150" i="25" s="1"/>
  <c r="D150" i="25" a="1"/>
  <c r="D150" i="25" s="1"/>
  <c r="E150" i="25" a="1"/>
  <c r="E150" i="25" s="1"/>
  <c r="F150" i="25" a="1"/>
  <c r="F150" i="25" s="1"/>
  <c r="G150" i="25" a="1"/>
  <c r="G150" i="25" s="1"/>
  <c r="H150" i="25" a="1"/>
  <c r="H150" i="25" s="1"/>
  <c r="I150" i="25" a="1"/>
  <c r="I150" i="25" s="1"/>
  <c r="J150" i="25" a="1"/>
  <c r="J150" i="25" s="1"/>
  <c r="K150" i="25" a="1"/>
  <c r="K150" i="25" s="1"/>
  <c r="B151" i="25" a="1"/>
  <c r="B151" i="25" s="1"/>
  <c r="C151" i="25" a="1"/>
  <c r="C151" i="25" s="1"/>
  <c r="D151" i="25" a="1"/>
  <c r="D151" i="25" s="1"/>
  <c r="E151" i="25" a="1"/>
  <c r="E151" i="25" s="1"/>
  <c r="F151" i="25" a="1"/>
  <c r="F151" i="25" s="1"/>
  <c r="G151" i="25" a="1"/>
  <c r="G151" i="25" s="1"/>
  <c r="H151" i="25" a="1"/>
  <c r="H151" i="25" s="1"/>
  <c r="I151" i="25" a="1"/>
  <c r="I151" i="25" s="1"/>
  <c r="J151" i="25" a="1"/>
  <c r="J151" i="25" s="1"/>
  <c r="K151" i="25" a="1"/>
  <c r="K151" i="25" s="1"/>
  <c r="B152" i="25" a="1"/>
  <c r="B152" i="25" s="1"/>
  <c r="C152" i="25" a="1"/>
  <c r="C152" i="25" s="1"/>
  <c r="D152" i="25" a="1"/>
  <c r="D152" i="25" s="1"/>
  <c r="E152" i="25" a="1"/>
  <c r="E152" i="25" s="1"/>
  <c r="F152" i="25" a="1"/>
  <c r="F152" i="25" s="1"/>
  <c r="G152" i="25" a="1"/>
  <c r="G152" i="25" s="1"/>
  <c r="H152" i="25" a="1"/>
  <c r="H152" i="25" s="1"/>
  <c r="I152" i="25" a="1"/>
  <c r="I152" i="25" s="1"/>
  <c r="J152" i="25" a="1"/>
  <c r="J152" i="25" s="1"/>
  <c r="K152" i="25" a="1"/>
  <c r="K152" i="25" s="1"/>
  <c r="B153" i="25" a="1"/>
  <c r="B153" i="25" s="1"/>
  <c r="C153" i="25" a="1"/>
  <c r="C153" i="25" s="1"/>
  <c r="D153" i="25" a="1"/>
  <c r="D153" i="25" s="1"/>
  <c r="E153" i="25" a="1"/>
  <c r="E153" i="25" s="1"/>
  <c r="F153" i="25" a="1"/>
  <c r="F153" i="25" s="1"/>
  <c r="G153" i="25" a="1"/>
  <c r="G153" i="25" s="1"/>
  <c r="H153" i="25" a="1"/>
  <c r="H153" i="25" s="1"/>
  <c r="I153" i="25" a="1"/>
  <c r="I153" i="25" s="1"/>
  <c r="J153" i="25" a="1"/>
  <c r="J153" i="25" s="1"/>
  <c r="K153" i="25" a="1"/>
  <c r="K153" i="25" s="1"/>
  <c r="B154" i="25" a="1"/>
  <c r="B154" i="25" s="1"/>
  <c r="C154" i="25" a="1"/>
  <c r="C154" i="25" s="1"/>
  <c r="D154" i="25" a="1"/>
  <c r="D154" i="25" s="1"/>
  <c r="E154" i="25" a="1"/>
  <c r="E154" i="25" s="1"/>
  <c r="F154" i="25" a="1"/>
  <c r="F154" i="25" s="1"/>
  <c r="G154" i="25" a="1"/>
  <c r="G154" i="25" s="1"/>
  <c r="H154" i="25" a="1"/>
  <c r="H154" i="25" s="1"/>
  <c r="I154" i="25" a="1"/>
  <c r="I154" i="25" s="1"/>
  <c r="J154" i="25" a="1"/>
  <c r="J154" i="25" s="1"/>
  <c r="K154" i="25" a="1"/>
  <c r="K154" i="25" s="1"/>
  <c r="B155" i="25" a="1"/>
  <c r="B155" i="25" s="1"/>
  <c r="C155" i="25" a="1"/>
  <c r="C155" i="25" s="1"/>
  <c r="D155" i="25" a="1"/>
  <c r="D155" i="25" s="1"/>
  <c r="E155" i="25" a="1"/>
  <c r="E155" i="25" s="1"/>
  <c r="F155" i="25" a="1"/>
  <c r="F155" i="25" s="1"/>
  <c r="G155" i="25" a="1"/>
  <c r="G155" i="25" s="1"/>
  <c r="H155" i="25" a="1"/>
  <c r="H155" i="25" s="1"/>
  <c r="I155" i="25" a="1"/>
  <c r="I155" i="25" s="1"/>
  <c r="J155" i="25" a="1"/>
  <c r="J155" i="25" s="1"/>
  <c r="K155" i="25" a="1"/>
  <c r="K155" i="25" s="1"/>
  <c r="B156" i="25" a="1"/>
  <c r="B156" i="25" s="1"/>
  <c r="C156" i="25" a="1"/>
  <c r="C156" i="25" s="1"/>
  <c r="D156" i="25" a="1"/>
  <c r="D156" i="25" s="1"/>
  <c r="E156" i="25" a="1"/>
  <c r="E156" i="25" s="1"/>
  <c r="F156" i="25" a="1"/>
  <c r="F156" i="25" s="1"/>
  <c r="G156" i="25" a="1"/>
  <c r="G156" i="25" s="1"/>
  <c r="H156" i="25" a="1"/>
  <c r="H156" i="25" s="1"/>
  <c r="I156" i="25" a="1"/>
  <c r="I156" i="25" s="1"/>
  <c r="J156" i="25" a="1"/>
  <c r="J156" i="25" s="1"/>
  <c r="K156" i="25" a="1"/>
  <c r="K156" i="25" s="1"/>
  <c r="B157" i="25" a="1"/>
  <c r="B157" i="25" s="1"/>
  <c r="C157" i="25" a="1"/>
  <c r="C157" i="25" s="1"/>
  <c r="D157" i="25" a="1"/>
  <c r="D157" i="25" s="1"/>
  <c r="E157" i="25" a="1"/>
  <c r="E157" i="25" s="1"/>
  <c r="F157" i="25" a="1"/>
  <c r="F157" i="25" s="1"/>
  <c r="G157" i="25" a="1"/>
  <c r="G157" i="25"/>
  <c r="H157" i="25" a="1"/>
  <c r="H157" i="25" s="1"/>
  <c r="I157" i="25" a="1"/>
  <c r="I157" i="25"/>
  <c r="J157" i="25" a="1"/>
  <c r="J157" i="25"/>
  <c r="K157" i="25" a="1"/>
  <c r="K157" i="25" s="1"/>
  <c r="C148" i="25" a="1"/>
  <c r="C148" i="25" s="1"/>
  <c r="D148" i="25" a="1"/>
  <c r="D148" i="25" s="1"/>
  <c r="E148" i="25" a="1"/>
  <c r="E148" i="25" s="1"/>
  <c r="F148" i="25" a="1"/>
  <c r="F148" i="25" s="1"/>
  <c r="G148" i="25" a="1"/>
  <c r="G148" i="25"/>
  <c r="H148" i="25" a="1"/>
  <c r="H148" i="25" s="1"/>
  <c r="I148" i="25" a="1"/>
  <c r="I148" i="25" s="1"/>
  <c r="J148" i="25" a="1"/>
  <c r="J148" i="25"/>
  <c r="K148" i="25" a="1"/>
  <c r="K148" i="25"/>
  <c r="B148" i="25" a="1"/>
  <c r="B148" i="25" s="1"/>
  <c r="B66" i="25" a="1"/>
  <c r="B66" i="25" s="1"/>
  <c r="I133" i="25" a="1"/>
  <c r="I133" i="25" s="1"/>
  <c r="G114" i="25"/>
  <c r="B127" i="25" a="1"/>
  <c r="B127" i="25" s="1"/>
  <c r="B128" i="25" a="1"/>
  <c r="B128" i="25" s="1"/>
  <c r="C128" i="25" a="1"/>
  <c r="C128" i="25"/>
  <c r="D128" i="25" a="1"/>
  <c r="D128" i="25"/>
  <c r="E128" i="25" a="1"/>
  <c r="E128" i="25" s="1"/>
  <c r="F128" i="25" a="1"/>
  <c r="F128" i="25" s="1"/>
  <c r="G128" i="25" a="1"/>
  <c r="G128" i="25" s="1"/>
  <c r="H128" i="25" a="1"/>
  <c r="H128" i="25" s="1"/>
  <c r="I128" i="25" a="1"/>
  <c r="I128" i="25" s="1"/>
  <c r="J128" i="25" a="1"/>
  <c r="J128" i="25" s="1"/>
  <c r="K128" i="25" a="1"/>
  <c r="K128" i="25" s="1"/>
  <c r="B129" i="25" a="1"/>
  <c r="B129" i="25"/>
  <c r="C129" i="25" a="1"/>
  <c r="C129" i="25" s="1"/>
  <c r="D129" i="25" a="1"/>
  <c r="D129" i="25" s="1"/>
  <c r="E129" i="25" a="1"/>
  <c r="E129" i="25" s="1"/>
  <c r="F129" i="25" a="1"/>
  <c r="F129" i="25" s="1"/>
  <c r="G129" i="25" a="1"/>
  <c r="G129" i="25" s="1"/>
  <c r="H129" i="25" a="1"/>
  <c r="H129" i="25" s="1"/>
  <c r="I129" i="25" a="1"/>
  <c r="I129" i="25" s="1"/>
  <c r="J129" i="25" a="1"/>
  <c r="J129" i="25" s="1"/>
  <c r="K129" i="25" a="1"/>
  <c r="K129" i="25" s="1"/>
  <c r="B130" i="25" a="1"/>
  <c r="B130" i="25" s="1"/>
  <c r="C130" i="25" a="1"/>
  <c r="C130" i="25" s="1"/>
  <c r="D130" i="25" a="1"/>
  <c r="D130" i="25" s="1"/>
  <c r="E130" i="25" a="1"/>
  <c r="E130" i="25" s="1"/>
  <c r="F130" i="25" a="1"/>
  <c r="F130" i="25" s="1"/>
  <c r="G130" i="25" a="1"/>
  <c r="G130" i="25" s="1"/>
  <c r="H130" i="25" a="1"/>
  <c r="H130" i="25" s="1"/>
  <c r="I130" i="25" a="1"/>
  <c r="I130" i="25" s="1"/>
  <c r="J130" i="25" a="1"/>
  <c r="J130" i="25" s="1"/>
  <c r="K130" i="25" a="1"/>
  <c r="K130" i="25" s="1"/>
  <c r="B131" i="25" a="1"/>
  <c r="B131" i="25" s="1"/>
  <c r="C131" i="25" a="1"/>
  <c r="C131" i="25" s="1"/>
  <c r="D131" i="25" a="1"/>
  <c r="D131" i="25"/>
  <c r="E131" i="25" a="1"/>
  <c r="E131" i="25" s="1"/>
  <c r="F131" i="25" a="1"/>
  <c r="F131" i="25"/>
  <c r="G131" i="25" a="1"/>
  <c r="G131" i="25"/>
  <c r="H131" i="25" a="1"/>
  <c r="H131" i="25" s="1"/>
  <c r="I131" i="25" a="1"/>
  <c r="I131" i="25" s="1"/>
  <c r="J131" i="25" a="1"/>
  <c r="J131" i="25"/>
  <c r="K131" i="25" a="1"/>
  <c r="K131" i="25" s="1"/>
  <c r="B132" i="25" a="1"/>
  <c r="B132" i="25" s="1"/>
  <c r="C132" i="25" a="1"/>
  <c r="C132" i="25" s="1"/>
  <c r="D132" i="25" a="1"/>
  <c r="D132" i="25" s="1"/>
  <c r="E132" i="25" a="1"/>
  <c r="E132" i="25"/>
  <c r="F132" i="25" a="1"/>
  <c r="F132" i="25" s="1"/>
  <c r="G132" i="25" a="1"/>
  <c r="G132" i="25"/>
  <c r="H132" i="25" a="1"/>
  <c r="H132" i="25"/>
  <c r="I132" i="25" a="1"/>
  <c r="I132" i="25"/>
  <c r="J132" i="25" a="1"/>
  <c r="J132" i="25" s="1"/>
  <c r="K132" i="25" a="1"/>
  <c r="K132" i="25" s="1"/>
  <c r="B133" i="25" a="1"/>
  <c r="B133" i="25" s="1"/>
  <c r="C133" i="25" a="1"/>
  <c r="C133" i="25"/>
  <c r="D133" i="25" a="1"/>
  <c r="D133" i="25" s="1"/>
  <c r="E133" i="25" a="1"/>
  <c r="E133" i="25" s="1"/>
  <c r="F133" i="25" a="1"/>
  <c r="F133" i="25" s="1"/>
  <c r="G133" i="25" a="1"/>
  <c r="G133" i="25"/>
  <c r="H133" i="25" a="1"/>
  <c r="H133" i="25"/>
  <c r="J133" i="25" a="1"/>
  <c r="J133" i="25" s="1"/>
  <c r="K133" i="25" a="1"/>
  <c r="K133" i="25" s="1"/>
  <c r="B134" i="25" a="1"/>
  <c r="B134" i="25" s="1"/>
  <c r="C134" i="25" a="1"/>
  <c r="C134" i="25" s="1"/>
  <c r="D134" i="25" a="1"/>
  <c r="D134" i="25" s="1"/>
  <c r="E134" i="25" a="1"/>
  <c r="E134" i="25" s="1"/>
  <c r="F134" i="25" a="1"/>
  <c r="F134" i="25" s="1"/>
  <c r="G134" i="25" a="1"/>
  <c r="G134" i="25" s="1"/>
  <c r="H134" i="25" a="1"/>
  <c r="H134" i="25" s="1"/>
  <c r="I134" i="25" a="1"/>
  <c r="I134" i="25"/>
  <c r="J134" i="25" a="1"/>
  <c r="J134" i="25" s="1"/>
  <c r="K134" i="25" a="1"/>
  <c r="K134" i="25" s="1"/>
  <c r="B135" i="25" a="1"/>
  <c r="B135" i="25"/>
  <c r="C135" i="25" a="1"/>
  <c r="C135" i="25" s="1"/>
  <c r="D135" i="25" a="1"/>
  <c r="D135" i="25" s="1"/>
  <c r="E135" i="25" a="1"/>
  <c r="E135" i="25" s="1"/>
  <c r="F135" i="25" a="1"/>
  <c r="F135" i="25" s="1"/>
  <c r="G135" i="25" a="1"/>
  <c r="G135" i="25" s="1"/>
  <c r="H135" i="25" a="1"/>
  <c r="H135" i="25" s="1"/>
  <c r="I135" i="25" a="1"/>
  <c r="I135" i="25" s="1"/>
  <c r="J135" i="25" a="1"/>
  <c r="J135" i="25" s="1"/>
  <c r="K135" i="25" a="1"/>
  <c r="K135" i="25" s="1"/>
  <c r="B136" i="25" a="1"/>
  <c r="B136" i="25"/>
  <c r="C136" i="25" a="1"/>
  <c r="C136" i="25"/>
  <c r="D136" i="25" a="1"/>
  <c r="D136" i="25" s="1"/>
  <c r="E136" i="25" a="1"/>
  <c r="E136" i="25"/>
  <c r="F136" i="25" a="1"/>
  <c r="F136" i="25" s="1"/>
  <c r="G136" i="25" a="1"/>
  <c r="G136" i="25"/>
  <c r="H136" i="25" a="1"/>
  <c r="H136" i="25" s="1"/>
  <c r="I136" i="25" a="1"/>
  <c r="I136" i="25" s="1"/>
  <c r="J136" i="25" a="1"/>
  <c r="J136" i="25" s="1"/>
  <c r="K136" i="25" a="1"/>
  <c r="K136" i="25" s="1"/>
  <c r="J127" i="25" a="1"/>
  <c r="J127" i="25" s="1"/>
  <c r="K127" i="25" a="1"/>
  <c r="K127" i="25" s="1"/>
  <c r="C127" i="25" a="1"/>
  <c r="C127" i="25" s="1"/>
  <c r="D127" i="25" a="1"/>
  <c r="D127" i="25" s="1"/>
  <c r="E127" i="25" a="1"/>
  <c r="E127" i="25" s="1"/>
  <c r="F127" i="25" a="1"/>
  <c r="F127" i="25" s="1"/>
  <c r="G127" i="25" a="1"/>
  <c r="G127" i="25" s="1"/>
  <c r="H127" i="25" a="1"/>
  <c r="H127" i="25" s="1"/>
  <c r="I127" i="25" a="1"/>
  <c r="I127" i="25" s="1"/>
  <c r="B45" i="25" a="1"/>
  <c r="B45" i="25" s="1"/>
  <c r="C107" i="25"/>
  <c r="K71" i="25" a="1"/>
  <c r="K71" i="25" s="1"/>
  <c r="B67" i="25" a="1"/>
  <c r="B67" i="25" s="1"/>
  <c r="C67" i="25" a="1"/>
  <c r="C67" i="25" s="1"/>
  <c r="D67" i="25" a="1"/>
  <c r="D67" i="25" s="1"/>
  <c r="E67" i="25" a="1"/>
  <c r="E67" i="25" s="1"/>
  <c r="F67" i="25" a="1"/>
  <c r="F67" i="25" s="1"/>
  <c r="G67" i="25" a="1"/>
  <c r="G67" i="25" s="1"/>
  <c r="H67" i="25" a="1"/>
  <c r="H67" i="25"/>
  <c r="I67" i="25" a="1"/>
  <c r="I67" i="25" s="1"/>
  <c r="J67" i="25" a="1"/>
  <c r="J67" i="25" s="1"/>
  <c r="K67" i="25" a="1"/>
  <c r="K67" i="25" s="1"/>
  <c r="B68" i="25" a="1"/>
  <c r="B68" i="25"/>
  <c r="C68" i="25" a="1"/>
  <c r="C68" i="25" s="1"/>
  <c r="D68" i="25" a="1"/>
  <c r="D68" i="25" s="1"/>
  <c r="E68" i="25" a="1"/>
  <c r="E68" i="25" s="1"/>
  <c r="F68" i="25" a="1"/>
  <c r="F68" i="25"/>
  <c r="G68" i="25" a="1"/>
  <c r="G68" i="25"/>
  <c r="H68" i="25" a="1"/>
  <c r="H68" i="25" s="1"/>
  <c r="I68" i="25" a="1"/>
  <c r="I68" i="25" s="1"/>
  <c r="J68" i="25" a="1"/>
  <c r="J68" i="25" s="1"/>
  <c r="K68" i="25" a="1"/>
  <c r="K68" i="25" s="1"/>
  <c r="B69" i="25" a="1"/>
  <c r="B69" i="25" s="1"/>
  <c r="C69" i="25" a="1"/>
  <c r="C69" i="25" s="1"/>
  <c r="D69" i="25" a="1"/>
  <c r="D69" i="25"/>
  <c r="E69" i="25" a="1"/>
  <c r="E69" i="25" s="1"/>
  <c r="F69" i="25" a="1"/>
  <c r="F69" i="25" s="1"/>
  <c r="G69" i="25" a="1"/>
  <c r="G69" i="25" s="1"/>
  <c r="H69" i="25" a="1"/>
  <c r="H69" i="25"/>
  <c r="I69" i="25" a="1"/>
  <c r="I69" i="25" s="1"/>
  <c r="J69" i="25" a="1"/>
  <c r="J69" i="25" s="1"/>
  <c r="K69" i="25" a="1"/>
  <c r="K69" i="25" s="1"/>
  <c r="B70" i="25" a="1"/>
  <c r="B70" i="25"/>
  <c r="C70" i="25" a="1"/>
  <c r="C70" i="25" s="1"/>
  <c r="D70" i="25" a="1"/>
  <c r="D70" i="25" s="1"/>
  <c r="E70" i="25" a="1"/>
  <c r="E70" i="25" s="1"/>
  <c r="F70" i="25" a="1"/>
  <c r="F70" i="25" s="1"/>
  <c r="G70" i="25" a="1"/>
  <c r="G70" i="25" s="1"/>
  <c r="H70" i="25" a="1"/>
  <c r="H70" i="25" s="1"/>
  <c r="I70" i="25" a="1"/>
  <c r="I70" i="25" s="1"/>
  <c r="J70" i="25" a="1"/>
  <c r="J70" i="25"/>
  <c r="K70" i="25" a="1"/>
  <c r="K70" i="25" s="1"/>
  <c r="B71" i="25" a="1"/>
  <c r="B71" i="25" s="1"/>
  <c r="C71" i="25" a="1"/>
  <c r="C71" i="25" s="1"/>
  <c r="D71" i="25" a="1"/>
  <c r="D71" i="25" s="1"/>
  <c r="E71" i="25" a="1"/>
  <c r="E71" i="25" s="1"/>
  <c r="F71" i="25" a="1"/>
  <c r="F71" i="25" s="1"/>
  <c r="G71" i="25" a="1"/>
  <c r="G71" i="25" s="1"/>
  <c r="H71" i="25" a="1"/>
  <c r="H71" i="25" s="1"/>
  <c r="I71" i="25" a="1"/>
  <c r="I71" i="25" s="1"/>
  <c r="J71" i="25" a="1"/>
  <c r="J71" i="25" s="1"/>
  <c r="B72" i="25" a="1"/>
  <c r="B72" i="25" s="1"/>
  <c r="C72" i="25" a="1"/>
  <c r="C72" i="25" s="1"/>
  <c r="D72" i="25" a="1"/>
  <c r="D72" i="25" s="1"/>
  <c r="E72" i="25" a="1"/>
  <c r="E72" i="25" s="1"/>
  <c r="F72" i="25" a="1"/>
  <c r="F72" i="25" s="1"/>
  <c r="G72" i="25" a="1"/>
  <c r="G72" i="25"/>
  <c r="H72" i="25" a="1"/>
  <c r="H72" i="25" s="1"/>
  <c r="I72" i="25" a="1"/>
  <c r="I72" i="25"/>
  <c r="J72" i="25" a="1"/>
  <c r="J72" i="25" s="1"/>
  <c r="K72" i="25" a="1"/>
  <c r="K72" i="25" s="1"/>
  <c r="B73" i="25" a="1"/>
  <c r="B73" i="25" s="1"/>
  <c r="C73" i="25" a="1"/>
  <c r="C73" i="25" s="1"/>
  <c r="D73" i="25" a="1"/>
  <c r="D73" i="25" s="1"/>
  <c r="E73" i="25" a="1"/>
  <c r="E73" i="25" s="1"/>
  <c r="F73" i="25" a="1"/>
  <c r="F73" i="25" s="1"/>
  <c r="G73" i="25" a="1"/>
  <c r="G73" i="25" s="1"/>
  <c r="H73" i="25" a="1"/>
  <c r="H73" i="25" s="1"/>
  <c r="I73" i="25" a="1"/>
  <c r="I73" i="25" s="1"/>
  <c r="J73" i="25" a="1"/>
  <c r="J73" i="25" s="1"/>
  <c r="K73" i="25" a="1"/>
  <c r="K73" i="25"/>
  <c r="B74" i="25" a="1"/>
  <c r="B74" i="25" s="1"/>
  <c r="C74" i="25" a="1"/>
  <c r="C74" i="25" s="1"/>
  <c r="D74" i="25" a="1"/>
  <c r="D74" i="25" s="1"/>
  <c r="E74" i="25" a="1"/>
  <c r="E74" i="25" s="1"/>
  <c r="F74" i="25" a="1"/>
  <c r="F74" i="25" s="1"/>
  <c r="G74" i="25" a="1"/>
  <c r="G74" i="25" s="1"/>
  <c r="H74" i="25" a="1"/>
  <c r="H74" i="25" s="1"/>
  <c r="I74" i="25" a="1"/>
  <c r="I74" i="25" s="1"/>
  <c r="J74" i="25" a="1"/>
  <c r="J74" i="25" s="1"/>
  <c r="K74" i="25" a="1"/>
  <c r="K74" i="25" s="1"/>
  <c r="B75" i="25" a="1"/>
  <c r="B75" i="25" s="1"/>
  <c r="C75" i="25" a="1"/>
  <c r="C75" i="25" s="1"/>
  <c r="D75" i="25" a="1"/>
  <c r="D75" i="25" s="1"/>
  <c r="E75" i="25" a="1"/>
  <c r="E75" i="25" s="1"/>
  <c r="F75" i="25" a="1"/>
  <c r="F75" i="25" s="1"/>
  <c r="G75" i="25" a="1"/>
  <c r="G75" i="25" s="1"/>
  <c r="H75" i="25" a="1"/>
  <c r="H75" i="25" s="1"/>
  <c r="I75" i="25" a="1"/>
  <c r="I75" i="25"/>
  <c r="J75" i="25" a="1"/>
  <c r="J75" i="25" s="1"/>
  <c r="K75" i="25" a="1"/>
  <c r="K75" i="25" s="1"/>
  <c r="C66" i="25" a="1"/>
  <c r="C66" i="25" s="1"/>
  <c r="D66" i="25" a="1"/>
  <c r="D66" i="25" s="1"/>
  <c r="E66" i="25" a="1"/>
  <c r="E66" i="25" s="1"/>
  <c r="F66" i="25" a="1"/>
  <c r="F66" i="25"/>
  <c r="G66" i="25" a="1"/>
  <c r="G66" i="25" s="1"/>
  <c r="H66" i="25" a="1"/>
  <c r="H66" i="25" s="1"/>
  <c r="I66" i="25" a="1"/>
  <c r="I66" i="25" s="1"/>
  <c r="J66" i="25" a="1"/>
  <c r="J66" i="25" s="1"/>
  <c r="K66" i="25" a="1"/>
  <c r="K66" i="25" s="1"/>
  <c r="H47" i="25" a="1"/>
  <c r="H47" i="25" s="1"/>
  <c r="B46" i="25" a="1"/>
  <c r="B46" i="25" s="1"/>
  <c r="C46" i="25" a="1"/>
  <c r="C46" i="25" s="1"/>
  <c r="D46" i="25" a="1"/>
  <c r="D46" i="25" s="1"/>
  <c r="E46" i="25" a="1"/>
  <c r="E46" i="25"/>
  <c r="F46" i="25" a="1"/>
  <c r="F46" i="25"/>
  <c r="G46" i="25" a="1"/>
  <c r="G46" i="25"/>
  <c r="H46" i="25" a="1"/>
  <c r="H46" i="25" s="1"/>
  <c r="I46" i="25" a="1"/>
  <c r="I46" i="25" s="1"/>
  <c r="J46" i="25" a="1"/>
  <c r="J46" i="25" s="1"/>
  <c r="K46" i="25" a="1"/>
  <c r="K46" i="25" s="1"/>
  <c r="B47" i="25" a="1"/>
  <c r="B47" i="25" s="1"/>
  <c r="C47" i="25" a="1"/>
  <c r="C47" i="25" s="1"/>
  <c r="D47" i="25" a="1"/>
  <c r="D47" i="25" s="1"/>
  <c r="E47" i="25" a="1"/>
  <c r="E47" i="25" s="1"/>
  <c r="F47" i="25" a="1"/>
  <c r="F47" i="25"/>
  <c r="G47" i="25" a="1"/>
  <c r="G47" i="25"/>
  <c r="I47" i="25" a="1"/>
  <c r="I47" i="25" s="1"/>
  <c r="J47" i="25" a="1"/>
  <c r="J47" i="25" s="1"/>
  <c r="K47" i="25" a="1"/>
  <c r="K47" i="25" s="1"/>
  <c r="B48" i="25" a="1"/>
  <c r="B48" i="25" s="1"/>
  <c r="C48" i="25" a="1"/>
  <c r="C48" i="25" s="1"/>
  <c r="D48" i="25" a="1"/>
  <c r="D48" i="25" s="1"/>
  <c r="E48" i="25" a="1"/>
  <c r="E48" i="25" s="1"/>
  <c r="F48" i="25" a="1"/>
  <c r="F48" i="25" s="1"/>
  <c r="G48" i="25" a="1"/>
  <c r="G48" i="25"/>
  <c r="H48" i="25" a="1"/>
  <c r="H48" i="25" s="1"/>
  <c r="I48" i="25" a="1"/>
  <c r="I48" i="25" s="1"/>
  <c r="J48" i="25" a="1"/>
  <c r="J48" i="25"/>
  <c r="K48" i="25" a="1"/>
  <c r="K48" i="25" s="1"/>
  <c r="B49" i="25" a="1"/>
  <c r="B49" i="25" s="1"/>
  <c r="C49" i="25" a="1"/>
  <c r="C49" i="25" s="1"/>
  <c r="D49" i="25" a="1"/>
  <c r="D49" i="25" s="1"/>
  <c r="E49" i="25" a="1"/>
  <c r="E49" i="25" s="1"/>
  <c r="F49" i="25" a="1"/>
  <c r="F49" i="25" s="1"/>
  <c r="G49" i="25" a="1"/>
  <c r="G49" i="25" s="1"/>
  <c r="H49" i="25" a="1"/>
  <c r="H49" i="25" s="1"/>
  <c r="I49" i="25" a="1"/>
  <c r="I49" i="25"/>
  <c r="J49" i="25" a="1"/>
  <c r="J49" i="25" s="1"/>
  <c r="K49" i="25" a="1"/>
  <c r="K49" i="25"/>
  <c r="B50" i="25" a="1"/>
  <c r="B50" i="25" s="1"/>
  <c r="C50" i="25" a="1"/>
  <c r="C50" i="25"/>
  <c r="D50" i="25" a="1"/>
  <c r="D50" i="25" s="1"/>
  <c r="E50" i="25" a="1"/>
  <c r="E50" i="25" s="1"/>
  <c r="F50" i="25" a="1"/>
  <c r="F50" i="25" s="1"/>
  <c r="G50" i="25" a="1"/>
  <c r="G50" i="25" s="1"/>
  <c r="H50" i="25" a="1"/>
  <c r="H50" i="25"/>
  <c r="I50" i="25" a="1"/>
  <c r="I50" i="25" s="1"/>
  <c r="J50" i="25" a="1"/>
  <c r="J50" i="25" s="1"/>
  <c r="K50" i="25" a="1"/>
  <c r="K50" i="25"/>
  <c r="B51" i="25" a="1"/>
  <c r="B51" i="25"/>
  <c r="C51" i="25" a="1"/>
  <c r="C51" i="25"/>
  <c r="D51" i="25" a="1"/>
  <c r="D51" i="25" s="1"/>
  <c r="E51" i="25" a="1"/>
  <c r="E51" i="25" s="1"/>
  <c r="F51" i="25" a="1"/>
  <c r="F51" i="25" s="1"/>
  <c r="G51" i="25" a="1"/>
  <c r="G51" i="25" s="1"/>
  <c r="H51" i="25" a="1"/>
  <c r="H51" i="25" s="1"/>
  <c r="I51" i="25" a="1"/>
  <c r="I51" i="25" s="1"/>
  <c r="J51" i="25" a="1"/>
  <c r="J51" i="25" s="1"/>
  <c r="K51" i="25" a="1"/>
  <c r="K51" i="25" s="1"/>
  <c r="B52" i="25" a="1"/>
  <c r="B52" i="25" s="1"/>
  <c r="C52" i="25" a="1"/>
  <c r="C52" i="25"/>
  <c r="D52" i="25" a="1"/>
  <c r="D52" i="25" s="1"/>
  <c r="E52" i="25" a="1"/>
  <c r="E52" i="25" s="1"/>
  <c r="F52" i="25" a="1"/>
  <c r="F52" i="25"/>
  <c r="G52" i="25" a="1"/>
  <c r="G52" i="25"/>
  <c r="H52" i="25" a="1"/>
  <c r="H52" i="25" s="1"/>
  <c r="I52" i="25" a="1"/>
  <c r="I52" i="25" s="1"/>
  <c r="J52" i="25" a="1"/>
  <c r="J52" i="25" s="1"/>
  <c r="K52" i="25" a="1"/>
  <c r="K52" i="25" s="1"/>
  <c r="B53" i="25" a="1"/>
  <c r="B53" i="25" s="1"/>
  <c r="C53" i="25" a="1"/>
  <c r="C53" i="25" s="1"/>
  <c r="D53" i="25" a="1"/>
  <c r="D53" i="25" s="1"/>
  <c r="E53" i="25" a="1"/>
  <c r="E53" i="25" s="1"/>
  <c r="F53" i="25" a="1"/>
  <c r="F53" i="25"/>
  <c r="G53" i="25" a="1"/>
  <c r="G53" i="25"/>
  <c r="H53" i="25" a="1"/>
  <c r="H53" i="25"/>
  <c r="I53" i="25" a="1"/>
  <c r="I53" i="25" s="1"/>
  <c r="J53" i="25" a="1"/>
  <c r="J53" i="25" s="1"/>
  <c r="K53" i="25" a="1"/>
  <c r="K53" i="25" s="1"/>
  <c r="B54" i="25" a="1"/>
  <c r="B54" i="25" s="1"/>
  <c r="C54" i="25" a="1"/>
  <c r="C54" i="25" s="1"/>
  <c r="D54" i="25" a="1"/>
  <c r="D54" i="25" s="1"/>
  <c r="E54" i="25" a="1"/>
  <c r="E54" i="25" s="1"/>
  <c r="F54" i="25" a="1"/>
  <c r="F54" i="25" s="1"/>
  <c r="G54" i="25" a="1"/>
  <c r="G54" i="25"/>
  <c r="H54" i="25" a="1"/>
  <c r="H54" i="25" s="1"/>
  <c r="I54" i="25" a="1"/>
  <c r="I54" i="25" s="1"/>
  <c r="J54" i="25" a="1"/>
  <c r="J54" i="25"/>
  <c r="K54" i="25" a="1"/>
  <c r="K54" i="25"/>
  <c r="C45" i="25" a="1"/>
  <c r="C45" i="25"/>
  <c r="D45" i="25" a="1"/>
  <c r="D45" i="25"/>
  <c r="E45" i="25" a="1"/>
  <c r="E45" i="25" s="1"/>
  <c r="F45" i="25" a="1"/>
  <c r="F45" i="25" s="1"/>
  <c r="G45" i="25" a="1"/>
  <c r="G45" i="25"/>
  <c r="H45" i="25" a="1"/>
  <c r="H45" i="25" s="1"/>
  <c r="I45" i="25" a="1"/>
  <c r="I45" i="25"/>
  <c r="J45" i="25" a="1"/>
  <c r="J45" i="25"/>
  <c r="K45" i="25" a="1"/>
  <c r="K45" i="25" s="1"/>
  <c r="B29" i="25"/>
  <c r="B26" i="25"/>
  <c r="C26" i="25"/>
  <c r="D26" i="25"/>
  <c r="E26" i="25"/>
  <c r="F26" i="25"/>
  <c r="G26" i="25"/>
  <c r="H26" i="25"/>
  <c r="I26" i="25"/>
  <c r="J26" i="25"/>
  <c r="K26" i="25"/>
  <c r="B27" i="25"/>
  <c r="C27" i="25"/>
  <c r="D27" i="25"/>
  <c r="E27" i="25"/>
  <c r="F27" i="25"/>
  <c r="G27" i="25"/>
  <c r="H27" i="25"/>
  <c r="I27" i="25"/>
  <c r="J27" i="25"/>
  <c r="K27" i="25"/>
  <c r="B28" i="25"/>
  <c r="C28" i="25"/>
  <c r="D28" i="25"/>
  <c r="E28" i="25"/>
  <c r="F28" i="25"/>
  <c r="G28" i="25"/>
  <c r="H28" i="25"/>
  <c r="I28" i="25"/>
  <c r="J28" i="25"/>
  <c r="K28" i="25"/>
  <c r="C29" i="25"/>
  <c r="D29" i="25"/>
  <c r="E29" i="25"/>
  <c r="F29" i="25"/>
  <c r="G29" i="25"/>
  <c r="H29" i="25"/>
  <c r="I29" i="25"/>
  <c r="J29" i="25"/>
  <c r="K29" i="25"/>
  <c r="B30" i="25"/>
  <c r="C30" i="25"/>
  <c r="D30" i="25"/>
  <c r="E30" i="25"/>
  <c r="F30" i="25"/>
  <c r="G30" i="25"/>
  <c r="H30" i="25"/>
  <c r="I30" i="25"/>
  <c r="J30" i="25"/>
  <c r="K30" i="25"/>
  <c r="B31" i="25"/>
  <c r="C31" i="25"/>
  <c r="D31" i="25"/>
  <c r="E31" i="25"/>
  <c r="F31" i="25"/>
  <c r="G31" i="25"/>
  <c r="H31" i="25"/>
  <c r="I31" i="25"/>
  <c r="J31" i="25"/>
  <c r="K31" i="25"/>
  <c r="B32" i="25"/>
  <c r="C32" i="25"/>
  <c r="D32" i="25"/>
  <c r="E32" i="25"/>
  <c r="F32" i="25"/>
  <c r="G32" i="25"/>
  <c r="H32" i="25"/>
  <c r="I32" i="25"/>
  <c r="J32" i="25"/>
  <c r="K32" i="25"/>
  <c r="B33" i="25"/>
  <c r="C33" i="25"/>
  <c r="D33" i="25"/>
  <c r="E33" i="25"/>
  <c r="F33" i="25"/>
  <c r="G33" i="25"/>
  <c r="H33" i="25"/>
  <c r="I33" i="25"/>
  <c r="J33" i="25"/>
  <c r="K33" i="25"/>
  <c r="B34" i="25"/>
  <c r="C34" i="25"/>
  <c r="D34" i="25"/>
  <c r="E34" i="25"/>
  <c r="F34" i="25"/>
  <c r="G34" i="25"/>
  <c r="H34" i="25"/>
  <c r="I34" i="25"/>
  <c r="J34" i="25"/>
  <c r="K34" i="25"/>
  <c r="C25" i="25"/>
  <c r="D25" i="25"/>
  <c r="E25" i="25"/>
  <c r="F25" i="25"/>
  <c r="G25" i="25"/>
  <c r="H25" i="25"/>
  <c r="I25" i="25"/>
  <c r="J25" i="25"/>
  <c r="K25" i="25"/>
  <c r="B25" i="25"/>
  <c r="B108" i="25"/>
  <c r="C108" i="25"/>
  <c r="D108" i="25"/>
  <c r="E108" i="25"/>
  <c r="F108" i="25"/>
  <c r="G108" i="25"/>
  <c r="H108" i="25"/>
  <c r="I108" i="25"/>
  <c r="J108" i="25"/>
  <c r="K108" i="25"/>
  <c r="B109" i="25"/>
  <c r="C109" i="25"/>
  <c r="D109" i="25"/>
  <c r="E109" i="25"/>
  <c r="F109" i="25"/>
  <c r="G109" i="25"/>
  <c r="H109" i="25"/>
  <c r="I109" i="25"/>
  <c r="J109" i="25"/>
  <c r="K109" i="25"/>
  <c r="B110" i="25"/>
  <c r="C110" i="25"/>
  <c r="D110" i="25"/>
  <c r="E110" i="25"/>
  <c r="F110" i="25"/>
  <c r="G110" i="25"/>
  <c r="H110" i="25"/>
  <c r="I110" i="25"/>
  <c r="J110" i="25"/>
  <c r="K110" i="25"/>
  <c r="B111" i="25"/>
  <c r="C111" i="25"/>
  <c r="D111" i="25"/>
  <c r="E111" i="25"/>
  <c r="F111" i="25"/>
  <c r="G111" i="25"/>
  <c r="H111" i="25"/>
  <c r="I111" i="25"/>
  <c r="J111" i="25"/>
  <c r="K111" i="25"/>
  <c r="B112" i="25"/>
  <c r="C112" i="25"/>
  <c r="D112" i="25"/>
  <c r="E112" i="25"/>
  <c r="F112" i="25"/>
  <c r="G112" i="25"/>
  <c r="H112" i="25"/>
  <c r="I112" i="25"/>
  <c r="J112" i="25"/>
  <c r="K112" i="25"/>
  <c r="B113" i="25"/>
  <c r="C113" i="25"/>
  <c r="D113" i="25"/>
  <c r="E113" i="25"/>
  <c r="F113" i="25"/>
  <c r="G113" i="25"/>
  <c r="H113" i="25"/>
  <c r="I113" i="25"/>
  <c r="J113" i="25"/>
  <c r="K113" i="25"/>
  <c r="B114" i="25"/>
  <c r="C114" i="25"/>
  <c r="D114" i="25"/>
  <c r="E114" i="25"/>
  <c r="F114" i="25"/>
  <c r="H114" i="25"/>
  <c r="I114" i="25"/>
  <c r="J114" i="25"/>
  <c r="K114" i="25"/>
  <c r="B115" i="25"/>
  <c r="C115" i="25"/>
  <c r="D115" i="25"/>
  <c r="E115" i="25"/>
  <c r="F115" i="25"/>
  <c r="G115" i="25"/>
  <c r="H115" i="25"/>
  <c r="I115" i="25"/>
  <c r="J115" i="25"/>
  <c r="K115" i="25"/>
  <c r="B116" i="25"/>
  <c r="C116" i="25"/>
  <c r="D116" i="25"/>
  <c r="E116" i="25"/>
  <c r="F116" i="25"/>
  <c r="G116" i="25"/>
  <c r="H116" i="25"/>
  <c r="I116" i="25"/>
  <c r="J116" i="25"/>
  <c r="K116" i="25"/>
  <c r="D107" i="25"/>
  <c r="E107" i="25"/>
  <c r="F107" i="25"/>
  <c r="G107" i="25"/>
  <c r="H107" i="25"/>
  <c r="I107" i="25"/>
  <c r="J107" i="25"/>
  <c r="K107" i="25"/>
  <c r="B107" i="25"/>
  <c r="G26" i="26"/>
  <c r="G27" i="26"/>
  <c r="G28" i="26"/>
  <c r="G29" i="26"/>
  <c r="G30" i="26"/>
  <c r="G31" i="26"/>
  <c r="G32" i="26"/>
  <c r="G33" i="26"/>
  <c r="G34" i="26"/>
  <c r="F26" i="26"/>
  <c r="F27" i="26"/>
  <c r="F28" i="26"/>
  <c r="F29" i="26"/>
  <c r="F30" i="26"/>
  <c r="F31" i="26"/>
  <c r="F32" i="26"/>
  <c r="F33" i="26"/>
  <c r="F34" i="26"/>
  <c r="E26" i="26"/>
  <c r="E27" i="26"/>
  <c r="E28" i="26"/>
  <c r="E29" i="26"/>
  <c r="E30" i="26"/>
  <c r="E31" i="26"/>
  <c r="E32" i="26"/>
  <c r="E33" i="26"/>
  <c r="E34" i="26"/>
  <c r="D26" i="26"/>
  <c r="D27" i="26"/>
  <c r="D28" i="26"/>
  <c r="D29" i="26"/>
  <c r="D30" i="26"/>
  <c r="D31" i="26"/>
  <c r="D32" i="26"/>
  <c r="D33" i="26"/>
  <c r="D34" i="26"/>
  <c r="C26" i="26"/>
  <c r="C27" i="26"/>
  <c r="C28" i="26"/>
  <c r="C29" i="26"/>
  <c r="C30" i="26"/>
  <c r="C31" i="26"/>
  <c r="C32" i="26"/>
  <c r="C33" i="26"/>
  <c r="C34" i="26"/>
  <c r="B26" i="26"/>
  <c r="B27" i="26"/>
  <c r="B28" i="26"/>
  <c r="B29" i="26"/>
  <c r="B30" i="26"/>
  <c r="B31" i="26"/>
  <c r="B32" i="26"/>
  <c r="B33" i="26"/>
  <c r="B34" i="26"/>
  <c r="C25" i="26"/>
  <c r="D25" i="26"/>
  <c r="E25" i="26"/>
  <c r="F25" i="26"/>
  <c r="G25" i="26"/>
  <c r="B25" i="26"/>
  <c r="E30" i="27"/>
  <c r="C89" i="27"/>
  <c r="D30" i="27"/>
  <c r="C93" i="27"/>
  <c r="F94" i="27"/>
  <c r="C33" i="27"/>
  <c r="G94" i="27"/>
  <c r="D94" i="27"/>
  <c r="C35" i="27"/>
  <c r="C38" i="27"/>
  <c r="E35" i="27"/>
  <c r="D35" i="27"/>
  <c r="E94" i="27"/>
  <c r="C94" i="27"/>
  <c r="C30" i="27"/>
  <c r="C37" i="27"/>
  <c r="C90" i="27"/>
  <c r="C91" i="27"/>
  <c r="O23" i="27" l="1"/>
  <c r="A36" i="31" a="1"/>
  <c r="A36" i="31" s="1"/>
  <c r="C36" i="31" s="1"/>
  <c r="A41" i="29" a="1"/>
  <c r="A41" i="29" s="1"/>
  <c r="C41" i="29" s="1"/>
  <c r="A42" i="31" a="1"/>
  <c r="A42" i="31" s="1"/>
  <c r="C78" i="27"/>
  <c r="AY22" i="27"/>
  <c r="F27" i="29"/>
  <c r="A17" i="29" a="1"/>
  <c r="A17" i="29" s="1"/>
  <c r="E108" i="27"/>
  <c r="G108" i="27"/>
  <c r="BE80" i="27"/>
  <c r="BF80" i="27"/>
  <c r="BG80" i="27" s="1"/>
  <c r="I21" i="27"/>
  <c r="BF79" i="27"/>
  <c r="BG79" i="27" s="1"/>
  <c r="BE82" i="27"/>
  <c r="BF82" i="27"/>
  <c r="BG82" i="27" s="1"/>
  <c r="BF81" i="27"/>
  <c r="BG81" i="27" s="1"/>
  <c r="BE78" i="27"/>
  <c r="BF78" i="27"/>
  <c r="BG78" i="27" s="1"/>
  <c r="BE76" i="27"/>
  <c r="BF76" i="27"/>
  <c r="BG76" i="27" s="1"/>
  <c r="BF84" i="27"/>
  <c r="BG84" i="27" s="1"/>
  <c r="BF83" i="27"/>
  <c r="BG83" i="27" s="1"/>
  <c r="BF77" i="27"/>
  <c r="BG77" i="27" s="1"/>
  <c r="E78" i="27"/>
  <c r="E49" i="27"/>
  <c r="E44" i="27"/>
  <c r="E79" i="27"/>
  <c r="O82" i="27"/>
  <c r="O81" i="27"/>
  <c r="O80" i="27"/>
  <c r="AS21" i="27"/>
  <c r="AT20" i="27"/>
  <c r="AU20" i="27" s="1"/>
  <c r="AH22" i="27"/>
  <c r="AI22" i="27" s="1"/>
  <c r="AG22" i="27"/>
  <c r="AY23" i="27"/>
  <c r="V22" i="27"/>
  <c r="W22" i="27" s="1"/>
  <c r="AS19" i="27"/>
  <c r="O79" i="27"/>
  <c r="BE22" i="27"/>
  <c r="AN79" i="27"/>
  <c r="AO79" i="27" s="1"/>
  <c r="AS80" i="27"/>
  <c r="I25" i="27"/>
  <c r="AS78" i="27"/>
  <c r="J22" i="27"/>
  <c r="K22" i="27" s="1"/>
  <c r="I22" i="27"/>
  <c r="P22" i="27"/>
  <c r="Q22" i="27" s="1"/>
  <c r="O22" i="27"/>
  <c r="D80" i="27"/>
  <c r="E80" i="27" s="1"/>
  <c r="C80" i="27"/>
  <c r="J81" i="27"/>
  <c r="K81" i="27" s="1"/>
  <c r="I81" i="27"/>
  <c r="AZ19" i="27"/>
  <c r="BA19" i="27" s="1"/>
  <c r="D23" i="27"/>
  <c r="E23" i="27" s="1"/>
  <c r="AZ18" i="27"/>
  <c r="BA18" i="27" s="1"/>
  <c r="U83" i="27"/>
  <c r="I24" i="27"/>
  <c r="P25" i="27"/>
  <c r="Q25" i="27" s="1"/>
  <c r="D25" i="27"/>
  <c r="E25" i="27" s="1"/>
  <c r="O21" i="27"/>
  <c r="P17" i="27"/>
  <c r="Q17" i="27" s="1"/>
  <c r="I82" i="27"/>
  <c r="I80" i="27"/>
  <c r="V80" i="27"/>
  <c r="W80" i="27" s="1"/>
  <c r="I20" i="27"/>
  <c r="AA21" i="27"/>
  <c r="AT81" i="27"/>
  <c r="AU81" i="27" s="1"/>
  <c r="AB19" i="27"/>
  <c r="AC19" i="27" s="1"/>
  <c r="AA19" i="27"/>
  <c r="AG81" i="27"/>
  <c r="AH81" i="27"/>
  <c r="AI81" i="27" s="1"/>
  <c r="AN81" i="27"/>
  <c r="AO81" i="27" s="1"/>
  <c r="AM81" i="27"/>
  <c r="J79" i="27"/>
  <c r="K79" i="27" s="1"/>
  <c r="I79" i="27"/>
  <c r="AZ21" i="27"/>
  <c r="BA21" i="27" s="1"/>
  <c r="AY21" i="27"/>
  <c r="AH20" i="27"/>
  <c r="AI20" i="27" s="1"/>
  <c r="AG20" i="27"/>
  <c r="O76" i="27"/>
  <c r="C76" i="27"/>
  <c r="P24" i="27"/>
  <c r="Q24" i="27" s="1"/>
  <c r="AA18" i="27"/>
  <c r="AG24" i="27"/>
  <c r="AM18" i="27"/>
  <c r="BE19" i="27"/>
  <c r="C79" i="27"/>
  <c r="AN17" i="27"/>
  <c r="AO17" i="27" s="1"/>
  <c r="AG78" i="27"/>
  <c r="AM82" i="27"/>
  <c r="AG18" i="27"/>
  <c r="AA80" i="27"/>
  <c r="AG77" i="27"/>
  <c r="C19" i="27"/>
  <c r="AN19" i="27"/>
  <c r="AO19" i="27" s="1"/>
  <c r="J78" i="27"/>
  <c r="K78" i="27" s="1"/>
  <c r="AA79" i="27"/>
  <c r="AH83" i="27"/>
  <c r="AI83" i="27" s="1"/>
  <c r="AM77" i="27"/>
  <c r="AB17" i="27"/>
  <c r="AC17" i="27" s="1"/>
  <c r="AG76" i="27"/>
  <c r="AB25" i="27"/>
  <c r="AC25" i="27" s="1"/>
  <c r="BE18" i="27"/>
  <c r="AG84" i="27"/>
  <c r="AG19" i="27"/>
  <c r="AN22" i="27"/>
  <c r="AO22" i="27" s="1"/>
  <c r="BF17" i="27"/>
  <c r="BG17" i="27" s="1"/>
  <c r="D77" i="27"/>
  <c r="E77" i="27" s="1"/>
  <c r="AN20" i="27"/>
  <c r="AO20" i="27" s="1"/>
  <c r="AY20" i="27"/>
  <c r="BF20" i="27"/>
  <c r="BG20" i="27" s="1"/>
  <c r="C18" i="27"/>
  <c r="V23" i="27"/>
  <c r="W23" i="27" s="1"/>
  <c r="J77" i="27"/>
  <c r="K77" i="27" s="1"/>
  <c r="AN84" i="27"/>
  <c r="AO84" i="27" s="1"/>
  <c r="D22" i="27"/>
  <c r="E22" i="27" s="1"/>
  <c r="U20" i="27"/>
  <c r="V20" i="27"/>
  <c r="W20" i="27" s="1"/>
  <c r="AG21" i="27"/>
  <c r="AS17" i="27"/>
  <c r="AS24" i="27"/>
  <c r="BE21" i="27"/>
  <c r="BF21" i="27"/>
  <c r="BG21" i="27" s="1"/>
  <c r="U17" i="27"/>
  <c r="D21" i="27"/>
  <c r="E21" i="27" s="1"/>
  <c r="U25" i="27"/>
  <c r="AB24" i="27"/>
  <c r="AC24" i="27" s="1"/>
  <c r="AH25" i="27"/>
  <c r="AI25" i="27" s="1"/>
  <c r="V76" i="27"/>
  <c r="W76" i="27" s="1"/>
  <c r="D20" i="27"/>
  <c r="E20" i="27" s="1"/>
  <c r="J23" i="27"/>
  <c r="K23" i="27" s="1"/>
  <c r="P19" i="27"/>
  <c r="Q19" i="27" s="1"/>
  <c r="C82" i="27"/>
  <c r="V84" i="27"/>
  <c r="W84" i="27" s="1"/>
  <c r="AA82" i="27"/>
  <c r="AB82" i="27"/>
  <c r="AC82" i="27" s="1"/>
  <c r="AA83" i="27"/>
  <c r="P84" i="27"/>
  <c r="Q84" i="27" s="1"/>
  <c r="U19" i="27"/>
  <c r="AT18" i="27"/>
  <c r="AU18" i="27" s="1"/>
  <c r="AB78" i="27"/>
  <c r="AC78" i="27" s="1"/>
  <c r="AA78" i="27"/>
  <c r="AS82" i="27"/>
  <c r="AT82" i="27"/>
  <c r="AU82" i="27" s="1"/>
  <c r="U18" i="27"/>
  <c r="V18" i="27"/>
  <c r="W18" i="27" s="1"/>
  <c r="AS25" i="27"/>
  <c r="AN83" i="27"/>
  <c r="AO83" i="27" s="1"/>
  <c r="AM83" i="27"/>
  <c r="AN21" i="27"/>
  <c r="AO21" i="27" s="1"/>
  <c r="AS23" i="27"/>
  <c r="C84" i="27"/>
  <c r="AA76" i="27"/>
  <c r="AT79" i="27"/>
  <c r="AU79" i="27" s="1"/>
  <c r="AS79" i="27"/>
  <c r="P20" i="27"/>
  <c r="Q20" i="27" s="1"/>
  <c r="C83" i="27"/>
  <c r="AA84" i="27"/>
  <c r="AB22" i="27"/>
  <c r="AC22" i="27" s="1"/>
  <c r="AY25" i="27"/>
  <c r="AZ25" i="27"/>
  <c r="BA25" i="27" s="1"/>
  <c r="P18" i="27"/>
  <c r="Q18" i="27" s="1"/>
  <c r="AM25" i="27"/>
  <c r="AY24" i="27"/>
  <c r="AZ24" i="27"/>
  <c r="BA24" i="27" s="1"/>
  <c r="AY17" i="27"/>
  <c r="C81" i="27"/>
  <c r="D81" i="27"/>
  <c r="E81" i="27" s="1"/>
  <c r="AN80" i="27"/>
  <c r="AO80" i="27" s="1"/>
  <c r="D24" i="27"/>
  <c r="E24" i="27" s="1"/>
  <c r="C24" i="27"/>
  <c r="AB20" i="27"/>
  <c r="AC20" i="27" s="1"/>
  <c r="AM24" i="27"/>
  <c r="P83" i="27"/>
  <c r="Q83" i="27" s="1"/>
  <c r="J19" i="27"/>
  <c r="K19" i="27" s="1"/>
  <c r="V21" i="27"/>
  <c r="W21" i="27" s="1"/>
  <c r="U21" i="27"/>
  <c r="AG23" i="27"/>
  <c r="AH23" i="27"/>
  <c r="AI23" i="27" s="1"/>
  <c r="AG17" i="27"/>
  <c r="AM23" i="27"/>
  <c r="AT22" i="27"/>
  <c r="AU22" i="27" s="1"/>
  <c r="BE25" i="27"/>
  <c r="W81" i="27"/>
  <c r="U81" i="27"/>
  <c r="V79" i="27"/>
  <c r="W79" i="27" s="1"/>
  <c r="AB81" i="27"/>
  <c r="AC81" i="27" s="1"/>
  <c r="AG82" i="27"/>
  <c r="AH82" i="27"/>
  <c r="AI82" i="27" s="1"/>
  <c r="AG80" i="27"/>
  <c r="AT76" i="27"/>
  <c r="AU76" i="27" s="1"/>
  <c r="AS76" i="27"/>
  <c r="J18" i="27"/>
  <c r="K18" i="27" s="1"/>
  <c r="BE24" i="27"/>
  <c r="I84" i="27"/>
  <c r="J84" i="27"/>
  <c r="K84" i="27" s="1"/>
  <c r="I76" i="27"/>
  <c r="V78" i="27"/>
  <c r="W78" i="27" s="1"/>
  <c r="AG79" i="27"/>
  <c r="C17" i="27"/>
  <c r="V24" i="27"/>
  <c r="W24" i="27" s="1"/>
  <c r="BE23" i="27"/>
  <c r="I83" i="27"/>
  <c r="J83" i="27"/>
  <c r="K83" i="27" s="1"/>
  <c r="V77" i="27"/>
  <c r="W77" i="27" s="1"/>
  <c r="AB77" i="27"/>
  <c r="AC77" i="27" s="1"/>
  <c r="AT84" i="27"/>
  <c r="AU84" i="27" s="1"/>
  <c r="AS84" i="27"/>
  <c r="AY84" i="27"/>
  <c r="AZ84" i="27"/>
  <c r="BA84" i="27" s="1"/>
  <c r="AY83" i="27"/>
  <c r="AZ83" i="27"/>
  <c r="BA83" i="27" s="1"/>
  <c r="AT83" i="27"/>
  <c r="AU83" i="27" s="1"/>
  <c r="AY82" i="27"/>
  <c r="AZ82" i="27"/>
  <c r="BA82" i="27" s="1"/>
  <c r="AT77" i="27"/>
  <c r="AU77" i="27" s="1"/>
  <c r="AZ80" i="27"/>
  <c r="BA80" i="27" s="1"/>
  <c r="AY80" i="27"/>
  <c r="AZ79" i="27"/>
  <c r="BA79" i="27" s="1"/>
  <c r="AY79" i="27"/>
  <c r="U82" i="27"/>
  <c r="AN78" i="27"/>
  <c r="AO78" i="27" s="1"/>
  <c r="AY77" i="27"/>
  <c r="AZ77" i="27"/>
  <c r="BA77" i="27" s="1"/>
  <c r="AY81" i="27"/>
  <c r="AZ78" i="27"/>
  <c r="BA78" i="27" s="1"/>
  <c r="AA23" i="27"/>
  <c r="P78" i="27"/>
  <c r="Q78" i="27" s="1"/>
  <c r="J17" i="27"/>
  <c r="K17" i="27" s="1"/>
  <c r="P77" i="27"/>
  <c r="Q77" i="27" s="1"/>
  <c r="AN76" i="27"/>
  <c r="AO76" i="27" s="1"/>
  <c r="AZ76" i="27"/>
  <c r="BA76" i="27" s="1"/>
  <c r="D96" i="27"/>
  <c r="C96" i="27"/>
  <c r="D91" i="27"/>
  <c r="E32" i="27"/>
  <c r="E89" i="27"/>
  <c r="E91" i="27"/>
  <c r="D31" i="27"/>
  <c r="F95" i="27"/>
  <c r="D95" i="27"/>
  <c r="C39" i="27"/>
  <c r="F90" i="27"/>
  <c r="C36" i="27"/>
  <c r="F92" i="27"/>
  <c r="D39" i="27"/>
  <c r="F37" i="27"/>
  <c r="D34" i="27"/>
  <c r="C97" i="27"/>
  <c r="F38" i="27"/>
  <c r="F33" i="27"/>
  <c r="G96" i="27"/>
  <c r="G33" i="27"/>
  <c r="C34" i="27"/>
  <c r="E93" i="27"/>
  <c r="D97" i="27"/>
  <c r="G31" i="27"/>
  <c r="D37" i="27"/>
  <c r="D33" i="27"/>
  <c r="G89" i="27"/>
  <c r="D36" i="27"/>
  <c r="E33" i="27"/>
  <c r="G36" i="27"/>
  <c r="G38" i="27"/>
  <c r="F97" i="27"/>
  <c r="D90" i="27"/>
  <c r="C31" i="27"/>
  <c r="E90" i="27"/>
  <c r="G91" i="27"/>
  <c r="E98" i="27"/>
  <c r="G34" i="27"/>
  <c r="D93" i="27"/>
  <c r="F91" i="27"/>
  <c r="G90" i="27"/>
  <c r="G30" i="27"/>
  <c r="F36" i="27"/>
  <c r="C95" i="27"/>
  <c r="G98" i="27"/>
  <c r="G97" i="27"/>
  <c r="C92" i="27"/>
  <c r="E96" i="27"/>
  <c r="F32" i="27"/>
  <c r="C98" i="27"/>
  <c r="C32" i="27"/>
  <c r="F93" i="27"/>
  <c r="G93" i="27"/>
  <c r="E92" i="27"/>
  <c r="G95" i="27"/>
  <c r="F98" i="27"/>
  <c r="D38" i="27"/>
  <c r="G39" i="27"/>
  <c r="G32" i="27"/>
  <c r="D89" i="27"/>
  <c r="E39" i="27"/>
  <c r="E38" i="27"/>
  <c r="F96" i="27"/>
  <c r="F39" i="27"/>
  <c r="F31" i="27"/>
  <c r="E37" i="27"/>
  <c r="E31" i="27"/>
  <c r="G92" i="27"/>
  <c r="E95" i="27"/>
  <c r="E97" i="27"/>
  <c r="F30" i="27"/>
  <c r="E34" i="27"/>
  <c r="F34" i="27"/>
  <c r="D32" i="27"/>
  <c r="E36" i="27"/>
  <c r="F89" i="27"/>
  <c r="D92" i="27"/>
  <c r="F35" i="27"/>
  <c r="D98" i="27"/>
  <c r="G35" i="27"/>
  <c r="G37" i="27"/>
  <c r="B36" i="31" l="1"/>
  <c r="D36" i="31" s="1"/>
  <c r="C42" i="29"/>
  <c r="D41" i="29"/>
  <c r="E41" i="29" s="1"/>
  <c r="G41" i="29" s="1"/>
  <c r="I41" i="29" s="1"/>
  <c r="B41" i="29"/>
  <c r="D42" i="29"/>
  <c r="E103" i="27"/>
  <c r="G103" i="27"/>
  <c r="E109" i="27"/>
  <c r="G109" i="27"/>
  <c r="E105" i="27"/>
  <c r="G105" i="27"/>
  <c r="G107" i="27"/>
  <c r="E107" i="27"/>
  <c r="E110" i="27"/>
  <c r="G110" i="27"/>
  <c r="G106" i="27"/>
  <c r="E106" i="27"/>
  <c r="G112" i="27"/>
  <c r="E112" i="27"/>
  <c r="G104" i="27"/>
  <c r="E104" i="27"/>
  <c r="E111" i="27"/>
  <c r="G111" i="27"/>
  <c r="C42" i="31"/>
  <c r="B42" i="31"/>
  <c r="F41" i="29"/>
  <c r="C17" i="29"/>
  <c r="D17" i="29"/>
  <c r="B17" i="29"/>
  <c r="B42" i="29"/>
  <c r="E47" i="27"/>
  <c r="G47" i="27"/>
  <c r="E46" i="27"/>
  <c r="G46" i="27"/>
  <c r="E51" i="27"/>
  <c r="G51" i="27"/>
  <c r="G52" i="27"/>
  <c r="E52" i="27"/>
  <c r="G49" i="27"/>
  <c r="G45" i="27"/>
  <c r="E45" i="27"/>
  <c r="E48" i="27"/>
  <c r="G48" i="27"/>
  <c r="G53" i="27"/>
  <c r="E53" i="27"/>
  <c r="G50" i="27"/>
  <c r="E50" i="27"/>
  <c r="G44" i="27"/>
  <c r="F42" i="29" l="1"/>
  <c r="D42" i="31"/>
  <c r="E42" i="29"/>
  <c r="G42" i="29" s="1"/>
  <c r="J41" i="29" s="1"/>
  <c r="H41" i="29"/>
  <c r="E42" i="31"/>
  <c r="F42" i="31" s="1"/>
  <c r="E36" i="31"/>
  <c r="F36" i="31" s="1"/>
  <c r="E17" i="29"/>
  <c r="G17" i="29" s="1"/>
  <c r="H17" i="29" s="1"/>
  <c r="F17" i="29"/>
  <c r="I42" i="29" l="1"/>
  <c r="J42" i="29"/>
  <c r="B79" i="29" s="1"/>
  <c r="H42" i="29"/>
  <c r="I36" i="31"/>
  <c r="J36" i="31" s="1"/>
  <c r="I42" i="31"/>
  <c r="J42" i="31" s="1"/>
  <c r="J17" i="29"/>
  <c r="I17" i="29"/>
  <c r="F79" i="29" l="1"/>
  <c r="F78" i="29"/>
  <c r="E78" i="29"/>
  <c r="B78" i="29"/>
  <c r="D79" i="29"/>
  <c r="C79" i="29"/>
  <c r="E79" i="29"/>
  <c r="C78" i="29"/>
  <c r="D78" i="2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<sst xmlns="http://schemas.openxmlformats.org/spreadsheetml/2006/main" count="558" uniqueCount="122">
  <si>
    <t>№</t>
  </si>
  <si>
    <t>Class</t>
  </si>
  <si>
    <t xml:space="preserve">Sign of Quantitative Features - </t>
  </si>
  <si>
    <t>Dog-Wolf (10, 6, 2)</t>
  </si>
  <si>
    <t>min-max Normalization</t>
  </si>
  <si>
    <t>min-max Normalized Dog-Wolf (10, 6, 2)</t>
  </si>
  <si>
    <t>Euclidean distance</t>
  </si>
  <si>
    <t>Chebyshev distance</t>
  </si>
  <si>
    <t>Canberra distance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</si>
  <si>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</si>
  <si>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</si>
  <si>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</si>
  <si>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</si>
  <si>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</si>
  <si>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</si>
  <si>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</si>
  <si>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</si>
  <si>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</si>
  <si>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</si>
  <si>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Rank</t>
  </si>
  <si>
    <t>Euclidean Neighbors (S1)</t>
  </si>
  <si>
    <t>Neighbor</t>
  </si>
  <si>
    <t>Distance</t>
  </si>
  <si>
    <t>Same as Target</t>
  </si>
  <si>
    <t>Euclidean Neighbors (S2)</t>
  </si>
  <si>
    <t>Euclidean Neighbors (S3)</t>
  </si>
  <si>
    <t>Euclidean Neighbors (S4)</t>
  </si>
  <si>
    <t>Euclidean Neighbors (S5)</t>
  </si>
  <si>
    <t>Euclidean Neighbors (S6)</t>
  </si>
  <si>
    <t>Euclidean Neighbors (S7)</t>
  </si>
  <si>
    <t>Euclidean Neighbors (S8)</t>
  </si>
  <si>
    <t>Euclidean Neighbors (S9)</t>
  </si>
  <si>
    <t>Euclidean Neighbors (S10)</t>
  </si>
  <si>
    <t>a1</t>
  </si>
  <si>
    <t>a3</t>
  </si>
  <si>
    <t>a5</t>
  </si>
  <si>
    <t>Object</t>
  </si>
  <si>
    <t>Majority Rule (Majorant Principle)</t>
  </si>
  <si>
    <t>b1</t>
  </si>
  <si>
    <t>b3</t>
  </si>
  <si>
    <t>b5</t>
  </si>
  <si>
    <t>Binary Sequence</t>
  </si>
  <si>
    <t>Stats Euclidean</t>
  </si>
  <si>
    <t>Total Count</t>
  </si>
  <si>
    <t>Dominant Class</t>
  </si>
  <si>
    <t>Status</t>
  </si>
  <si>
    <t>Unique Binary Sequence</t>
  </si>
  <si>
    <t>Euclidean Distance Matrix of Dog-Wolf (10, 6, 2)</t>
  </si>
  <si>
    <t>Chebyshev Distance Matrix of Dog-Wolf (10, 6, 2)</t>
  </si>
  <si>
    <t>Canberra Distance Matrix of Dog-Wolf (10, 6, 2)</t>
  </si>
  <si>
    <t>Canberra Distance Matrix of min-max Normalized Dog-Wolf (10, 6, 2)</t>
  </si>
  <si>
    <t>Euclidean Distance Matrix of min-max Normalized Dog-Wolf (10, 6, 2)</t>
  </si>
  <si>
    <t>Chebyshev Distance Matrix of min-max Normalized Dog-Wolf (10, 6, 2)</t>
  </si>
  <si>
    <t>Chebyshev Neighbors (S1)</t>
  </si>
  <si>
    <t>Chebyshev Neighbors (S2)</t>
  </si>
  <si>
    <t>Chebyshev Neighbors (S3)</t>
  </si>
  <si>
    <t>Chebyshev Neighbors (S4)</t>
  </si>
  <si>
    <t>Chebyshev Neighbors (S5)</t>
  </si>
  <si>
    <t>Chebyshev Neighbors (S6)</t>
  </si>
  <si>
    <t>Chebyshev Neighbors (S7)</t>
  </si>
  <si>
    <t>Chebyshev Neighbors (S8)</t>
  </si>
  <si>
    <t>Chebyshev Neighbors (S9)</t>
  </si>
  <si>
    <t>Chebyshev Neighbors (S10)</t>
  </si>
  <si>
    <t>a2</t>
  </si>
  <si>
    <t>a4</t>
  </si>
  <si>
    <t>A(S1)</t>
  </si>
  <si>
    <t>A(S2)</t>
  </si>
  <si>
    <t>A(S3)</t>
  </si>
  <si>
    <t>A(S4)</t>
  </si>
  <si>
    <t>A(S5)</t>
  </si>
  <si>
    <t>A(S6)</t>
  </si>
  <si>
    <t>A(S7)</t>
  </si>
  <si>
    <t>A(S8)</t>
  </si>
  <si>
    <t>A(S9)</t>
  </si>
  <si>
    <t>A(S10)</t>
  </si>
  <si>
    <t>b4</t>
  </si>
  <si>
    <t>b2</t>
  </si>
  <si>
    <t>b(S1)</t>
  </si>
  <si>
    <t>b(S2)</t>
  </si>
  <si>
    <t>b(S3)</t>
  </si>
  <si>
    <t>b(S4)</t>
  </si>
  <si>
    <t>b(S5)</t>
  </si>
  <si>
    <t>b(S6)</t>
  </si>
  <si>
    <t>b(S7)</t>
  </si>
  <si>
    <t>b(S8)</t>
  </si>
  <si>
    <t>b(S9)</t>
  </si>
  <si>
    <t>b(S10)</t>
  </si>
  <si>
    <t>Full Binary Euclidean</t>
  </si>
  <si>
    <t>Reduced Binary Euclidean</t>
  </si>
  <si>
    <t>Metric</t>
  </si>
  <si>
    <t>Decimal</t>
  </si>
  <si>
    <t>Euclidean</t>
  </si>
  <si>
    <t>Chebyshev</t>
  </si>
  <si>
    <t>Canberra</t>
  </si>
  <si>
    <t>Final Comparison Stats among Metrics</t>
  </si>
  <si>
    <t>Count K1</t>
  </si>
  <si>
    <t>Count K2</t>
  </si>
  <si>
    <t>Rank Key</t>
  </si>
  <si>
    <t>Winner Rank</t>
  </si>
  <si>
    <t>Winner Class</t>
  </si>
  <si>
    <t>Winner Binary</t>
  </si>
  <si>
    <t>Purity (Fuzzy)</t>
  </si>
  <si>
    <t>Winner Decimal</t>
  </si>
  <si>
    <t>Winner Frequency</t>
  </si>
  <si>
    <t>Full Binary Chebyshev</t>
  </si>
  <si>
    <t>Reduced Binary Chebyshev</t>
  </si>
  <si>
    <t>Stats Chebyshev</t>
  </si>
  <si>
    <t>Reduced Binary Canberra</t>
  </si>
  <si>
    <t>Stats Canberra</t>
  </si>
  <si>
    <t>Winner Purity (Fuzzy)</t>
  </si>
  <si>
    <t>|K1| = 6</t>
  </si>
  <si>
    <t>|K2| = 4</t>
  </si>
  <si>
    <t>Full A(S) Matrix based on Euclidean Distance (k = 1,2,3,4,5)</t>
  </si>
  <si>
    <t>Reduced A(S) Matrix based on Euclidean Distance (k = 3,5)</t>
  </si>
  <si>
    <t>Full A(S) Matrix based on Chebyshev Distance (k = 1,2,3,4,5)</t>
  </si>
  <si>
    <t>Reduced A(S) Matrix based on Chebyshev Distance (k = 3,5)</t>
  </si>
  <si>
    <t>Binary (b3)</t>
  </si>
  <si>
    <t>Decimal (b3)</t>
  </si>
  <si>
    <t>Decimal (b3+b5)</t>
  </si>
  <si>
    <t>Binary (b3+b5)</t>
  </si>
  <si>
    <t>Membership function and Stability for Decimal of Reduced Binary Euclidean (b3)</t>
  </si>
  <si>
    <t>Membership function and Stability for Decimal of Reduced Binary Euclidean (b3+b5)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</si>
</sst>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i/>
      <u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i/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56EF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F16B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EF4B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9F72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0" fontId="3" fillId="0" borderId="0" xfId="0" applyFont="1"/>
    <xf numFmtId="0" fontId="4" fillId="7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0" borderId="0" xfId="0" applyFont="1"/>
    <xf numFmtId="0" fontId="4" fillId="5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 applyBorder="1" applyAlignment="1">
      <alignment vertical="top"/>
    </xf>
    <xf numFmtId="0" fontId="5" fillId="5" borderId="1" xfId="0" applyNumberFormat="1" applyFont="1" applyFill="1" applyBorder="1" applyAlignment="1">
      <alignment horizontal="center" vertical="center"/>
    </xf>
    <xf numFmtId="0" fontId="0" fillId="0" borderId="13" xfId="0" applyBorder="1"/>
    <xf numFmtId="0" fontId="4" fillId="3" borderId="3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4" fillId="14" borderId="3" xfId="0" applyFont="1" applyFill="1" applyBorder="1" applyAlignment="1">
      <alignment horizontal="center" vertical="center"/>
    </xf>
    <xf numFmtId="0" fontId="4" fillId="20" borderId="3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7" borderId="3" xfId="0" applyFont="1" applyFill="1" applyBorder="1" applyAlignment="1">
      <alignment horizontal="center" vertical="center" wrapText="1"/>
    </xf>
    <xf numFmtId="0" fontId="4" fillId="18" borderId="3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/>
    </xf>
    <xf numFmtId="0" fontId="8" fillId="15" borderId="1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0" fontId="4" fillId="19" borderId="3" xfId="0" applyFont="1" applyFill="1" applyBorder="1" applyAlignment="1">
      <alignment horizontal="center" vertical="center" wrapText="1"/>
    </xf>
    <xf numFmtId="0" fontId="8" fillId="22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23" borderId="3" xfId="0" applyFont="1" applyFill="1" applyBorder="1" applyAlignment="1">
      <alignment horizontal="center" vertical="center" wrapText="1"/>
    </xf>
    <xf numFmtId="0" fontId="8" fillId="24" borderId="1" xfId="0" applyNumberFormat="1" applyFont="1" applyFill="1" applyBorder="1" applyAlignment="1">
      <alignment horizontal="center" vertical="center"/>
    </xf>
    <xf numFmtId="0" fontId="4" fillId="25" borderId="3" xfId="0" applyFont="1" applyFill="1" applyBorder="1" applyAlignment="1">
      <alignment horizontal="center" vertical="center" wrapText="1"/>
    </xf>
    <xf numFmtId="0" fontId="8" fillId="26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7" borderId="1" xfId="0" applyFont="1" applyFill="1" applyBorder="1" applyAlignment="1">
      <alignment horizontal="center" vertical="center"/>
    </xf>
    <xf numFmtId="0" fontId="0" fillId="0" borderId="13" xfId="0" applyBorder="1" applyAlignment="1"/>
    <xf numFmtId="0" fontId="2" fillId="8" borderId="1" xfId="0" applyFont="1" applyFill="1" applyBorder="1" applyAlignment="1">
      <alignment horizontal="center"/>
    </xf>
    <xf numFmtId="0" fontId="9" fillId="11" borderId="3" xfId="0" applyFont="1" applyFill="1" applyBorder="1" applyAlignment="1">
      <alignment horizontal="center" vertical="center" wrapText="1"/>
    </xf>
    <xf numFmtId="0" fontId="5" fillId="15" borderId="1" xfId="0" applyNumberFormat="1" applyFont="1" applyFill="1" applyBorder="1" applyAlignment="1">
      <alignment horizontal="center" vertical="center"/>
    </xf>
    <xf numFmtId="0" fontId="8" fillId="20" borderId="1" xfId="0" applyNumberFormat="1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9" xfId="0" applyFont="1" applyBorder="1" applyAlignment="1">
      <alignment horizontal="center" vertical="top"/>
    </xf>
    <xf numFmtId="0" fontId="6" fillId="0" borderId="10" xfId="0" applyFont="1" applyBorder="1" applyAlignment="1">
      <alignment horizontal="center" vertical="top"/>
    </xf>
    <xf numFmtId="0" fontId="6" fillId="0" borderId="11" xfId="0" applyFont="1" applyBorder="1" applyAlignment="1">
      <alignment horizontal="center" vertical="top"/>
    </xf>
    <xf numFmtId="0" fontId="6" fillId="0" borderId="12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4" fillId="8" borderId="1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4" fillId="0" borderId="6" xfId="0" applyFont="1" applyBorder="1" applyAlignment="1">
      <alignment horizontal="center" vertical="top"/>
    </xf>
    <xf numFmtId="0" fontId="4" fillId="0" borderId="12" xfId="0" applyFont="1" applyBorder="1" applyAlignment="1">
      <alignment horizontal="center" vertical="top"/>
    </xf>
    <xf numFmtId="0" fontId="4" fillId="0" borderId="7" xfId="0" applyFont="1" applyBorder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4" fillId="0" borderId="9" xfId="0" applyFont="1" applyBorder="1" applyAlignment="1">
      <alignment horizontal="center" vertical="top"/>
    </xf>
    <xf numFmtId="0" fontId="4" fillId="0" borderId="10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4" fillId="0" borderId="11" xfId="0" applyFont="1" applyBorder="1" applyAlignment="1">
      <alignment horizontal="center" vertical="top"/>
    </xf>
    <xf numFmtId="0" fontId="10" fillId="1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9F720"/>
      <color rgb="FF8EF4B7"/>
      <color rgb="FF856EF8"/>
      <color rgb="FF00CC00"/>
      <color rgb="FFE010D6"/>
      <color rgb="FFFF6600"/>
      <color rgb="FF9F16BA"/>
      <color rgb="FFFFFFFF"/>
      <color rgb="FFCC0099"/>
      <color rgb="FFFF4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260773</xdr:colOff>
      <xdr:row>0</xdr:row>
      <xdr:rowOff>193041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52CFAC5-6734-4F36-B57C-ADA3FBF85BB7}"/>
                </a:ext>
              </a:extLst>
            </xdr:cNvPr>
            <xdr:cNvSpPr txBox="1"/>
          </xdr:nvSpPr>
          <xdr:spPr>
            <a:xfrm>
              <a:off x="8170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52CFAC5-6734-4F36-B57C-ADA3FBF85BB7}"/>
                </a:ext>
              </a:extLst>
            </xdr:cNvPr>
            <xdr:cNvSpPr txBox="1"/>
          </xdr:nvSpPr>
          <xdr:spPr>
            <a:xfrm>
              <a:off x="8170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BFC545E5-A02D-4E15-8854-D77F10FB60D1}"/>
                </a:ext>
              </a:extLst>
            </xdr:cNvPr>
            <xdr:cNvSpPr txBox="1"/>
          </xdr:nvSpPr>
          <xdr:spPr>
            <a:xfrm>
              <a:off x="14875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BFC545E5-A02D-4E15-8854-D77F10FB60D1}"/>
                </a:ext>
              </a:extLst>
            </xdr:cNvPr>
            <xdr:cNvSpPr txBox="1"/>
          </xdr:nvSpPr>
          <xdr:spPr>
            <a:xfrm>
              <a:off x="14875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13EB654B-1FDD-4135-A85D-AC648B77B7EB}"/>
                </a:ext>
              </a:extLst>
            </xdr:cNvPr>
            <xdr:cNvSpPr txBox="1"/>
          </xdr:nvSpPr>
          <xdr:spPr>
            <a:xfrm>
              <a:off x="21733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13EB654B-1FDD-4135-A85D-AC648B77B7EB}"/>
                </a:ext>
              </a:extLst>
            </xdr:cNvPr>
            <xdr:cNvSpPr txBox="1"/>
          </xdr:nvSpPr>
          <xdr:spPr>
            <a:xfrm>
              <a:off x="21733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2AA595A3-91DD-4842-9DA5-C7D88E3424DC}"/>
                </a:ext>
              </a:extLst>
            </xdr:cNvPr>
            <xdr:cNvSpPr txBox="1"/>
          </xdr:nvSpPr>
          <xdr:spPr>
            <a:xfrm>
              <a:off x="28439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2AA595A3-91DD-4842-9DA5-C7D88E3424DC}"/>
                </a:ext>
              </a:extLst>
            </xdr:cNvPr>
            <xdr:cNvSpPr txBox="1"/>
          </xdr:nvSpPr>
          <xdr:spPr>
            <a:xfrm>
              <a:off x="28439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BAD7BBDD-E1F4-4EFA-A51B-34C775F88F3B}"/>
                </a:ext>
              </a:extLst>
            </xdr:cNvPr>
            <xdr:cNvSpPr txBox="1"/>
          </xdr:nvSpPr>
          <xdr:spPr>
            <a:xfrm>
              <a:off x="351451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BAD7BBDD-E1F4-4EFA-A51B-34C775F88F3B}"/>
                </a:ext>
              </a:extLst>
            </xdr:cNvPr>
            <xdr:cNvSpPr txBox="1"/>
          </xdr:nvSpPr>
          <xdr:spPr>
            <a:xfrm>
              <a:off x="351451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141C8038-A966-4B96-9582-BD25C3D0E631}"/>
                </a:ext>
              </a:extLst>
            </xdr:cNvPr>
            <xdr:cNvSpPr txBox="1"/>
          </xdr:nvSpPr>
          <xdr:spPr>
            <a:xfrm>
              <a:off x="418507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141C8038-A966-4B96-9582-BD25C3D0E631}"/>
                </a:ext>
              </a:extLst>
            </xdr:cNvPr>
            <xdr:cNvSpPr txBox="1"/>
          </xdr:nvSpPr>
          <xdr:spPr>
            <a:xfrm>
              <a:off x="418507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B11A4AA0-0224-4F41-9CD2-6762606B0A54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B11A4AA0-0224-4F41-9CD2-6762606B0A54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00BCB40-3B68-4AF4-8835-7FCF10A5D757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00BCB40-3B68-4AF4-8835-7FCF10A5D757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48FB9F3A-228F-4C52-9FED-5E257D394193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48FB9F3A-228F-4C52-9FED-5E257D394193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3026FD8-04A8-4696-9899-FCD34E6FF537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3026FD8-04A8-4696-9899-FCD34E6FF537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629017C2-212C-4338-BDAD-802F8C21182A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629017C2-212C-4338-BDAD-802F8C21182A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1250A32B-49E7-4D80-8511-B62DB8BE110D}"/>
                </a:ext>
              </a:extLst>
            </xdr:cNvPr>
            <xdr:cNvSpPr txBox="1"/>
          </xdr:nvSpPr>
          <xdr:spPr>
            <a:xfrm>
              <a:off x="17356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1250A32B-49E7-4D80-8511-B62DB8BE110D}"/>
                </a:ext>
              </a:extLst>
            </xdr:cNvPr>
            <xdr:cNvSpPr txBox="1"/>
          </xdr:nvSpPr>
          <xdr:spPr>
            <a:xfrm>
              <a:off x="17356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7EA7D5E2-01FD-4AD6-91A6-6E2F255CF989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7EA7D5E2-01FD-4AD6-91A6-6E2F255CF989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03E5B388-4576-4285-A98C-5640BBE49457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03E5B388-4576-4285-A98C-5640BBE49457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CCDF3723-7801-4459-A167-F4C88E713BB3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CCDF3723-7801-4459-A167-F4C88E713BB3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147319</xdr:colOff>
      <xdr:row>11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901B5428-8F98-4174-A192-B750DFD201CC}"/>
                </a:ext>
              </a:extLst>
            </xdr:cNvPr>
            <xdr:cNvSpPr txBox="1"/>
          </xdr:nvSpPr>
          <xdr:spPr>
            <a:xfrm>
              <a:off x="14731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901B5428-8F98-4174-A192-B750DFD201CC}"/>
                </a:ext>
              </a:extLst>
            </xdr:cNvPr>
            <xdr:cNvSpPr txBox="1"/>
          </xdr:nvSpPr>
          <xdr:spPr>
            <a:xfrm>
              <a:off x="14731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367453</xdr:colOff>
      <xdr:row>0</xdr:row>
      <xdr:rowOff>193041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B6102CF-B6D2-48FB-BB14-F7B67B40A2D4}"/>
                </a:ext>
              </a:extLst>
            </xdr:cNvPr>
            <xdr:cNvSpPr txBox="1"/>
          </xdr:nvSpPr>
          <xdr:spPr>
            <a:xfrm>
              <a:off x="97705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B6102CF-B6D2-48FB-BB14-F7B67B40A2D4}"/>
                </a:ext>
              </a:extLst>
            </xdr:cNvPr>
            <xdr:cNvSpPr txBox="1"/>
          </xdr:nvSpPr>
          <xdr:spPr>
            <a:xfrm>
              <a:off x="97705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367453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468FF74-47D6-4213-AA81-E6FDCD8DEEFD}"/>
                </a:ext>
              </a:extLst>
            </xdr:cNvPr>
            <xdr:cNvSpPr txBox="1"/>
          </xdr:nvSpPr>
          <xdr:spPr>
            <a:xfrm>
              <a:off x="18533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468FF74-47D6-4213-AA81-E6FDCD8DEEFD}"/>
                </a:ext>
              </a:extLst>
            </xdr:cNvPr>
            <xdr:cNvSpPr txBox="1"/>
          </xdr:nvSpPr>
          <xdr:spPr>
            <a:xfrm>
              <a:off x="18533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367453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F1C3641-F7EA-421D-B085-0174256C46D1}"/>
                </a:ext>
              </a:extLst>
            </xdr:cNvPr>
            <xdr:cNvSpPr txBox="1"/>
          </xdr:nvSpPr>
          <xdr:spPr>
            <a:xfrm>
              <a:off x="27296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F1C3641-F7EA-421D-B085-0174256C46D1}"/>
                </a:ext>
              </a:extLst>
            </xdr:cNvPr>
            <xdr:cNvSpPr txBox="1"/>
          </xdr:nvSpPr>
          <xdr:spPr>
            <a:xfrm>
              <a:off x="27296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367453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8F09A5E8-8D22-4CA2-B037-346829EB326B}"/>
                </a:ext>
              </a:extLst>
            </xdr:cNvPr>
            <xdr:cNvSpPr txBox="1"/>
          </xdr:nvSpPr>
          <xdr:spPr>
            <a:xfrm>
              <a:off x="36059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8F09A5E8-8D22-4CA2-B037-346829EB326B}"/>
                </a:ext>
              </a:extLst>
            </xdr:cNvPr>
            <xdr:cNvSpPr txBox="1"/>
          </xdr:nvSpPr>
          <xdr:spPr>
            <a:xfrm>
              <a:off x="36059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367453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B57A415-22CC-48B7-A1B7-BF7F15629F1D}"/>
                </a:ext>
              </a:extLst>
            </xdr:cNvPr>
            <xdr:cNvSpPr txBox="1"/>
          </xdr:nvSpPr>
          <xdr:spPr>
            <a:xfrm>
              <a:off x="44822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B57A415-22CC-48B7-A1B7-BF7F15629F1D}"/>
                </a:ext>
              </a:extLst>
            </xdr:cNvPr>
            <xdr:cNvSpPr txBox="1"/>
          </xdr:nvSpPr>
          <xdr:spPr>
            <a:xfrm>
              <a:off x="44822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367453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847CF27-2ABE-45CD-AC0B-ECE51B0685E7}"/>
                </a:ext>
              </a:extLst>
            </xdr:cNvPr>
            <xdr:cNvSpPr txBox="1"/>
          </xdr:nvSpPr>
          <xdr:spPr>
            <a:xfrm>
              <a:off x="53585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847CF27-2ABE-45CD-AC0B-ECE51B0685E7}"/>
                </a:ext>
              </a:extLst>
            </xdr:cNvPr>
            <xdr:cNvSpPr txBox="1"/>
          </xdr:nvSpPr>
          <xdr:spPr>
            <a:xfrm>
              <a:off x="53585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4950E6E0-D322-4943-9C61-F77D0336B91E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4950E6E0-D322-4943-9C61-F77D0336B91E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8CF08AE-7451-4420-BA09-B9465454B748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8CF08AE-7451-4420-BA09-B9465454B748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68CFACD9-354C-40BF-841E-7A40305F1FA9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68CFACD9-354C-40BF-841E-7A40305F1FA9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F64AD8B4-DEA1-4AF3-BF1E-8A8D260EF8BA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F64AD8B4-DEA1-4AF3-BF1E-8A8D260EF8BA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E8BBD57-94B9-40B6-A1C3-F7739F74787D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E8BBD57-94B9-40B6-A1C3-F7739F74787D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44A59AF5-AB50-4A58-9D3F-29C6614C7A65}"/>
                </a:ext>
              </a:extLst>
            </xdr:cNvPr>
            <xdr:cNvSpPr txBox="1"/>
          </xdr:nvSpPr>
          <xdr:spPr>
            <a:xfrm>
              <a:off x="17356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44A59AF5-AB50-4A58-9D3F-29C6614C7A65}"/>
                </a:ext>
              </a:extLst>
            </xdr:cNvPr>
            <xdr:cNvSpPr txBox="1"/>
          </xdr:nvSpPr>
          <xdr:spPr>
            <a:xfrm>
              <a:off x="17356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F02898E7-59D6-4BBD-B808-A62917FEC082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F02898E7-59D6-4BBD-B808-A62917FEC082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77077C94-4204-448D-83F9-0BFC312539B1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77077C94-4204-448D-83F9-0BFC312539B1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2E9F5A28-226E-40B7-B5B2-6D90CB384226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2E9F5A28-226E-40B7-B5B2-6D90CB384226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147319</xdr:colOff>
      <xdr:row>11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492875A8-814D-47F4-A9AD-7BAC2B22D831}"/>
                </a:ext>
              </a:extLst>
            </xdr:cNvPr>
            <xdr:cNvSpPr txBox="1"/>
          </xdr:nvSpPr>
          <xdr:spPr>
            <a:xfrm>
              <a:off x="14731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492875A8-814D-47F4-A9AD-7BAC2B22D831}"/>
                </a:ext>
              </a:extLst>
            </xdr:cNvPr>
            <xdr:cNvSpPr txBox="1"/>
          </xdr:nvSpPr>
          <xdr:spPr>
            <a:xfrm>
              <a:off x="14731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60960</xdr:colOff>
      <xdr:row>17</xdr:row>
      <xdr:rowOff>60960</xdr:rowOff>
    </xdr:from>
    <xdr:ext cx="1576457" cy="3844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85840998-2591-4AB9-AAD3-30F9EE63C7C5}"/>
                </a:ext>
              </a:extLst>
            </xdr:cNvPr>
            <xdr:cNvSpPr txBox="1"/>
          </xdr:nvSpPr>
          <xdr:spPr>
            <a:xfrm>
              <a:off x="670560" y="3398520"/>
              <a:ext cx="1576457" cy="384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p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p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𝐦𝐢𝐧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⁡(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func>
                          <m:func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a:rPr lang="en-US" sz="1200" b="1" i="0">
                                <a:latin typeface="Cambria Math" panose="02040503050406030204" pitchFamily="18" charset="0"/>
                              </a:rPr>
                              <m:t>𝐦𝐚𝐱</m:t>
                            </m:r>
                          </m:fName>
                          <m:e>
                            <m:d>
                              <m:d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𝒙</m:t>
                                </m:r>
                              </m:e>
                            </m:d>
                          </m:e>
                        </m:func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200" b="1" i="0">
                            <a:latin typeface="Cambria Math" panose="02040503050406030204" pitchFamily="18" charset="0"/>
                          </a:rPr>
                          <m:t>𝐦𝐢𝐧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⁡(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85840998-2591-4AB9-AAD3-30F9EE63C7C5}"/>
                </a:ext>
              </a:extLst>
            </xdr:cNvPr>
            <xdr:cNvSpPr txBox="1"/>
          </xdr:nvSpPr>
          <xdr:spPr>
            <a:xfrm>
              <a:off x="670560" y="3398520"/>
              <a:ext cx="1576457" cy="384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𝒙^′=(𝒙−𝐦𝐢𝐧⁡(𝒙))/(𝐦𝐚𝐱⁡(𝒙)−𝐦𝐢𝐧⁡(𝒙))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367453</xdr:colOff>
      <xdr:row>22</xdr:row>
      <xdr:rowOff>177801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F9C655D6-47F4-4788-BD35-AAF743B83D21}"/>
                </a:ext>
              </a:extLst>
            </xdr:cNvPr>
            <xdr:cNvSpPr txBox="1"/>
          </xdr:nvSpPr>
          <xdr:spPr>
            <a:xfrm>
              <a:off x="977053" y="446786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F9C655D6-47F4-4788-BD35-AAF743B83D21}"/>
                </a:ext>
              </a:extLst>
            </xdr:cNvPr>
            <xdr:cNvSpPr txBox="1"/>
          </xdr:nvSpPr>
          <xdr:spPr>
            <a:xfrm>
              <a:off x="977053" y="446786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367453</xdr:colOff>
      <xdr:row>22</xdr:row>
      <xdr:rowOff>177801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3D2402C1-16CC-416F-B7FB-78CB51DA6F78}"/>
                </a:ext>
              </a:extLst>
            </xdr:cNvPr>
            <xdr:cNvSpPr txBox="1"/>
          </xdr:nvSpPr>
          <xdr:spPr>
            <a:xfrm>
              <a:off x="1853353" y="446786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3D2402C1-16CC-416F-B7FB-78CB51DA6F78}"/>
                </a:ext>
              </a:extLst>
            </xdr:cNvPr>
            <xdr:cNvSpPr txBox="1"/>
          </xdr:nvSpPr>
          <xdr:spPr>
            <a:xfrm>
              <a:off x="1853353" y="446786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367453</xdr:colOff>
      <xdr:row>22</xdr:row>
      <xdr:rowOff>177801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7F1CA8DE-EC68-4E0B-A72A-D2BE1BCA9149}"/>
                </a:ext>
              </a:extLst>
            </xdr:cNvPr>
            <xdr:cNvSpPr txBox="1"/>
          </xdr:nvSpPr>
          <xdr:spPr>
            <a:xfrm>
              <a:off x="2729653" y="446786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7F1CA8DE-EC68-4E0B-A72A-D2BE1BCA9149}"/>
                </a:ext>
              </a:extLst>
            </xdr:cNvPr>
            <xdr:cNvSpPr txBox="1"/>
          </xdr:nvSpPr>
          <xdr:spPr>
            <a:xfrm>
              <a:off x="2729653" y="446786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367453</xdr:colOff>
      <xdr:row>22</xdr:row>
      <xdr:rowOff>177801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C26EEEC4-1952-470E-9AB5-B089E3559D16}"/>
                </a:ext>
              </a:extLst>
            </xdr:cNvPr>
            <xdr:cNvSpPr txBox="1"/>
          </xdr:nvSpPr>
          <xdr:spPr>
            <a:xfrm>
              <a:off x="3605953" y="446786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C26EEEC4-1952-470E-9AB5-B089E3559D16}"/>
                </a:ext>
              </a:extLst>
            </xdr:cNvPr>
            <xdr:cNvSpPr txBox="1"/>
          </xdr:nvSpPr>
          <xdr:spPr>
            <a:xfrm>
              <a:off x="3605953" y="446786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367453</xdr:colOff>
      <xdr:row>22</xdr:row>
      <xdr:rowOff>177801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067385AB-B384-4B33-ABA9-6509F121629C}"/>
                </a:ext>
              </a:extLst>
            </xdr:cNvPr>
            <xdr:cNvSpPr txBox="1"/>
          </xdr:nvSpPr>
          <xdr:spPr>
            <a:xfrm>
              <a:off x="4482253" y="446786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067385AB-B384-4B33-ABA9-6509F121629C}"/>
                </a:ext>
              </a:extLst>
            </xdr:cNvPr>
            <xdr:cNvSpPr txBox="1"/>
          </xdr:nvSpPr>
          <xdr:spPr>
            <a:xfrm>
              <a:off x="4482253" y="446786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367453</xdr:colOff>
      <xdr:row>22</xdr:row>
      <xdr:rowOff>177801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EC2096FC-53CB-4F64-AFBE-87348AAA167F}"/>
                </a:ext>
              </a:extLst>
            </xdr:cNvPr>
            <xdr:cNvSpPr txBox="1"/>
          </xdr:nvSpPr>
          <xdr:spPr>
            <a:xfrm>
              <a:off x="5358553" y="446786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EC2096FC-53CB-4F64-AFBE-87348AAA167F}"/>
                </a:ext>
              </a:extLst>
            </xdr:cNvPr>
            <xdr:cNvSpPr txBox="1"/>
          </xdr:nvSpPr>
          <xdr:spPr>
            <a:xfrm>
              <a:off x="5358553" y="446786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60D759FE-B7D1-42B7-A2BB-7E45427DD7CC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60D759FE-B7D1-42B7-A2BB-7E45427DD7CC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C328022-48DF-4F9E-85CB-7E0F34AE5090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C328022-48DF-4F9E-85CB-7E0F34AE5090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C1C8AB88-6D6E-465A-BFA0-28C715D27577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C1C8AB88-6D6E-465A-BFA0-28C715D27577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AA86744D-E210-47A6-89D3-941D238BB636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AA86744D-E210-47A6-89D3-941D238BB636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B7E2456D-572C-4B54-B4A4-4257022DAFE5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B7E2456D-572C-4B54-B4A4-4257022DAFE5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4DCD5873-33AA-413B-9C10-3638ED9612E0}"/>
                </a:ext>
              </a:extLst>
            </xdr:cNvPr>
            <xdr:cNvSpPr txBox="1"/>
          </xdr:nvSpPr>
          <xdr:spPr>
            <a:xfrm>
              <a:off x="17356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4DCD5873-33AA-413B-9C10-3638ED9612E0}"/>
                </a:ext>
              </a:extLst>
            </xdr:cNvPr>
            <xdr:cNvSpPr txBox="1"/>
          </xdr:nvSpPr>
          <xdr:spPr>
            <a:xfrm>
              <a:off x="17356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30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161A2822-6DFD-427D-A1A7-3C0E08E3EB8E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161A2822-6DFD-427D-A1A7-3C0E08E3EB8E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31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E6E447E6-CBC0-46F4-B3F6-3803D6B8FA49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E6E447E6-CBC0-46F4-B3F6-3803D6B8FA49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32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43279917-69BD-47CD-9397-461318082D34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43279917-69BD-47CD-9397-461318082D34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147319</xdr:colOff>
      <xdr:row>33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0E401DE-F972-42C4-B95A-05A4C210B5A5}"/>
                </a:ext>
              </a:extLst>
            </xdr:cNvPr>
            <xdr:cNvSpPr txBox="1"/>
          </xdr:nvSpPr>
          <xdr:spPr>
            <a:xfrm>
              <a:off x="14731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0E401DE-F972-42C4-B95A-05A4C210B5A5}"/>
                </a:ext>
              </a:extLst>
            </xdr:cNvPr>
            <xdr:cNvSpPr txBox="1"/>
          </xdr:nvSpPr>
          <xdr:spPr>
            <a:xfrm>
              <a:off x="14731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375073</xdr:colOff>
      <xdr:row>0</xdr:row>
      <xdr:rowOff>193041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D856361-833F-455E-A6E3-6DE3A136EAD2}"/>
                </a:ext>
              </a:extLst>
            </xdr:cNvPr>
            <xdr:cNvSpPr txBox="1"/>
          </xdr:nvSpPr>
          <xdr:spPr>
            <a:xfrm>
              <a:off x="98467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D856361-833F-455E-A6E3-6DE3A136EAD2}"/>
                </a:ext>
              </a:extLst>
            </xdr:cNvPr>
            <xdr:cNvSpPr txBox="1"/>
          </xdr:nvSpPr>
          <xdr:spPr>
            <a:xfrm>
              <a:off x="98467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375073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B9243B6-7B34-4498-A446-9631BD711886}"/>
                </a:ext>
              </a:extLst>
            </xdr:cNvPr>
            <xdr:cNvSpPr txBox="1"/>
          </xdr:nvSpPr>
          <xdr:spPr>
            <a:xfrm>
              <a:off x="186097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B9243B6-7B34-4498-A446-9631BD711886}"/>
                </a:ext>
              </a:extLst>
            </xdr:cNvPr>
            <xdr:cNvSpPr txBox="1"/>
          </xdr:nvSpPr>
          <xdr:spPr>
            <a:xfrm>
              <a:off x="186097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375073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4ADFEC9-55C2-40DC-B2E4-EDACAA74E0EF}"/>
                </a:ext>
              </a:extLst>
            </xdr:cNvPr>
            <xdr:cNvSpPr txBox="1"/>
          </xdr:nvSpPr>
          <xdr:spPr>
            <a:xfrm>
              <a:off x="273727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4ADFEC9-55C2-40DC-B2E4-EDACAA74E0EF}"/>
                </a:ext>
              </a:extLst>
            </xdr:cNvPr>
            <xdr:cNvSpPr txBox="1"/>
          </xdr:nvSpPr>
          <xdr:spPr>
            <a:xfrm>
              <a:off x="273727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375073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C970645-7784-4C61-8948-626D6EA9D485}"/>
                </a:ext>
              </a:extLst>
            </xdr:cNvPr>
            <xdr:cNvSpPr txBox="1"/>
          </xdr:nvSpPr>
          <xdr:spPr>
            <a:xfrm>
              <a:off x="361357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C970645-7784-4C61-8948-626D6EA9D485}"/>
                </a:ext>
              </a:extLst>
            </xdr:cNvPr>
            <xdr:cNvSpPr txBox="1"/>
          </xdr:nvSpPr>
          <xdr:spPr>
            <a:xfrm>
              <a:off x="361357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375073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ECA9EBB2-E965-4606-8412-0F6D54EFCD7E}"/>
                </a:ext>
              </a:extLst>
            </xdr:cNvPr>
            <xdr:cNvSpPr txBox="1"/>
          </xdr:nvSpPr>
          <xdr:spPr>
            <a:xfrm>
              <a:off x="448987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ECA9EBB2-E965-4606-8412-0F6D54EFCD7E}"/>
                </a:ext>
              </a:extLst>
            </xdr:cNvPr>
            <xdr:cNvSpPr txBox="1"/>
          </xdr:nvSpPr>
          <xdr:spPr>
            <a:xfrm>
              <a:off x="448987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375073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50630E1-3C6E-4C94-AEDE-893013DFA083}"/>
                </a:ext>
              </a:extLst>
            </xdr:cNvPr>
            <xdr:cNvSpPr txBox="1"/>
          </xdr:nvSpPr>
          <xdr:spPr>
            <a:xfrm>
              <a:off x="536617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50630E1-3C6E-4C94-AEDE-893013DFA083}"/>
                </a:ext>
              </a:extLst>
            </xdr:cNvPr>
            <xdr:cNvSpPr txBox="1"/>
          </xdr:nvSpPr>
          <xdr:spPr>
            <a:xfrm>
              <a:off x="536617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43F0D6E4-F280-4A3C-88BA-3409B39C66EA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43F0D6E4-F280-4A3C-88BA-3409B39C66EA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FE083126-C997-469E-BEF8-C5552E856681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FE083126-C997-469E-BEF8-C5552E856681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4866878B-DEC0-4DFA-B0C3-8B735026057F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4866878B-DEC0-4DFA-B0C3-8B735026057F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293AFDF-38CC-4817-9D26-1E5AEF556242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293AFDF-38CC-4817-9D26-1E5AEF556242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069102B-2CB0-418C-A4A3-8C9B9FB109DF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069102B-2CB0-418C-A4A3-8C9B9FB109DF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15697415-ADF9-4185-835F-AD78890A3DDB}"/>
                </a:ext>
              </a:extLst>
            </xdr:cNvPr>
            <xdr:cNvSpPr txBox="1"/>
          </xdr:nvSpPr>
          <xdr:spPr>
            <a:xfrm>
              <a:off x="17356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15697415-ADF9-4185-835F-AD78890A3DDB}"/>
                </a:ext>
              </a:extLst>
            </xdr:cNvPr>
            <xdr:cNvSpPr txBox="1"/>
          </xdr:nvSpPr>
          <xdr:spPr>
            <a:xfrm>
              <a:off x="17356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14EB663-9E5A-41C0-BE91-FBB954870563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14EB663-9E5A-41C0-BE91-FBB954870563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266CBA1-B0C6-4E6B-A8B1-F0D111EBE251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266CBA1-B0C6-4E6B-A8B1-F0D111EBE251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0D7CCBC-65E6-44CB-A649-1CAB7927AEBF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0D7CCBC-65E6-44CB-A649-1CAB7927AEBF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147319</xdr:colOff>
      <xdr:row>11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7ED75C2-67DC-4D9B-A119-0C48DD8E9F80}"/>
                </a:ext>
              </a:extLst>
            </xdr:cNvPr>
            <xdr:cNvSpPr txBox="1"/>
          </xdr:nvSpPr>
          <xdr:spPr>
            <a:xfrm>
              <a:off x="14731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7ED75C2-67DC-4D9B-A119-0C48DD8E9F80}"/>
                </a:ext>
              </a:extLst>
            </xdr:cNvPr>
            <xdr:cNvSpPr txBox="1"/>
          </xdr:nvSpPr>
          <xdr:spPr>
            <a:xfrm>
              <a:off x="14731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281940</xdr:colOff>
      <xdr:row>17</xdr:row>
      <xdr:rowOff>38100</xdr:rowOff>
    </xdr:from>
    <xdr:ext cx="1998111" cy="718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3A133E86-BDE6-470A-888B-989B4686CC77}"/>
                </a:ext>
              </a:extLst>
            </xdr:cNvPr>
            <xdr:cNvSpPr txBox="1"/>
          </xdr:nvSpPr>
          <xdr:spPr>
            <a:xfrm>
              <a:off x="3520440" y="3375660"/>
              <a:ext cx="1998111" cy="718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𝝆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𝑬</m:t>
                        </m:r>
                      </m:sub>
                    </m:sSub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𝒋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nary>
                          <m:naryPr>
                            <m:chr m:val="∑"/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𝒓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  <m:sup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𝒏</m:t>
                            </m:r>
                          </m:sup>
                          <m:e>
                            <m:sSup>
                              <m:sSup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n-US" sz="1200" b="1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200" b="1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𝒙</m:t>
                                        </m:r>
                                      </m:e>
                                      <m:sub>
                                        <m:r>
                                          <a:rPr lang="en-US" sz="1200" b="1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𝒊𝒓</m:t>
                                        </m:r>
                                      </m:sub>
                                    </m:sSub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−</m:t>
                                    </m:r>
                                    <m:sSub>
                                      <m:sSubPr>
                                        <m:ctrlPr>
                                          <a:rPr lang="en-US" sz="1200" b="1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200" b="1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𝒙</m:t>
                                        </m:r>
                                      </m:e>
                                      <m:sub>
                                        <m:r>
                                          <a:rPr lang="en-US" sz="1200" b="1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𝒋𝒓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  <m:sup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𝟐</m:t>
                                </m:r>
                              </m:sup>
                            </m:sSup>
                          </m:e>
                        </m:nary>
                      </m:e>
                    </m:rad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3A133E86-BDE6-470A-888B-989B4686CC77}"/>
                </a:ext>
              </a:extLst>
            </xdr:cNvPr>
            <xdr:cNvSpPr txBox="1"/>
          </xdr:nvSpPr>
          <xdr:spPr>
            <a:xfrm>
              <a:off x="3520440" y="3375660"/>
              <a:ext cx="1998111" cy="718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𝝆_𝑬 (𝑺_𝒊,𝑺_𝒋 )=√(∑24_(𝒓=𝟏)^𝒏▒(𝒙_𝒊𝒓−𝒙_𝒋𝒓 )^𝟐 )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0</xdr:col>
      <xdr:colOff>173567</xdr:colOff>
      <xdr:row>23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01EADAA9-1959-4D00-B981-0F6AFEDD1B74}"/>
                </a:ext>
              </a:extLst>
            </xdr:cNvPr>
            <xdr:cNvSpPr txBox="1"/>
          </xdr:nvSpPr>
          <xdr:spPr>
            <a:xfrm>
              <a:off x="173567" y="467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01EADAA9-1959-4D00-B981-0F6AFEDD1B74}"/>
                </a:ext>
              </a:extLst>
            </xdr:cNvPr>
            <xdr:cNvSpPr txBox="1"/>
          </xdr:nvSpPr>
          <xdr:spPr>
            <a:xfrm>
              <a:off x="173567" y="467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EB9156C4-CE89-4C65-BA04-56A338867864}"/>
                </a:ext>
              </a:extLst>
            </xdr:cNvPr>
            <xdr:cNvSpPr txBox="1"/>
          </xdr:nvSpPr>
          <xdr:spPr>
            <a:xfrm>
              <a:off x="173567" y="486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EB9156C4-CE89-4C65-BA04-56A338867864}"/>
                </a:ext>
              </a:extLst>
            </xdr:cNvPr>
            <xdr:cNvSpPr txBox="1"/>
          </xdr:nvSpPr>
          <xdr:spPr>
            <a:xfrm>
              <a:off x="173567" y="486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FD8D8869-942E-4017-829B-A7174EB71AC3}"/>
                </a:ext>
              </a:extLst>
            </xdr:cNvPr>
            <xdr:cNvSpPr txBox="1"/>
          </xdr:nvSpPr>
          <xdr:spPr>
            <a:xfrm>
              <a:off x="173567" y="5051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FD8D8869-942E-4017-829B-A7174EB71AC3}"/>
                </a:ext>
              </a:extLst>
            </xdr:cNvPr>
            <xdr:cNvSpPr txBox="1"/>
          </xdr:nvSpPr>
          <xdr:spPr>
            <a:xfrm>
              <a:off x="173567" y="5051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26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ABEB8D10-B67F-41A1-8318-EE09AC5FC1D2}"/>
                </a:ext>
              </a:extLst>
            </xdr:cNvPr>
            <xdr:cNvSpPr txBox="1"/>
          </xdr:nvSpPr>
          <xdr:spPr>
            <a:xfrm>
              <a:off x="173567" y="5241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ABEB8D10-B67F-41A1-8318-EE09AC5FC1D2}"/>
                </a:ext>
              </a:extLst>
            </xdr:cNvPr>
            <xdr:cNvSpPr txBox="1"/>
          </xdr:nvSpPr>
          <xdr:spPr>
            <a:xfrm>
              <a:off x="173567" y="5241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27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85E43F0F-5DD4-4898-B801-6C8AA3A4FC12}"/>
                </a:ext>
              </a:extLst>
            </xdr:cNvPr>
            <xdr:cNvSpPr txBox="1"/>
          </xdr:nvSpPr>
          <xdr:spPr>
            <a:xfrm>
              <a:off x="173567" y="5432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85E43F0F-5DD4-4898-B801-6C8AA3A4FC12}"/>
                </a:ext>
              </a:extLst>
            </xdr:cNvPr>
            <xdr:cNvSpPr txBox="1"/>
          </xdr:nvSpPr>
          <xdr:spPr>
            <a:xfrm>
              <a:off x="173567" y="5432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28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35DAC8B8-555D-45FA-9FB2-4E9459AF0C68}"/>
                </a:ext>
              </a:extLst>
            </xdr:cNvPr>
            <xdr:cNvSpPr txBox="1"/>
          </xdr:nvSpPr>
          <xdr:spPr>
            <a:xfrm>
              <a:off x="173567" y="5622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35DAC8B8-555D-45FA-9FB2-4E9459AF0C68}"/>
                </a:ext>
              </a:extLst>
            </xdr:cNvPr>
            <xdr:cNvSpPr txBox="1"/>
          </xdr:nvSpPr>
          <xdr:spPr>
            <a:xfrm>
              <a:off x="173567" y="5622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29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8E5B751B-D189-4233-84E1-90B73B71732B}"/>
                </a:ext>
              </a:extLst>
            </xdr:cNvPr>
            <xdr:cNvSpPr txBox="1"/>
          </xdr:nvSpPr>
          <xdr:spPr>
            <a:xfrm>
              <a:off x="173567" y="5813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8E5B751B-D189-4233-84E1-90B73B71732B}"/>
                </a:ext>
              </a:extLst>
            </xdr:cNvPr>
            <xdr:cNvSpPr txBox="1"/>
          </xdr:nvSpPr>
          <xdr:spPr>
            <a:xfrm>
              <a:off x="173567" y="5813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30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DD4DEF12-4693-4441-971F-C421E5AA983E}"/>
                </a:ext>
              </a:extLst>
            </xdr:cNvPr>
            <xdr:cNvSpPr txBox="1"/>
          </xdr:nvSpPr>
          <xdr:spPr>
            <a:xfrm>
              <a:off x="173567" y="6003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DD4DEF12-4693-4441-971F-C421E5AA983E}"/>
                </a:ext>
              </a:extLst>
            </xdr:cNvPr>
            <xdr:cNvSpPr txBox="1"/>
          </xdr:nvSpPr>
          <xdr:spPr>
            <a:xfrm>
              <a:off x="173567" y="6003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31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73341A6F-B591-4458-9A1A-7CAD26A358EB}"/>
                </a:ext>
              </a:extLst>
            </xdr:cNvPr>
            <xdr:cNvSpPr txBox="1"/>
          </xdr:nvSpPr>
          <xdr:spPr>
            <a:xfrm>
              <a:off x="173567" y="6194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73341A6F-B591-4458-9A1A-7CAD26A358EB}"/>
                </a:ext>
              </a:extLst>
            </xdr:cNvPr>
            <xdr:cNvSpPr txBox="1"/>
          </xdr:nvSpPr>
          <xdr:spPr>
            <a:xfrm>
              <a:off x="173567" y="6194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147319</xdr:colOff>
      <xdr:row>32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67349021-D9A7-4633-ACE2-AAE64979E63E}"/>
                </a:ext>
              </a:extLst>
            </xdr:cNvPr>
            <xdr:cNvSpPr txBox="1"/>
          </xdr:nvSpPr>
          <xdr:spPr>
            <a:xfrm>
              <a:off x="147319" y="6384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67349021-D9A7-4633-ACE2-AAE64979E63E}"/>
                </a:ext>
              </a:extLst>
            </xdr:cNvPr>
            <xdr:cNvSpPr txBox="1"/>
          </xdr:nvSpPr>
          <xdr:spPr>
            <a:xfrm>
              <a:off x="147319" y="6384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22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532DFD85-707C-49C0-A531-6E163C82E9FD}"/>
                </a:ext>
              </a:extLst>
            </xdr:cNvPr>
            <xdr:cNvSpPr txBox="1"/>
          </xdr:nvSpPr>
          <xdr:spPr>
            <a:xfrm>
              <a:off x="9508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532DFD85-707C-49C0-A531-6E163C82E9FD}"/>
                </a:ext>
              </a:extLst>
            </xdr:cNvPr>
            <xdr:cNvSpPr txBox="1"/>
          </xdr:nvSpPr>
          <xdr:spPr>
            <a:xfrm>
              <a:off x="9508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22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6B56A2BF-8CAB-43A2-B516-AF10E66EF8CE}"/>
                </a:ext>
              </a:extLst>
            </xdr:cNvPr>
            <xdr:cNvSpPr txBox="1"/>
          </xdr:nvSpPr>
          <xdr:spPr>
            <a:xfrm>
              <a:off x="18271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6B56A2BF-8CAB-43A2-B516-AF10E66EF8CE}"/>
                </a:ext>
              </a:extLst>
            </xdr:cNvPr>
            <xdr:cNvSpPr txBox="1"/>
          </xdr:nvSpPr>
          <xdr:spPr>
            <a:xfrm>
              <a:off x="18271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22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B313C597-8EBD-42F9-A31A-52E44D83DD36}"/>
                </a:ext>
              </a:extLst>
            </xdr:cNvPr>
            <xdr:cNvSpPr txBox="1"/>
          </xdr:nvSpPr>
          <xdr:spPr>
            <a:xfrm>
              <a:off x="27034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B313C597-8EBD-42F9-A31A-52E44D83DD36}"/>
                </a:ext>
              </a:extLst>
            </xdr:cNvPr>
            <xdr:cNvSpPr txBox="1"/>
          </xdr:nvSpPr>
          <xdr:spPr>
            <a:xfrm>
              <a:off x="27034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22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6D7D1406-7505-4871-93C8-0A849CF38A01}"/>
                </a:ext>
              </a:extLst>
            </xdr:cNvPr>
            <xdr:cNvSpPr txBox="1"/>
          </xdr:nvSpPr>
          <xdr:spPr>
            <a:xfrm>
              <a:off x="35797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6D7D1406-7505-4871-93C8-0A849CF38A01}"/>
                </a:ext>
              </a:extLst>
            </xdr:cNvPr>
            <xdr:cNvSpPr txBox="1"/>
          </xdr:nvSpPr>
          <xdr:spPr>
            <a:xfrm>
              <a:off x="35797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22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F86163EE-ACE3-4221-8762-471BD9A7C5A3}"/>
                </a:ext>
              </a:extLst>
            </xdr:cNvPr>
            <xdr:cNvSpPr txBox="1"/>
          </xdr:nvSpPr>
          <xdr:spPr>
            <a:xfrm>
              <a:off x="44560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F86163EE-ACE3-4221-8762-471BD9A7C5A3}"/>
                </a:ext>
              </a:extLst>
            </xdr:cNvPr>
            <xdr:cNvSpPr txBox="1"/>
          </xdr:nvSpPr>
          <xdr:spPr>
            <a:xfrm>
              <a:off x="44560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22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CB493278-6ADB-46E1-9B4E-0206362B8A14}"/>
                </a:ext>
              </a:extLst>
            </xdr:cNvPr>
            <xdr:cNvSpPr txBox="1"/>
          </xdr:nvSpPr>
          <xdr:spPr>
            <a:xfrm>
              <a:off x="53323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CB493278-6ADB-46E1-9B4E-0206362B8A14}"/>
                </a:ext>
              </a:extLst>
            </xdr:cNvPr>
            <xdr:cNvSpPr txBox="1"/>
          </xdr:nvSpPr>
          <xdr:spPr>
            <a:xfrm>
              <a:off x="53323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22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594C20CA-2109-458E-87B4-4A9114A2B9B5}"/>
                </a:ext>
              </a:extLst>
            </xdr:cNvPr>
            <xdr:cNvSpPr txBox="1"/>
          </xdr:nvSpPr>
          <xdr:spPr>
            <a:xfrm>
              <a:off x="62086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594C20CA-2109-458E-87B4-4A9114A2B9B5}"/>
                </a:ext>
              </a:extLst>
            </xdr:cNvPr>
            <xdr:cNvSpPr txBox="1"/>
          </xdr:nvSpPr>
          <xdr:spPr>
            <a:xfrm>
              <a:off x="62086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22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BCEFEF26-DFE4-4EEC-966E-CEBA5C6C140C}"/>
                </a:ext>
              </a:extLst>
            </xdr:cNvPr>
            <xdr:cNvSpPr txBox="1"/>
          </xdr:nvSpPr>
          <xdr:spPr>
            <a:xfrm>
              <a:off x="70849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BCEFEF26-DFE4-4EEC-966E-CEBA5C6C140C}"/>
                </a:ext>
              </a:extLst>
            </xdr:cNvPr>
            <xdr:cNvSpPr txBox="1"/>
          </xdr:nvSpPr>
          <xdr:spPr>
            <a:xfrm>
              <a:off x="70849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22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DD35B9E3-C7CC-468B-8478-B9EF05ED3FF1}"/>
                </a:ext>
              </a:extLst>
            </xdr:cNvPr>
            <xdr:cNvSpPr txBox="1"/>
          </xdr:nvSpPr>
          <xdr:spPr>
            <a:xfrm>
              <a:off x="79612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DD35B9E3-C7CC-468B-8478-B9EF05ED3FF1}"/>
                </a:ext>
              </a:extLst>
            </xdr:cNvPr>
            <xdr:cNvSpPr txBox="1"/>
          </xdr:nvSpPr>
          <xdr:spPr>
            <a:xfrm>
              <a:off x="79612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22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5746360C-2C74-4930-83A7-998E87F2BA55}"/>
                </a:ext>
              </a:extLst>
            </xdr:cNvPr>
            <xdr:cNvSpPr txBox="1"/>
          </xdr:nvSpPr>
          <xdr:spPr>
            <a:xfrm>
              <a:off x="8837507" y="4479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5746360C-2C74-4930-83A7-998E87F2BA55}"/>
                </a:ext>
              </a:extLst>
            </xdr:cNvPr>
            <xdr:cNvSpPr txBox="1"/>
          </xdr:nvSpPr>
          <xdr:spPr>
            <a:xfrm>
              <a:off x="8837507" y="4479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304800</xdr:colOff>
      <xdr:row>38</xdr:row>
      <xdr:rowOff>152400</xdr:rowOff>
    </xdr:from>
    <xdr:ext cx="1927194" cy="2538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BA923E18-04B2-4E8E-A0BF-E9B62E608598}"/>
                </a:ext>
              </a:extLst>
            </xdr:cNvPr>
            <xdr:cNvSpPr txBox="1"/>
          </xdr:nvSpPr>
          <xdr:spPr>
            <a:xfrm>
              <a:off x="3543300" y="7680960"/>
              <a:ext cx="1927194" cy="2538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𝝆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𝑪𝒉</m:t>
                        </m:r>
                      </m:sub>
                    </m:sSub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𝒋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uncPr>
                      <m:fName>
                        <m:limLow>
                          <m:limLow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a:rPr lang="en-US" sz="1200" b="1" i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𝐦𝐚𝐱</m:t>
                            </m:r>
                          </m:e>
                          <m:lim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𝒓</m:t>
                            </m:r>
                          </m:lim>
                        </m:limLow>
                      </m:fName>
                      <m:e>
                        <m:d>
                          <m:dPr>
                            <m:begChr m:val="|"/>
                            <m:endChr m:val="|"/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𝒙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𝒊𝒓</m:t>
                                </m:r>
                              </m:sub>
                            </m:s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𝒙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𝒋𝒓</m:t>
                                </m:r>
                              </m:sub>
                            </m:sSub>
                          </m:e>
                        </m:d>
                      </m:e>
                    </m:func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BA923E18-04B2-4E8E-A0BF-E9B62E608598}"/>
                </a:ext>
              </a:extLst>
            </xdr:cNvPr>
            <xdr:cNvSpPr txBox="1"/>
          </xdr:nvSpPr>
          <xdr:spPr>
            <a:xfrm>
              <a:off x="3543300" y="7680960"/>
              <a:ext cx="1927194" cy="2538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𝝆_𝑪𝒉 (𝑺_𝒊,𝑺_𝒋 )=(𝐦𝐚𝐱)_𝒓⁡|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𝒙_𝒊𝒓−𝒙_𝒋𝒓 |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173567</xdr:colOff>
      <xdr:row>43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A6A0591E-AF14-4DFC-A25A-3512538BD343}"/>
                </a:ext>
              </a:extLst>
            </xdr:cNvPr>
            <xdr:cNvSpPr txBox="1"/>
          </xdr:nvSpPr>
          <xdr:spPr>
            <a:xfrm>
              <a:off x="173567" y="467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A6A0591E-AF14-4DFC-A25A-3512538BD343}"/>
                </a:ext>
              </a:extLst>
            </xdr:cNvPr>
            <xdr:cNvSpPr txBox="1"/>
          </xdr:nvSpPr>
          <xdr:spPr>
            <a:xfrm>
              <a:off x="173567" y="467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44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95431F8B-4DF4-487B-8748-387B55A9CD25}"/>
                </a:ext>
              </a:extLst>
            </xdr:cNvPr>
            <xdr:cNvSpPr txBox="1"/>
          </xdr:nvSpPr>
          <xdr:spPr>
            <a:xfrm>
              <a:off x="173567" y="486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95431F8B-4DF4-487B-8748-387B55A9CD25}"/>
                </a:ext>
              </a:extLst>
            </xdr:cNvPr>
            <xdr:cNvSpPr txBox="1"/>
          </xdr:nvSpPr>
          <xdr:spPr>
            <a:xfrm>
              <a:off x="173567" y="486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5702D060-C46B-44E4-BEBE-C3593917276C}"/>
                </a:ext>
              </a:extLst>
            </xdr:cNvPr>
            <xdr:cNvSpPr txBox="1"/>
          </xdr:nvSpPr>
          <xdr:spPr>
            <a:xfrm>
              <a:off x="173567" y="5051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5702D060-C46B-44E4-BEBE-C3593917276C}"/>
                </a:ext>
              </a:extLst>
            </xdr:cNvPr>
            <xdr:cNvSpPr txBox="1"/>
          </xdr:nvSpPr>
          <xdr:spPr>
            <a:xfrm>
              <a:off x="173567" y="5051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46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33CDE15C-E747-49AF-9E18-12999C89DB15}"/>
                </a:ext>
              </a:extLst>
            </xdr:cNvPr>
            <xdr:cNvSpPr txBox="1"/>
          </xdr:nvSpPr>
          <xdr:spPr>
            <a:xfrm>
              <a:off x="173567" y="5241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33CDE15C-E747-49AF-9E18-12999C89DB15}"/>
                </a:ext>
              </a:extLst>
            </xdr:cNvPr>
            <xdr:cNvSpPr txBox="1"/>
          </xdr:nvSpPr>
          <xdr:spPr>
            <a:xfrm>
              <a:off x="173567" y="5241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47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30D2B4C5-9B97-4DF6-AE51-9F12D0290D68}"/>
                </a:ext>
              </a:extLst>
            </xdr:cNvPr>
            <xdr:cNvSpPr txBox="1"/>
          </xdr:nvSpPr>
          <xdr:spPr>
            <a:xfrm>
              <a:off x="173567" y="5432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30D2B4C5-9B97-4DF6-AE51-9F12D0290D68}"/>
                </a:ext>
              </a:extLst>
            </xdr:cNvPr>
            <xdr:cNvSpPr txBox="1"/>
          </xdr:nvSpPr>
          <xdr:spPr>
            <a:xfrm>
              <a:off x="173567" y="5432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48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5FAA2D14-459E-4B4E-BD44-19BFF4BD4927}"/>
                </a:ext>
              </a:extLst>
            </xdr:cNvPr>
            <xdr:cNvSpPr txBox="1"/>
          </xdr:nvSpPr>
          <xdr:spPr>
            <a:xfrm>
              <a:off x="173567" y="5622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5FAA2D14-459E-4B4E-BD44-19BFF4BD4927}"/>
                </a:ext>
              </a:extLst>
            </xdr:cNvPr>
            <xdr:cNvSpPr txBox="1"/>
          </xdr:nvSpPr>
          <xdr:spPr>
            <a:xfrm>
              <a:off x="173567" y="5622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49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0243A651-9A72-4AE2-8157-FC1985A7F1E0}"/>
                </a:ext>
              </a:extLst>
            </xdr:cNvPr>
            <xdr:cNvSpPr txBox="1"/>
          </xdr:nvSpPr>
          <xdr:spPr>
            <a:xfrm>
              <a:off x="173567" y="5813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0243A651-9A72-4AE2-8157-FC1985A7F1E0}"/>
                </a:ext>
              </a:extLst>
            </xdr:cNvPr>
            <xdr:cNvSpPr txBox="1"/>
          </xdr:nvSpPr>
          <xdr:spPr>
            <a:xfrm>
              <a:off x="173567" y="5813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50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B6D0CBB2-5037-4FA3-972B-B3D3F46D9D60}"/>
                </a:ext>
              </a:extLst>
            </xdr:cNvPr>
            <xdr:cNvSpPr txBox="1"/>
          </xdr:nvSpPr>
          <xdr:spPr>
            <a:xfrm>
              <a:off x="173567" y="6003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B6D0CBB2-5037-4FA3-972B-B3D3F46D9D60}"/>
                </a:ext>
              </a:extLst>
            </xdr:cNvPr>
            <xdr:cNvSpPr txBox="1"/>
          </xdr:nvSpPr>
          <xdr:spPr>
            <a:xfrm>
              <a:off x="173567" y="6003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51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14354260-2E60-4647-B8DF-778D4EEFBB14}"/>
                </a:ext>
              </a:extLst>
            </xdr:cNvPr>
            <xdr:cNvSpPr txBox="1"/>
          </xdr:nvSpPr>
          <xdr:spPr>
            <a:xfrm>
              <a:off x="173567" y="6194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14354260-2E60-4647-B8DF-778D4EEFBB14}"/>
                </a:ext>
              </a:extLst>
            </xdr:cNvPr>
            <xdr:cNvSpPr txBox="1"/>
          </xdr:nvSpPr>
          <xdr:spPr>
            <a:xfrm>
              <a:off x="173567" y="6194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147319</xdr:colOff>
      <xdr:row>52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2533FFC7-53EA-4BA6-9887-BA4E5297D5DC}"/>
                </a:ext>
              </a:extLst>
            </xdr:cNvPr>
            <xdr:cNvSpPr txBox="1"/>
          </xdr:nvSpPr>
          <xdr:spPr>
            <a:xfrm>
              <a:off x="147319" y="6384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2533FFC7-53EA-4BA6-9887-BA4E5297D5DC}"/>
                </a:ext>
              </a:extLst>
            </xdr:cNvPr>
            <xdr:cNvSpPr txBox="1"/>
          </xdr:nvSpPr>
          <xdr:spPr>
            <a:xfrm>
              <a:off x="147319" y="6384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42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90149036-DD1D-4111-9F39-47CFCF06419B}"/>
                </a:ext>
              </a:extLst>
            </xdr:cNvPr>
            <xdr:cNvSpPr txBox="1"/>
          </xdr:nvSpPr>
          <xdr:spPr>
            <a:xfrm>
              <a:off x="9508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90149036-DD1D-4111-9F39-47CFCF06419B}"/>
                </a:ext>
              </a:extLst>
            </xdr:cNvPr>
            <xdr:cNvSpPr txBox="1"/>
          </xdr:nvSpPr>
          <xdr:spPr>
            <a:xfrm>
              <a:off x="9508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42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E1AACA1D-0ADF-4A6C-A5BA-7C4062A54EA2}"/>
                </a:ext>
              </a:extLst>
            </xdr:cNvPr>
            <xdr:cNvSpPr txBox="1"/>
          </xdr:nvSpPr>
          <xdr:spPr>
            <a:xfrm>
              <a:off x="18271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E1AACA1D-0ADF-4A6C-A5BA-7C4062A54EA2}"/>
                </a:ext>
              </a:extLst>
            </xdr:cNvPr>
            <xdr:cNvSpPr txBox="1"/>
          </xdr:nvSpPr>
          <xdr:spPr>
            <a:xfrm>
              <a:off x="18271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42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EC7F071B-A5AF-4CD5-9AAC-EFF2632AEDDE}"/>
                </a:ext>
              </a:extLst>
            </xdr:cNvPr>
            <xdr:cNvSpPr txBox="1"/>
          </xdr:nvSpPr>
          <xdr:spPr>
            <a:xfrm>
              <a:off x="27034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EC7F071B-A5AF-4CD5-9AAC-EFF2632AEDDE}"/>
                </a:ext>
              </a:extLst>
            </xdr:cNvPr>
            <xdr:cNvSpPr txBox="1"/>
          </xdr:nvSpPr>
          <xdr:spPr>
            <a:xfrm>
              <a:off x="27034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42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AD49C1E4-2F23-40D2-A3F2-EECA9FFFBCFE}"/>
                </a:ext>
              </a:extLst>
            </xdr:cNvPr>
            <xdr:cNvSpPr txBox="1"/>
          </xdr:nvSpPr>
          <xdr:spPr>
            <a:xfrm>
              <a:off x="35797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AD49C1E4-2F23-40D2-A3F2-EECA9FFFBCFE}"/>
                </a:ext>
              </a:extLst>
            </xdr:cNvPr>
            <xdr:cNvSpPr txBox="1"/>
          </xdr:nvSpPr>
          <xdr:spPr>
            <a:xfrm>
              <a:off x="35797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42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17BC95ED-4B7A-4D34-8A4C-7050BF2B97F5}"/>
                </a:ext>
              </a:extLst>
            </xdr:cNvPr>
            <xdr:cNvSpPr txBox="1"/>
          </xdr:nvSpPr>
          <xdr:spPr>
            <a:xfrm>
              <a:off x="44560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17BC95ED-4B7A-4D34-8A4C-7050BF2B97F5}"/>
                </a:ext>
              </a:extLst>
            </xdr:cNvPr>
            <xdr:cNvSpPr txBox="1"/>
          </xdr:nvSpPr>
          <xdr:spPr>
            <a:xfrm>
              <a:off x="44560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42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EC67902D-67FF-485E-AA09-5FC55B140DE6}"/>
                </a:ext>
              </a:extLst>
            </xdr:cNvPr>
            <xdr:cNvSpPr txBox="1"/>
          </xdr:nvSpPr>
          <xdr:spPr>
            <a:xfrm>
              <a:off x="53323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EC67902D-67FF-485E-AA09-5FC55B140DE6}"/>
                </a:ext>
              </a:extLst>
            </xdr:cNvPr>
            <xdr:cNvSpPr txBox="1"/>
          </xdr:nvSpPr>
          <xdr:spPr>
            <a:xfrm>
              <a:off x="53323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42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91862594-41F1-47B0-91F4-1227470EF5D3}"/>
                </a:ext>
              </a:extLst>
            </xdr:cNvPr>
            <xdr:cNvSpPr txBox="1"/>
          </xdr:nvSpPr>
          <xdr:spPr>
            <a:xfrm>
              <a:off x="62086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91862594-41F1-47B0-91F4-1227470EF5D3}"/>
                </a:ext>
              </a:extLst>
            </xdr:cNvPr>
            <xdr:cNvSpPr txBox="1"/>
          </xdr:nvSpPr>
          <xdr:spPr>
            <a:xfrm>
              <a:off x="62086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42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2A985F27-9EC6-4B75-BC4A-7CCA46C8EFE8}"/>
                </a:ext>
              </a:extLst>
            </xdr:cNvPr>
            <xdr:cNvSpPr txBox="1"/>
          </xdr:nvSpPr>
          <xdr:spPr>
            <a:xfrm>
              <a:off x="70849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2A985F27-9EC6-4B75-BC4A-7CCA46C8EFE8}"/>
                </a:ext>
              </a:extLst>
            </xdr:cNvPr>
            <xdr:cNvSpPr txBox="1"/>
          </xdr:nvSpPr>
          <xdr:spPr>
            <a:xfrm>
              <a:off x="70849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42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D41E163D-40E8-4B82-B7CC-B3396E1095DC}"/>
                </a:ext>
              </a:extLst>
            </xdr:cNvPr>
            <xdr:cNvSpPr txBox="1"/>
          </xdr:nvSpPr>
          <xdr:spPr>
            <a:xfrm>
              <a:off x="79612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D41E163D-40E8-4B82-B7CC-B3396E1095DC}"/>
                </a:ext>
              </a:extLst>
            </xdr:cNvPr>
            <xdr:cNvSpPr txBox="1"/>
          </xdr:nvSpPr>
          <xdr:spPr>
            <a:xfrm>
              <a:off x="79612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42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41FD0B01-1BBE-40D7-BA71-F0434AC753A5}"/>
                </a:ext>
              </a:extLst>
            </xdr:cNvPr>
            <xdr:cNvSpPr txBox="1"/>
          </xdr:nvSpPr>
          <xdr:spPr>
            <a:xfrm>
              <a:off x="8837507" y="4479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41FD0B01-1BBE-40D7-BA71-F0434AC753A5}"/>
                </a:ext>
              </a:extLst>
            </xdr:cNvPr>
            <xdr:cNvSpPr txBox="1"/>
          </xdr:nvSpPr>
          <xdr:spPr>
            <a:xfrm>
              <a:off x="8837507" y="4479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64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0FC273C5-ED79-420A-910C-D9C0A1F8B447}"/>
                </a:ext>
              </a:extLst>
            </xdr:cNvPr>
            <xdr:cNvSpPr txBox="1"/>
          </xdr:nvSpPr>
          <xdr:spPr>
            <a:xfrm>
              <a:off x="173567" y="848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0FC273C5-ED79-420A-910C-D9C0A1F8B447}"/>
                </a:ext>
              </a:extLst>
            </xdr:cNvPr>
            <xdr:cNvSpPr txBox="1"/>
          </xdr:nvSpPr>
          <xdr:spPr>
            <a:xfrm>
              <a:off x="173567" y="848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65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E2A7D2CB-D990-4252-893D-D80306B55486}"/>
                </a:ext>
              </a:extLst>
            </xdr:cNvPr>
            <xdr:cNvSpPr txBox="1"/>
          </xdr:nvSpPr>
          <xdr:spPr>
            <a:xfrm>
              <a:off x="173567" y="867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E2A7D2CB-D990-4252-893D-D80306B55486}"/>
                </a:ext>
              </a:extLst>
            </xdr:cNvPr>
            <xdr:cNvSpPr txBox="1"/>
          </xdr:nvSpPr>
          <xdr:spPr>
            <a:xfrm>
              <a:off x="173567" y="867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66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2DD30442-A646-4D4C-98A8-0AB80B770949}"/>
                </a:ext>
              </a:extLst>
            </xdr:cNvPr>
            <xdr:cNvSpPr txBox="1"/>
          </xdr:nvSpPr>
          <xdr:spPr>
            <a:xfrm>
              <a:off x="173567" y="8861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2DD30442-A646-4D4C-98A8-0AB80B770949}"/>
                </a:ext>
              </a:extLst>
            </xdr:cNvPr>
            <xdr:cNvSpPr txBox="1"/>
          </xdr:nvSpPr>
          <xdr:spPr>
            <a:xfrm>
              <a:off x="173567" y="8861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67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35CB199F-8A9E-4DCB-A1FA-397ABF6ED99F}"/>
                </a:ext>
              </a:extLst>
            </xdr:cNvPr>
            <xdr:cNvSpPr txBox="1"/>
          </xdr:nvSpPr>
          <xdr:spPr>
            <a:xfrm>
              <a:off x="173567" y="9051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35CB199F-8A9E-4DCB-A1FA-397ABF6ED99F}"/>
                </a:ext>
              </a:extLst>
            </xdr:cNvPr>
            <xdr:cNvSpPr txBox="1"/>
          </xdr:nvSpPr>
          <xdr:spPr>
            <a:xfrm>
              <a:off x="173567" y="9051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68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6E57F652-B822-48AB-829A-E0EA4BC07E2D}"/>
                </a:ext>
              </a:extLst>
            </xdr:cNvPr>
            <xdr:cNvSpPr txBox="1"/>
          </xdr:nvSpPr>
          <xdr:spPr>
            <a:xfrm>
              <a:off x="173567" y="9242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6E57F652-B822-48AB-829A-E0EA4BC07E2D}"/>
                </a:ext>
              </a:extLst>
            </xdr:cNvPr>
            <xdr:cNvSpPr txBox="1"/>
          </xdr:nvSpPr>
          <xdr:spPr>
            <a:xfrm>
              <a:off x="173567" y="9242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69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25F28900-A72A-46D0-904F-994D23B1EFDE}"/>
                </a:ext>
              </a:extLst>
            </xdr:cNvPr>
            <xdr:cNvSpPr txBox="1"/>
          </xdr:nvSpPr>
          <xdr:spPr>
            <a:xfrm>
              <a:off x="173567" y="9432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25F28900-A72A-46D0-904F-994D23B1EFDE}"/>
                </a:ext>
              </a:extLst>
            </xdr:cNvPr>
            <xdr:cNvSpPr txBox="1"/>
          </xdr:nvSpPr>
          <xdr:spPr>
            <a:xfrm>
              <a:off x="173567" y="9432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70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9D783B0F-AA86-4DEB-AE27-B40BEC1D66A7}"/>
                </a:ext>
              </a:extLst>
            </xdr:cNvPr>
            <xdr:cNvSpPr txBox="1"/>
          </xdr:nvSpPr>
          <xdr:spPr>
            <a:xfrm>
              <a:off x="173567" y="9623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9D783B0F-AA86-4DEB-AE27-B40BEC1D66A7}"/>
                </a:ext>
              </a:extLst>
            </xdr:cNvPr>
            <xdr:cNvSpPr txBox="1"/>
          </xdr:nvSpPr>
          <xdr:spPr>
            <a:xfrm>
              <a:off x="173567" y="9623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71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1E21507E-1FA8-4FCE-8672-35A2A38C8DEB}"/>
                </a:ext>
              </a:extLst>
            </xdr:cNvPr>
            <xdr:cNvSpPr txBox="1"/>
          </xdr:nvSpPr>
          <xdr:spPr>
            <a:xfrm>
              <a:off x="173567" y="9813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1E21507E-1FA8-4FCE-8672-35A2A38C8DEB}"/>
                </a:ext>
              </a:extLst>
            </xdr:cNvPr>
            <xdr:cNvSpPr txBox="1"/>
          </xdr:nvSpPr>
          <xdr:spPr>
            <a:xfrm>
              <a:off x="173567" y="9813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72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40CF4C9D-154D-4225-8219-B65E97423A42}"/>
                </a:ext>
              </a:extLst>
            </xdr:cNvPr>
            <xdr:cNvSpPr txBox="1"/>
          </xdr:nvSpPr>
          <xdr:spPr>
            <a:xfrm>
              <a:off x="173567" y="10004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40CF4C9D-154D-4225-8219-B65E97423A42}"/>
                </a:ext>
              </a:extLst>
            </xdr:cNvPr>
            <xdr:cNvSpPr txBox="1"/>
          </xdr:nvSpPr>
          <xdr:spPr>
            <a:xfrm>
              <a:off x="173567" y="10004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147319</xdr:colOff>
      <xdr:row>73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4E41B0F6-BFC1-4A0A-83B0-6C7F12DB10BF}"/>
                </a:ext>
              </a:extLst>
            </xdr:cNvPr>
            <xdr:cNvSpPr txBox="1"/>
          </xdr:nvSpPr>
          <xdr:spPr>
            <a:xfrm>
              <a:off x="147319" y="10194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4E41B0F6-BFC1-4A0A-83B0-6C7F12DB10BF}"/>
                </a:ext>
              </a:extLst>
            </xdr:cNvPr>
            <xdr:cNvSpPr txBox="1"/>
          </xdr:nvSpPr>
          <xdr:spPr>
            <a:xfrm>
              <a:off x="147319" y="10194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A789EB61-22C6-406A-B86E-117E5D84D238}"/>
                </a:ext>
              </a:extLst>
            </xdr:cNvPr>
            <xdr:cNvSpPr txBox="1"/>
          </xdr:nvSpPr>
          <xdr:spPr>
            <a:xfrm>
              <a:off x="9508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A789EB61-22C6-406A-B86E-117E5D84D238}"/>
                </a:ext>
              </a:extLst>
            </xdr:cNvPr>
            <xdr:cNvSpPr txBox="1"/>
          </xdr:nvSpPr>
          <xdr:spPr>
            <a:xfrm>
              <a:off x="9508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FB6AE83E-CDEC-4D02-A494-2B6D50D47EC8}"/>
                </a:ext>
              </a:extLst>
            </xdr:cNvPr>
            <xdr:cNvSpPr txBox="1"/>
          </xdr:nvSpPr>
          <xdr:spPr>
            <a:xfrm>
              <a:off x="18271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FB6AE83E-CDEC-4D02-A494-2B6D50D47EC8}"/>
                </a:ext>
              </a:extLst>
            </xdr:cNvPr>
            <xdr:cNvSpPr txBox="1"/>
          </xdr:nvSpPr>
          <xdr:spPr>
            <a:xfrm>
              <a:off x="18271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FF91958F-6A5B-43BB-BAD2-4B4ED07F4A20}"/>
                </a:ext>
              </a:extLst>
            </xdr:cNvPr>
            <xdr:cNvSpPr txBox="1"/>
          </xdr:nvSpPr>
          <xdr:spPr>
            <a:xfrm>
              <a:off x="27034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FF91958F-6A5B-43BB-BAD2-4B4ED07F4A20}"/>
                </a:ext>
              </a:extLst>
            </xdr:cNvPr>
            <xdr:cNvSpPr txBox="1"/>
          </xdr:nvSpPr>
          <xdr:spPr>
            <a:xfrm>
              <a:off x="27034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69D7EBA3-ED2B-43F3-87B7-58EBEE33B834}"/>
                </a:ext>
              </a:extLst>
            </xdr:cNvPr>
            <xdr:cNvSpPr txBox="1"/>
          </xdr:nvSpPr>
          <xdr:spPr>
            <a:xfrm>
              <a:off x="35797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69D7EBA3-ED2B-43F3-87B7-58EBEE33B834}"/>
                </a:ext>
              </a:extLst>
            </xdr:cNvPr>
            <xdr:cNvSpPr txBox="1"/>
          </xdr:nvSpPr>
          <xdr:spPr>
            <a:xfrm>
              <a:off x="35797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6C721D8A-916B-41A1-9CCF-B97714784341}"/>
                </a:ext>
              </a:extLst>
            </xdr:cNvPr>
            <xdr:cNvSpPr txBox="1"/>
          </xdr:nvSpPr>
          <xdr:spPr>
            <a:xfrm>
              <a:off x="44560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6C721D8A-916B-41A1-9CCF-B97714784341}"/>
                </a:ext>
              </a:extLst>
            </xdr:cNvPr>
            <xdr:cNvSpPr txBox="1"/>
          </xdr:nvSpPr>
          <xdr:spPr>
            <a:xfrm>
              <a:off x="44560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59999382-CA38-4176-8B8A-BA3903144B6B}"/>
                </a:ext>
              </a:extLst>
            </xdr:cNvPr>
            <xdr:cNvSpPr txBox="1"/>
          </xdr:nvSpPr>
          <xdr:spPr>
            <a:xfrm>
              <a:off x="53323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59999382-CA38-4176-8B8A-BA3903144B6B}"/>
                </a:ext>
              </a:extLst>
            </xdr:cNvPr>
            <xdr:cNvSpPr txBox="1"/>
          </xdr:nvSpPr>
          <xdr:spPr>
            <a:xfrm>
              <a:off x="53323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98F5FBF4-03E6-4E0B-9B5E-D01CACFCDA74}"/>
                </a:ext>
              </a:extLst>
            </xdr:cNvPr>
            <xdr:cNvSpPr txBox="1"/>
          </xdr:nvSpPr>
          <xdr:spPr>
            <a:xfrm>
              <a:off x="62086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98F5FBF4-03E6-4E0B-9B5E-D01CACFCDA74}"/>
                </a:ext>
              </a:extLst>
            </xdr:cNvPr>
            <xdr:cNvSpPr txBox="1"/>
          </xdr:nvSpPr>
          <xdr:spPr>
            <a:xfrm>
              <a:off x="62086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7C9844A1-9B0A-4315-B955-78AD8408F6F2}"/>
                </a:ext>
              </a:extLst>
            </xdr:cNvPr>
            <xdr:cNvSpPr txBox="1"/>
          </xdr:nvSpPr>
          <xdr:spPr>
            <a:xfrm>
              <a:off x="70849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7C9844A1-9B0A-4315-B955-78AD8408F6F2}"/>
                </a:ext>
              </a:extLst>
            </xdr:cNvPr>
            <xdr:cNvSpPr txBox="1"/>
          </xdr:nvSpPr>
          <xdr:spPr>
            <a:xfrm>
              <a:off x="70849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CF0298FF-B1C4-4794-93BD-3B5A8E1DA155}"/>
                </a:ext>
              </a:extLst>
            </xdr:cNvPr>
            <xdr:cNvSpPr txBox="1"/>
          </xdr:nvSpPr>
          <xdr:spPr>
            <a:xfrm>
              <a:off x="79612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CF0298FF-B1C4-4794-93BD-3B5A8E1DA155}"/>
                </a:ext>
              </a:extLst>
            </xdr:cNvPr>
            <xdr:cNvSpPr txBox="1"/>
          </xdr:nvSpPr>
          <xdr:spPr>
            <a:xfrm>
              <a:off x="79612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63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1A3E5514-F989-43B6-A5FC-72861740EE70}"/>
                </a:ext>
              </a:extLst>
            </xdr:cNvPr>
            <xdr:cNvSpPr txBox="1"/>
          </xdr:nvSpPr>
          <xdr:spPr>
            <a:xfrm>
              <a:off x="8837507" y="8289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1A3E5514-F989-43B6-A5FC-72861740EE70}"/>
                </a:ext>
              </a:extLst>
            </xdr:cNvPr>
            <xdr:cNvSpPr txBox="1"/>
          </xdr:nvSpPr>
          <xdr:spPr>
            <a:xfrm>
              <a:off x="8837507" y="8289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289560</xdr:colOff>
      <xdr:row>58</xdr:row>
      <xdr:rowOff>121920</xdr:rowOff>
    </xdr:from>
    <xdr:ext cx="2026131" cy="50244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49DA16EB-BB16-4B0C-83C0-2ECC2BD70499}"/>
                </a:ext>
              </a:extLst>
            </xdr:cNvPr>
            <xdr:cNvSpPr txBox="1"/>
          </xdr:nvSpPr>
          <xdr:spPr>
            <a:xfrm>
              <a:off x="3528060" y="11269980"/>
              <a:ext cx="2026131" cy="502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𝝆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𝑪𝒂𝒏</m:t>
                        </m:r>
                      </m:sub>
                    </m:sSub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𝒋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𝒓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=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𝒏</m:t>
                        </m:r>
                      </m:sup>
                      <m:e>
                        <m:f>
                          <m:f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fPr>
                          <m:num>
                            <m:d>
                              <m:dPr>
                                <m:begChr m:val="|"/>
                                <m:endChr m:val="|"/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𝒙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𝒊𝒓</m:t>
                                    </m:r>
                                  </m:sub>
                                </m:s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𝒙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𝒋𝒓</m:t>
                                    </m:r>
                                  </m:sub>
                                </m:sSub>
                              </m:e>
                            </m:d>
                          </m:num>
                          <m:den>
                            <m:d>
                              <m:dPr>
                                <m:begChr m:val="|"/>
                                <m:endChr m:val="|"/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𝒙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𝒊𝒓</m:t>
                                    </m:r>
                                  </m:sub>
                                </m:sSub>
                              </m:e>
                            </m:d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+</m:t>
                            </m:r>
                            <m:d>
                              <m:dPr>
                                <m:begChr m:val="|"/>
                                <m:endChr m:val="|"/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𝒙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𝒋𝒓</m:t>
                                    </m:r>
                                  </m:sub>
                                </m:sSub>
                              </m:e>
                            </m:d>
                          </m:den>
                        </m:f>
                      </m:e>
                    </m:nary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49DA16EB-BB16-4B0C-83C0-2ECC2BD70499}"/>
                </a:ext>
              </a:extLst>
            </xdr:cNvPr>
            <xdr:cNvSpPr txBox="1"/>
          </xdr:nvSpPr>
          <xdr:spPr>
            <a:xfrm>
              <a:off x="3528060" y="11269980"/>
              <a:ext cx="2026131" cy="502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𝝆_𝑪𝒂𝒏 (𝑺_𝒊,𝑺_𝒋 )=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∑_(𝒓=𝟏)^𝒏▒|𝒙_𝒊𝒓−𝒙_𝒋𝒓 |/(|𝒙_𝒊𝒓 |+|𝒙_𝒋𝒓 | 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173567</xdr:colOff>
      <xdr:row>84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5171B872-8BDB-46CD-831E-E27A85AE57E1}"/>
                </a:ext>
              </a:extLst>
            </xdr:cNvPr>
            <xdr:cNvSpPr txBox="1"/>
          </xdr:nvSpPr>
          <xdr:spPr>
            <a:xfrm>
              <a:off x="173567" y="4677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5171B872-8BDB-46CD-831E-E27A85AE57E1}"/>
                </a:ext>
              </a:extLst>
            </xdr:cNvPr>
            <xdr:cNvSpPr txBox="1"/>
          </xdr:nvSpPr>
          <xdr:spPr>
            <a:xfrm>
              <a:off x="173567" y="4677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85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6AFCDA13-139F-4512-B204-B88A1B112C69}"/>
                </a:ext>
              </a:extLst>
            </xdr:cNvPr>
            <xdr:cNvSpPr txBox="1"/>
          </xdr:nvSpPr>
          <xdr:spPr>
            <a:xfrm>
              <a:off x="173567" y="48683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6AFCDA13-139F-4512-B204-B88A1B112C69}"/>
                </a:ext>
              </a:extLst>
            </xdr:cNvPr>
            <xdr:cNvSpPr txBox="1"/>
          </xdr:nvSpPr>
          <xdr:spPr>
            <a:xfrm>
              <a:off x="173567" y="48683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86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3ED5423E-EAF7-4AE5-8723-5AA3D88B065C}"/>
                </a:ext>
              </a:extLst>
            </xdr:cNvPr>
            <xdr:cNvSpPr txBox="1"/>
          </xdr:nvSpPr>
          <xdr:spPr>
            <a:xfrm>
              <a:off x="173567" y="5058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6" name="TextBox 125">
              <a:extLst>
                <a:ext uri="{FF2B5EF4-FFF2-40B4-BE49-F238E27FC236}">
                  <a16:creationId xmlns:a16="http://schemas.microsoft.com/office/drawing/2014/main" id="{3ED5423E-EAF7-4AE5-8723-5AA3D88B065C}"/>
                </a:ext>
              </a:extLst>
            </xdr:cNvPr>
            <xdr:cNvSpPr txBox="1"/>
          </xdr:nvSpPr>
          <xdr:spPr>
            <a:xfrm>
              <a:off x="173567" y="5058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87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8F9FA35B-7C3E-4713-A18A-E066CE395252}"/>
                </a:ext>
              </a:extLst>
            </xdr:cNvPr>
            <xdr:cNvSpPr txBox="1"/>
          </xdr:nvSpPr>
          <xdr:spPr>
            <a:xfrm>
              <a:off x="173567" y="52493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7" name="TextBox 126">
              <a:extLst>
                <a:ext uri="{FF2B5EF4-FFF2-40B4-BE49-F238E27FC236}">
                  <a16:creationId xmlns:a16="http://schemas.microsoft.com/office/drawing/2014/main" id="{8F9FA35B-7C3E-4713-A18A-E066CE395252}"/>
                </a:ext>
              </a:extLst>
            </xdr:cNvPr>
            <xdr:cNvSpPr txBox="1"/>
          </xdr:nvSpPr>
          <xdr:spPr>
            <a:xfrm>
              <a:off x="173567" y="52493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88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3DE225C5-5606-4147-BDA2-CF564898AE50}"/>
                </a:ext>
              </a:extLst>
            </xdr:cNvPr>
            <xdr:cNvSpPr txBox="1"/>
          </xdr:nvSpPr>
          <xdr:spPr>
            <a:xfrm>
              <a:off x="173567" y="5439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3DE225C5-5606-4147-BDA2-CF564898AE50}"/>
                </a:ext>
              </a:extLst>
            </xdr:cNvPr>
            <xdr:cNvSpPr txBox="1"/>
          </xdr:nvSpPr>
          <xdr:spPr>
            <a:xfrm>
              <a:off x="173567" y="5439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89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500A850A-3917-468C-ABC9-3DFBE67B0DF1}"/>
                </a:ext>
              </a:extLst>
            </xdr:cNvPr>
            <xdr:cNvSpPr txBox="1"/>
          </xdr:nvSpPr>
          <xdr:spPr>
            <a:xfrm>
              <a:off x="173567" y="56303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9" name="TextBox 128">
              <a:extLst>
                <a:ext uri="{FF2B5EF4-FFF2-40B4-BE49-F238E27FC236}">
                  <a16:creationId xmlns:a16="http://schemas.microsoft.com/office/drawing/2014/main" id="{500A850A-3917-468C-ABC9-3DFBE67B0DF1}"/>
                </a:ext>
              </a:extLst>
            </xdr:cNvPr>
            <xdr:cNvSpPr txBox="1"/>
          </xdr:nvSpPr>
          <xdr:spPr>
            <a:xfrm>
              <a:off x="173567" y="56303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0D00E52B-7818-4F30-9C9D-200BBC61FC51}"/>
                </a:ext>
              </a:extLst>
            </xdr:cNvPr>
            <xdr:cNvSpPr txBox="1"/>
          </xdr:nvSpPr>
          <xdr:spPr>
            <a:xfrm>
              <a:off x="173567" y="5820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0D00E52B-7818-4F30-9C9D-200BBC61FC51}"/>
                </a:ext>
              </a:extLst>
            </xdr:cNvPr>
            <xdr:cNvSpPr txBox="1"/>
          </xdr:nvSpPr>
          <xdr:spPr>
            <a:xfrm>
              <a:off x="173567" y="5820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08734A0A-970E-43A8-B993-1D37BDB6CC48}"/>
                </a:ext>
              </a:extLst>
            </xdr:cNvPr>
            <xdr:cNvSpPr txBox="1"/>
          </xdr:nvSpPr>
          <xdr:spPr>
            <a:xfrm>
              <a:off x="173567" y="60113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08734A0A-970E-43A8-B993-1D37BDB6CC48}"/>
                </a:ext>
              </a:extLst>
            </xdr:cNvPr>
            <xdr:cNvSpPr txBox="1"/>
          </xdr:nvSpPr>
          <xdr:spPr>
            <a:xfrm>
              <a:off x="173567" y="60113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94520333-A2FB-44BC-B90A-599905C15E41}"/>
                </a:ext>
              </a:extLst>
            </xdr:cNvPr>
            <xdr:cNvSpPr txBox="1"/>
          </xdr:nvSpPr>
          <xdr:spPr>
            <a:xfrm>
              <a:off x="173567" y="6201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94520333-A2FB-44BC-B90A-599905C15E41}"/>
                </a:ext>
              </a:extLst>
            </xdr:cNvPr>
            <xdr:cNvSpPr txBox="1"/>
          </xdr:nvSpPr>
          <xdr:spPr>
            <a:xfrm>
              <a:off x="173567" y="62018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147319</xdr:colOff>
      <xdr:row>93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3E3CC4E7-02C0-499C-937B-8B277EA2E4C6}"/>
                </a:ext>
              </a:extLst>
            </xdr:cNvPr>
            <xdr:cNvSpPr txBox="1"/>
          </xdr:nvSpPr>
          <xdr:spPr>
            <a:xfrm>
              <a:off x="147319" y="63923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3E3CC4E7-02C0-499C-937B-8B277EA2E4C6}"/>
                </a:ext>
              </a:extLst>
            </xdr:cNvPr>
            <xdr:cNvSpPr txBox="1"/>
          </xdr:nvSpPr>
          <xdr:spPr>
            <a:xfrm>
              <a:off x="147319" y="63923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367453</xdr:colOff>
      <xdr:row>82</xdr:row>
      <xdr:rowOff>177801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5E2AACB8-90E4-496A-954C-A5C33070897C}"/>
                </a:ext>
              </a:extLst>
            </xdr:cNvPr>
            <xdr:cNvSpPr txBox="1"/>
          </xdr:nvSpPr>
          <xdr:spPr>
            <a:xfrm>
              <a:off x="977053" y="446786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5E2AACB8-90E4-496A-954C-A5C33070897C}"/>
                </a:ext>
              </a:extLst>
            </xdr:cNvPr>
            <xdr:cNvSpPr txBox="1"/>
          </xdr:nvSpPr>
          <xdr:spPr>
            <a:xfrm>
              <a:off x="977053" y="446786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367453</xdr:colOff>
      <xdr:row>82</xdr:row>
      <xdr:rowOff>177801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79CF414D-3B64-4D11-A66B-1FF593B581C8}"/>
                </a:ext>
              </a:extLst>
            </xdr:cNvPr>
            <xdr:cNvSpPr txBox="1"/>
          </xdr:nvSpPr>
          <xdr:spPr>
            <a:xfrm>
              <a:off x="1853353" y="446786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79CF414D-3B64-4D11-A66B-1FF593B581C8}"/>
                </a:ext>
              </a:extLst>
            </xdr:cNvPr>
            <xdr:cNvSpPr txBox="1"/>
          </xdr:nvSpPr>
          <xdr:spPr>
            <a:xfrm>
              <a:off x="1853353" y="446786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367453</xdr:colOff>
      <xdr:row>82</xdr:row>
      <xdr:rowOff>177801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0382B228-956E-43BE-80DC-85F0702E43F3}"/>
                </a:ext>
              </a:extLst>
            </xdr:cNvPr>
            <xdr:cNvSpPr txBox="1"/>
          </xdr:nvSpPr>
          <xdr:spPr>
            <a:xfrm>
              <a:off x="2729653" y="446786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0382B228-956E-43BE-80DC-85F0702E43F3}"/>
                </a:ext>
              </a:extLst>
            </xdr:cNvPr>
            <xdr:cNvSpPr txBox="1"/>
          </xdr:nvSpPr>
          <xdr:spPr>
            <a:xfrm>
              <a:off x="2729653" y="446786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367453</xdr:colOff>
      <xdr:row>82</xdr:row>
      <xdr:rowOff>177801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2BF983E4-7654-4D67-BA82-F7A243BB6DA2}"/>
                </a:ext>
              </a:extLst>
            </xdr:cNvPr>
            <xdr:cNvSpPr txBox="1"/>
          </xdr:nvSpPr>
          <xdr:spPr>
            <a:xfrm>
              <a:off x="3605953" y="446786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2BF983E4-7654-4D67-BA82-F7A243BB6DA2}"/>
                </a:ext>
              </a:extLst>
            </xdr:cNvPr>
            <xdr:cNvSpPr txBox="1"/>
          </xdr:nvSpPr>
          <xdr:spPr>
            <a:xfrm>
              <a:off x="3605953" y="446786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367453</xdr:colOff>
      <xdr:row>82</xdr:row>
      <xdr:rowOff>177801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5EECCE17-7E79-4AEC-896A-78FE882F8E6C}"/>
                </a:ext>
              </a:extLst>
            </xdr:cNvPr>
            <xdr:cNvSpPr txBox="1"/>
          </xdr:nvSpPr>
          <xdr:spPr>
            <a:xfrm>
              <a:off x="4482253" y="446786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5EECCE17-7E79-4AEC-896A-78FE882F8E6C}"/>
                </a:ext>
              </a:extLst>
            </xdr:cNvPr>
            <xdr:cNvSpPr txBox="1"/>
          </xdr:nvSpPr>
          <xdr:spPr>
            <a:xfrm>
              <a:off x="4482253" y="446786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367453</xdr:colOff>
      <xdr:row>82</xdr:row>
      <xdr:rowOff>177801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A64CDFAB-6B49-424F-A289-9C505573E54B}"/>
                </a:ext>
              </a:extLst>
            </xdr:cNvPr>
            <xdr:cNvSpPr txBox="1"/>
          </xdr:nvSpPr>
          <xdr:spPr>
            <a:xfrm>
              <a:off x="5358553" y="446786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A64CDFAB-6B49-424F-A289-9C505573E54B}"/>
                </a:ext>
              </a:extLst>
            </xdr:cNvPr>
            <xdr:cNvSpPr txBox="1"/>
          </xdr:nvSpPr>
          <xdr:spPr>
            <a:xfrm>
              <a:off x="5358553" y="446786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281940</xdr:colOff>
      <xdr:row>99</xdr:row>
      <xdr:rowOff>38100</xdr:rowOff>
    </xdr:from>
    <xdr:ext cx="1998111" cy="718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A59C8EF3-5BEE-4074-890F-571696C8BFED}"/>
                </a:ext>
              </a:extLst>
            </xdr:cNvPr>
            <xdr:cNvSpPr txBox="1"/>
          </xdr:nvSpPr>
          <xdr:spPr>
            <a:xfrm>
              <a:off x="3520440" y="3375660"/>
              <a:ext cx="1998111" cy="718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𝝆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𝑬</m:t>
                        </m:r>
                      </m:sub>
                    </m:sSub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𝒋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nary>
                          <m:naryPr>
                            <m:chr m:val="∑"/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𝒓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𝟏</m:t>
                            </m:r>
                          </m:sub>
                          <m:sup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𝒏</m:t>
                            </m:r>
                          </m:sup>
                          <m:e>
                            <m:sSup>
                              <m:sSup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n-US" sz="1200" b="1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200" b="1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𝒙</m:t>
                                        </m:r>
                                      </m:e>
                                      <m:sub>
                                        <m:r>
                                          <a:rPr lang="en-US" sz="1200" b="1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𝒊𝒓</m:t>
                                        </m:r>
                                      </m:sub>
                                    </m:sSub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−</m:t>
                                    </m:r>
                                    <m:sSub>
                                      <m:sSubPr>
                                        <m:ctrlPr>
                                          <a:rPr lang="en-US" sz="1200" b="1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200" b="1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𝒙</m:t>
                                        </m:r>
                                      </m:e>
                                      <m:sub>
                                        <m:r>
                                          <a:rPr lang="en-US" sz="1200" b="1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𝒋𝒓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  <m:sup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𝟐</m:t>
                                </m:r>
                              </m:sup>
                            </m:sSup>
                          </m:e>
                        </m:nary>
                      </m:e>
                    </m:rad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A59C8EF3-5BEE-4074-890F-571696C8BFED}"/>
                </a:ext>
              </a:extLst>
            </xdr:cNvPr>
            <xdr:cNvSpPr txBox="1"/>
          </xdr:nvSpPr>
          <xdr:spPr>
            <a:xfrm>
              <a:off x="3520440" y="3375660"/>
              <a:ext cx="1998111" cy="718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𝝆_𝑬 (𝑺_𝒊,𝑺_𝒋 )=√(∑_(𝒓=𝟏)^𝒏▒(𝒙_𝒊𝒓−𝒙_𝒋𝒓 )^𝟐 )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0</xdr:col>
      <xdr:colOff>173567</xdr:colOff>
      <xdr:row>105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C49CFC40-07E5-4B86-9EC8-22BDEDEA67A4}"/>
                </a:ext>
              </a:extLst>
            </xdr:cNvPr>
            <xdr:cNvSpPr txBox="1"/>
          </xdr:nvSpPr>
          <xdr:spPr>
            <a:xfrm>
              <a:off x="173567" y="467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1" name="TextBox 140">
              <a:extLst>
                <a:ext uri="{FF2B5EF4-FFF2-40B4-BE49-F238E27FC236}">
                  <a16:creationId xmlns:a16="http://schemas.microsoft.com/office/drawing/2014/main" id="{C49CFC40-07E5-4B86-9EC8-22BDEDEA67A4}"/>
                </a:ext>
              </a:extLst>
            </xdr:cNvPr>
            <xdr:cNvSpPr txBox="1"/>
          </xdr:nvSpPr>
          <xdr:spPr>
            <a:xfrm>
              <a:off x="173567" y="467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106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055896AF-87E6-4876-BF49-0B1FCC33869B}"/>
                </a:ext>
              </a:extLst>
            </xdr:cNvPr>
            <xdr:cNvSpPr txBox="1"/>
          </xdr:nvSpPr>
          <xdr:spPr>
            <a:xfrm>
              <a:off x="173567" y="486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055896AF-87E6-4876-BF49-0B1FCC33869B}"/>
                </a:ext>
              </a:extLst>
            </xdr:cNvPr>
            <xdr:cNvSpPr txBox="1"/>
          </xdr:nvSpPr>
          <xdr:spPr>
            <a:xfrm>
              <a:off x="173567" y="486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107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A72916C8-09C8-4F94-BEA6-66A9854893FC}"/>
                </a:ext>
              </a:extLst>
            </xdr:cNvPr>
            <xdr:cNvSpPr txBox="1"/>
          </xdr:nvSpPr>
          <xdr:spPr>
            <a:xfrm>
              <a:off x="173567" y="5051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A72916C8-09C8-4F94-BEA6-66A9854893FC}"/>
                </a:ext>
              </a:extLst>
            </xdr:cNvPr>
            <xdr:cNvSpPr txBox="1"/>
          </xdr:nvSpPr>
          <xdr:spPr>
            <a:xfrm>
              <a:off x="173567" y="5051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108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3D19B29E-D9D8-46C6-BFFB-8171552DA177}"/>
                </a:ext>
              </a:extLst>
            </xdr:cNvPr>
            <xdr:cNvSpPr txBox="1"/>
          </xdr:nvSpPr>
          <xdr:spPr>
            <a:xfrm>
              <a:off x="173567" y="5241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3D19B29E-D9D8-46C6-BFFB-8171552DA177}"/>
                </a:ext>
              </a:extLst>
            </xdr:cNvPr>
            <xdr:cNvSpPr txBox="1"/>
          </xdr:nvSpPr>
          <xdr:spPr>
            <a:xfrm>
              <a:off x="173567" y="5241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109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F40846F6-F75F-412A-9FA5-555C55E0A0EA}"/>
                </a:ext>
              </a:extLst>
            </xdr:cNvPr>
            <xdr:cNvSpPr txBox="1"/>
          </xdr:nvSpPr>
          <xdr:spPr>
            <a:xfrm>
              <a:off x="173567" y="5432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F40846F6-F75F-412A-9FA5-555C55E0A0EA}"/>
                </a:ext>
              </a:extLst>
            </xdr:cNvPr>
            <xdr:cNvSpPr txBox="1"/>
          </xdr:nvSpPr>
          <xdr:spPr>
            <a:xfrm>
              <a:off x="173567" y="5432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110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F6375292-8E93-4662-87D4-5E330B4B9429}"/>
                </a:ext>
              </a:extLst>
            </xdr:cNvPr>
            <xdr:cNvSpPr txBox="1"/>
          </xdr:nvSpPr>
          <xdr:spPr>
            <a:xfrm>
              <a:off x="173567" y="5622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6" name="TextBox 145">
              <a:extLst>
                <a:ext uri="{FF2B5EF4-FFF2-40B4-BE49-F238E27FC236}">
                  <a16:creationId xmlns:a16="http://schemas.microsoft.com/office/drawing/2014/main" id="{F6375292-8E93-4662-87D4-5E330B4B9429}"/>
                </a:ext>
              </a:extLst>
            </xdr:cNvPr>
            <xdr:cNvSpPr txBox="1"/>
          </xdr:nvSpPr>
          <xdr:spPr>
            <a:xfrm>
              <a:off x="173567" y="5622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111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E5FE80F6-D7B0-47DA-B20B-E08878D35C4C}"/>
                </a:ext>
              </a:extLst>
            </xdr:cNvPr>
            <xdr:cNvSpPr txBox="1"/>
          </xdr:nvSpPr>
          <xdr:spPr>
            <a:xfrm>
              <a:off x="173567" y="5813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E5FE80F6-D7B0-47DA-B20B-E08878D35C4C}"/>
                </a:ext>
              </a:extLst>
            </xdr:cNvPr>
            <xdr:cNvSpPr txBox="1"/>
          </xdr:nvSpPr>
          <xdr:spPr>
            <a:xfrm>
              <a:off x="173567" y="5813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112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4C8623C5-21CF-4B00-81AF-193ECA48B87E}"/>
                </a:ext>
              </a:extLst>
            </xdr:cNvPr>
            <xdr:cNvSpPr txBox="1"/>
          </xdr:nvSpPr>
          <xdr:spPr>
            <a:xfrm>
              <a:off x="173567" y="6003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4C8623C5-21CF-4B00-81AF-193ECA48B87E}"/>
                </a:ext>
              </a:extLst>
            </xdr:cNvPr>
            <xdr:cNvSpPr txBox="1"/>
          </xdr:nvSpPr>
          <xdr:spPr>
            <a:xfrm>
              <a:off x="173567" y="6003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113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CC9839CA-BDA2-4665-9030-E0596DCBC2C6}"/>
                </a:ext>
              </a:extLst>
            </xdr:cNvPr>
            <xdr:cNvSpPr txBox="1"/>
          </xdr:nvSpPr>
          <xdr:spPr>
            <a:xfrm>
              <a:off x="173567" y="6194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CC9839CA-BDA2-4665-9030-E0596DCBC2C6}"/>
                </a:ext>
              </a:extLst>
            </xdr:cNvPr>
            <xdr:cNvSpPr txBox="1"/>
          </xdr:nvSpPr>
          <xdr:spPr>
            <a:xfrm>
              <a:off x="173567" y="6194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147319</xdr:colOff>
      <xdr:row>114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66A7745A-0D91-4202-8687-7F072B320DAA}"/>
                </a:ext>
              </a:extLst>
            </xdr:cNvPr>
            <xdr:cNvSpPr txBox="1"/>
          </xdr:nvSpPr>
          <xdr:spPr>
            <a:xfrm>
              <a:off x="147319" y="6384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66A7745A-0D91-4202-8687-7F072B320DAA}"/>
                </a:ext>
              </a:extLst>
            </xdr:cNvPr>
            <xdr:cNvSpPr txBox="1"/>
          </xdr:nvSpPr>
          <xdr:spPr>
            <a:xfrm>
              <a:off x="147319" y="6384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917144F7-5EC4-45E5-91DC-3E1EB9E0F2C1}"/>
                </a:ext>
              </a:extLst>
            </xdr:cNvPr>
            <xdr:cNvSpPr txBox="1"/>
          </xdr:nvSpPr>
          <xdr:spPr>
            <a:xfrm>
              <a:off x="9508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917144F7-5EC4-45E5-91DC-3E1EB9E0F2C1}"/>
                </a:ext>
              </a:extLst>
            </xdr:cNvPr>
            <xdr:cNvSpPr txBox="1"/>
          </xdr:nvSpPr>
          <xdr:spPr>
            <a:xfrm>
              <a:off x="9508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9CAC927B-7BAF-461D-A3AC-07C86754A737}"/>
                </a:ext>
              </a:extLst>
            </xdr:cNvPr>
            <xdr:cNvSpPr txBox="1"/>
          </xdr:nvSpPr>
          <xdr:spPr>
            <a:xfrm>
              <a:off x="18271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9CAC927B-7BAF-461D-A3AC-07C86754A737}"/>
                </a:ext>
              </a:extLst>
            </xdr:cNvPr>
            <xdr:cNvSpPr txBox="1"/>
          </xdr:nvSpPr>
          <xdr:spPr>
            <a:xfrm>
              <a:off x="18271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A1721B8A-5CCB-446D-A2D7-52D03AD80DDB}"/>
                </a:ext>
              </a:extLst>
            </xdr:cNvPr>
            <xdr:cNvSpPr txBox="1"/>
          </xdr:nvSpPr>
          <xdr:spPr>
            <a:xfrm>
              <a:off x="27034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A1721B8A-5CCB-446D-A2D7-52D03AD80DDB}"/>
                </a:ext>
              </a:extLst>
            </xdr:cNvPr>
            <xdr:cNvSpPr txBox="1"/>
          </xdr:nvSpPr>
          <xdr:spPr>
            <a:xfrm>
              <a:off x="27034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E424FE46-E6DE-4374-8892-C439754A2C25}"/>
                </a:ext>
              </a:extLst>
            </xdr:cNvPr>
            <xdr:cNvSpPr txBox="1"/>
          </xdr:nvSpPr>
          <xdr:spPr>
            <a:xfrm>
              <a:off x="35797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4" name="TextBox 153">
              <a:extLst>
                <a:ext uri="{FF2B5EF4-FFF2-40B4-BE49-F238E27FC236}">
                  <a16:creationId xmlns:a16="http://schemas.microsoft.com/office/drawing/2014/main" id="{E424FE46-E6DE-4374-8892-C439754A2C25}"/>
                </a:ext>
              </a:extLst>
            </xdr:cNvPr>
            <xdr:cNvSpPr txBox="1"/>
          </xdr:nvSpPr>
          <xdr:spPr>
            <a:xfrm>
              <a:off x="35797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2EB4DB4A-3361-48F1-9E65-4D14373CBFBA}"/>
                </a:ext>
              </a:extLst>
            </xdr:cNvPr>
            <xdr:cNvSpPr txBox="1"/>
          </xdr:nvSpPr>
          <xdr:spPr>
            <a:xfrm>
              <a:off x="44560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5" name="TextBox 154">
              <a:extLst>
                <a:ext uri="{FF2B5EF4-FFF2-40B4-BE49-F238E27FC236}">
                  <a16:creationId xmlns:a16="http://schemas.microsoft.com/office/drawing/2014/main" id="{2EB4DB4A-3361-48F1-9E65-4D14373CBFBA}"/>
                </a:ext>
              </a:extLst>
            </xdr:cNvPr>
            <xdr:cNvSpPr txBox="1"/>
          </xdr:nvSpPr>
          <xdr:spPr>
            <a:xfrm>
              <a:off x="44560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955FCDED-B152-47D7-90CF-55EFE12D9977}"/>
                </a:ext>
              </a:extLst>
            </xdr:cNvPr>
            <xdr:cNvSpPr txBox="1"/>
          </xdr:nvSpPr>
          <xdr:spPr>
            <a:xfrm>
              <a:off x="53323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955FCDED-B152-47D7-90CF-55EFE12D9977}"/>
                </a:ext>
              </a:extLst>
            </xdr:cNvPr>
            <xdr:cNvSpPr txBox="1"/>
          </xdr:nvSpPr>
          <xdr:spPr>
            <a:xfrm>
              <a:off x="53323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313CC88D-1718-48B7-A1E5-AB3EB2FEEDBA}"/>
                </a:ext>
              </a:extLst>
            </xdr:cNvPr>
            <xdr:cNvSpPr txBox="1"/>
          </xdr:nvSpPr>
          <xdr:spPr>
            <a:xfrm>
              <a:off x="62086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313CC88D-1718-48B7-A1E5-AB3EB2FEEDBA}"/>
                </a:ext>
              </a:extLst>
            </xdr:cNvPr>
            <xdr:cNvSpPr txBox="1"/>
          </xdr:nvSpPr>
          <xdr:spPr>
            <a:xfrm>
              <a:off x="62086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832B6C32-3AB9-4D80-A896-2CAF5EB701AE}"/>
                </a:ext>
              </a:extLst>
            </xdr:cNvPr>
            <xdr:cNvSpPr txBox="1"/>
          </xdr:nvSpPr>
          <xdr:spPr>
            <a:xfrm>
              <a:off x="70849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832B6C32-3AB9-4D80-A896-2CAF5EB701AE}"/>
                </a:ext>
              </a:extLst>
            </xdr:cNvPr>
            <xdr:cNvSpPr txBox="1"/>
          </xdr:nvSpPr>
          <xdr:spPr>
            <a:xfrm>
              <a:off x="70849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A1974C24-65E9-449D-9F14-9136BFC322FA}"/>
                </a:ext>
              </a:extLst>
            </xdr:cNvPr>
            <xdr:cNvSpPr txBox="1"/>
          </xdr:nvSpPr>
          <xdr:spPr>
            <a:xfrm>
              <a:off x="79612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A1974C24-65E9-449D-9F14-9136BFC322FA}"/>
                </a:ext>
              </a:extLst>
            </xdr:cNvPr>
            <xdr:cNvSpPr txBox="1"/>
          </xdr:nvSpPr>
          <xdr:spPr>
            <a:xfrm>
              <a:off x="79612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104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92C9FF5F-650D-40BB-9085-57E32F649D2B}"/>
                </a:ext>
              </a:extLst>
            </xdr:cNvPr>
            <xdr:cNvSpPr txBox="1"/>
          </xdr:nvSpPr>
          <xdr:spPr>
            <a:xfrm>
              <a:off x="8837507" y="4479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92C9FF5F-650D-40BB-9085-57E32F649D2B}"/>
                </a:ext>
              </a:extLst>
            </xdr:cNvPr>
            <xdr:cNvSpPr txBox="1"/>
          </xdr:nvSpPr>
          <xdr:spPr>
            <a:xfrm>
              <a:off x="8837507" y="4479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304800</xdr:colOff>
      <xdr:row>120</xdr:row>
      <xdr:rowOff>152400</xdr:rowOff>
    </xdr:from>
    <xdr:ext cx="1927194" cy="2538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42BEF0B6-E0FF-4C6A-90C7-0960620B9794}"/>
                </a:ext>
              </a:extLst>
            </xdr:cNvPr>
            <xdr:cNvSpPr txBox="1"/>
          </xdr:nvSpPr>
          <xdr:spPr>
            <a:xfrm>
              <a:off x="3543300" y="7490460"/>
              <a:ext cx="1927194" cy="2538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𝝆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𝑪𝒉</m:t>
                        </m:r>
                      </m:sub>
                    </m:sSub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𝒋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uncPr>
                      <m:fName>
                        <m:limLow>
                          <m:limLow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a:rPr lang="en-US" sz="1200" b="1" i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𝐦𝐚𝐱</m:t>
                            </m:r>
                          </m:e>
                          <m:lim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𝒓</m:t>
                            </m:r>
                          </m:lim>
                        </m:limLow>
                      </m:fName>
                      <m:e>
                        <m:d>
                          <m:dPr>
                            <m:begChr m:val="|"/>
                            <m:endChr m:val="|"/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𝒙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𝒊𝒓</m:t>
                                </m:r>
                              </m:sub>
                            </m:sSub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𝒙</m:t>
                                </m:r>
                              </m:e>
                              <m: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𝒋𝒓</m:t>
                                </m:r>
                              </m:sub>
                            </m:sSub>
                          </m:e>
                        </m:d>
                      </m:e>
                    </m:func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42BEF0B6-E0FF-4C6A-90C7-0960620B9794}"/>
                </a:ext>
              </a:extLst>
            </xdr:cNvPr>
            <xdr:cNvSpPr txBox="1"/>
          </xdr:nvSpPr>
          <xdr:spPr>
            <a:xfrm>
              <a:off x="3543300" y="7490460"/>
              <a:ext cx="1927194" cy="2538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𝝆_𝑪𝒉 (𝑺_𝒊,𝑺_𝒋 )=(𝐦𝐚𝐱)┬𝒓⁡|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𝒙_𝒊𝒓−𝒙_𝒋𝒓 |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0</xdr:col>
      <xdr:colOff>173567</xdr:colOff>
      <xdr:row>125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CD6346A3-9DEF-4337-A6B4-2FC29F23EAC5}"/>
                </a:ext>
              </a:extLst>
            </xdr:cNvPr>
            <xdr:cNvSpPr txBox="1"/>
          </xdr:nvSpPr>
          <xdr:spPr>
            <a:xfrm>
              <a:off x="173567" y="848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CD6346A3-9DEF-4337-A6B4-2FC29F23EAC5}"/>
                </a:ext>
              </a:extLst>
            </xdr:cNvPr>
            <xdr:cNvSpPr txBox="1"/>
          </xdr:nvSpPr>
          <xdr:spPr>
            <a:xfrm>
              <a:off x="173567" y="848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126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A89641E9-41D6-4963-BC6E-9F9740D89852}"/>
                </a:ext>
              </a:extLst>
            </xdr:cNvPr>
            <xdr:cNvSpPr txBox="1"/>
          </xdr:nvSpPr>
          <xdr:spPr>
            <a:xfrm>
              <a:off x="173567" y="867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A89641E9-41D6-4963-BC6E-9F9740D89852}"/>
                </a:ext>
              </a:extLst>
            </xdr:cNvPr>
            <xdr:cNvSpPr txBox="1"/>
          </xdr:nvSpPr>
          <xdr:spPr>
            <a:xfrm>
              <a:off x="173567" y="867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127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69D9CF67-4BFA-4CCE-B50A-63FD467B847B}"/>
                </a:ext>
              </a:extLst>
            </xdr:cNvPr>
            <xdr:cNvSpPr txBox="1"/>
          </xdr:nvSpPr>
          <xdr:spPr>
            <a:xfrm>
              <a:off x="173567" y="8861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69D9CF67-4BFA-4CCE-B50A-63FD467B847B}"/>
                </a:ext>
              </a:extLst>
            </xdr:cNvPr>
            <xdr:cNvSpPr txBox="1"/>
          </xdr:nvSpPr>
          <xdr:spPr>
            <a:xfrm>
              <a:off x="173567" y="8861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128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1A32F153-A526-4047-9681-D113B1647E8D}"/>
                </a:ext>
              </a:extLst>
            </xdr:cNvPr>
            <xdr:cNvSpPr txBox="1"/>
          </xdr:nvSpPr>
          <xdr:spPr>
            <a:xfrm>
              <a:off x="173567" y="9051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1A32F153-A526-4047-9681-D113B1647E8D}"/>
                </a:ext>
              </a:extLst>
            </xdr:cNvPr>
            <xdr:cNvSpPr txBox="1"/>
          </xdr:nvSpPr>
          <xdr:spPr>
            <a:xfrm>
              <a:off x="173567" y="9051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129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072B903F-980D-4A1A-8ECA-53EC72D9D3EC}"/>
                </a:ext>
              </a:extLst>
            </xdr:cNvPr>
            <xdr:cNvSpPr txBox="1"/>
          </xdr:nvSpPr>
          <xdr:spPr>
            <a:xfrm>
              <a:off x="173567" y="9242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072B903F-980D-4A1A-8ECA-53EC72D9D3EC}"/>
                </a:ext>
              </a:extLst>
            </xdr:cNvPr>
            <xdr:cNvSpPr txBox="1"/>
          </xdr:nvSpPr>
          <xdr:spPr>
            <a:xfrm>
              <a:off x="173567" y="9242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130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FE068AF2-F4A1-4D1B-9548-139A49F45903}"/>
                </a:ext>
              </a:extLst>
            </xdr:cNvPr>
            <xdr:cNvSpPr txBox="1"/>
          </xdr:nvSpPr>
          <xdr:spPr>
            <a:xfrm>
              <a:off x="173567" y="9432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FE068AF2-F4A1-4D1B-9548-139A49F45903}"/>
                </a:ext>
              </a:extLst>
            </xdr:cNvPr>
            <xdr:cNvSpPr txBox="1"/>
          </xdr:nvSpPr>
          <xdr:spPr>
            <a:xfrm>
              <a:off x="173567" y="9432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131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1BAA5D77-355A-4C87-ADC1-9E897CFE9910}"/>
                </a:ext>
              </a:extLst>
            </xdr:cNvPr>
            <xdr:cNvSpPr txBox="1"/>
          </xdr:nvSpPr>
          <xdr:spPr>
            <a:xfrm>
              <a:off x="173567" y="9623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1BAA5D77-355A-4C87-ADC1-9E897CFE9910}"/>
                </a:ext>
              </a:extLst>
            </xdr:cNvPr>
            <xdr:cNvSpPr txBox="1"/>
          </xdr:nvSpPr>
          <xdr:spPr>
            <a:xfrm>
              <a:off x="173567" y="9623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132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38BAFB29-67C1-4221-B595-0B566528CFF3}"/>
                </a:ext>
              </a:extLst>
            </xdr:cNvPr>
            <xdr:cNvSpPr txBox="1"/>
          </xdr:nvSpPr>
          <xdr:spPr>
            <a:xfrm>
              <a:off x="173567" y="9813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38BAFB29-67C1-4221-B595-0B566528CFF3}"/>
                </a:ext>
              </a:extLst>
            </xdr:cNvPr>
            <xdr:cNvSpPr txBox="1"/>
          </xdr:nvSpPr>
          <xdr:spPr>
            <a:xfrm>
              <a:off x="173567" y="9813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133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9AD608AF-6574-4AF8-BE90-84949339F60A}"/>
                </a:ext>
              </a:extLst>
            </xdr:cNvPr>
            <xdr:cNvSpPr txBox="1"/>
          </xdr:nvSpPr>
          <xdr:spPr>
            <a:xfrm>
              <a:off x="173567" y="10004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9AD608AF-6574-4AF8-BE90-84949339F60A}"/>
                </a:ext>
              </a:extLst>
            </xdr:cNvPr>
            <xdr:cNvSpPr txBox="1"/>
          </xdr:nvSpPr>
          <xdr:spPr>
            <a:xfrm>
              <a:off x="173567" y="10004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147319</xdr:colOff>
      <xdr:row>134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42E71075-8251-44BF-AC66-A37DF0BF4088}"/>
                </a:ext>
              </a:extLst>
            </xdr:cNvPr>
            <xdr:cNvSpPr txBox="1"/>
          </xdr:nvSpPr>
          <xdr:spPr>
            <a:xfrm>
              <a:off x="147319" y="10194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42E71075-8251-44BF-AC66-A37DF0BF4088}"/>
                </a:ext>
              </a:extLst>
            </xdr:cNvPr>
            <xdr:cNvSpPr txBox="1"/>
          </xdr:nvSpPr>
          <xdr:spPr>
            <a:xfrm>
              <a:off x="147319" y="10194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1B510D9F-1850-4879-90F7-FC4167BEDFEE}"/>
                </a:ext>
              </a:extLst>
            </xdr:cNvPr>
            <xdr:cNvSpPr txBox="1"/>
          </xdr:nvSpPr>
          <xdr:spPr>
            <a:xfrm>
              <a:off x="9508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1B510D9F-1850-4879-90F7-FC4167BEDFEE}"/>
                </a:ext>
              </a:extLst>
            </xdr:cNvPr>
            <xdr:cNvSpPr txBox="1"/>
          </xdr:nvSpPr>
          <xdr:spPr>
            <a:xfrm>
              <a:off x="9508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B1DFD83D-AD9D-4C0A-BCBA-205F6C29DE18}"/>
                </a:ext>
              </a:extLst>
            </xdr:cNvPr>
            <xdr:cNvSpPr txBox="1"/>
          </xdr:nvSpPr>
          <xdr:spPr>
            <a:xfrm>
              <a:off x="18271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B1DFD83D-AD9D-4C0A-BCBA-205F6C29DE18}"/>
                </a:ext>
              </a:extLst>
            </xdr:cNvPr>
            <xdr:cNvSpPr txBox="1"/>
          </xdr:nvSpPr>
          <xdr:spPr>
            <a:xfrm>
              <a:off x="18271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9154BA63-42C8-4985-B4CC-2015BEFE0DD4}"/>
                </a:ext>
              </a:extLst>
            </xdr:cNvPr>
            <xdr:cNvSpPr txBox="1"/>
          </xdr:nvSpPr>
          <xdr:spPr>
            <a:xfrm>
              <a:off x="27034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9154BA63-42C8-4985-B4CC-2015BEFE0DD4}"/>
                </a:ext>
              </a:extLst>
            </xdr:cNvPr>
            <xdr:cNvSpPr txBox="1"/>
          </xdr:nvSpPr>
          <xdr:spPr>
            <a:xfrm>
              <a:off x="27034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231D634A-87A7-4983-A02C-4C798D2428B6}"/>
                </a:ext>
              </a:extLst>
            </xdr:cNvPr>
            <xdr:cNvSpPr txBox="1"/>
          </xdr:nvSpPr>
          <xdr:spPr>
            <a:xfrm>
              <a:off x="35797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231D634A-87A7-4983-A02C-4C798D2428B6}"/>
                </a:ext>
              </a:extLst>
            </xdr:cNvPr>
            <xdr:cNvSpPr txBox="1"/>
          </xdr:nvSpPr>
          <xdr:spPr>
            <a:xfrm>
              <a:off x="35797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24BE0260-2987-4256-94E5-28229416613C}"/>
                </a:ext>
              </a:extLst>
            </xdr:cNvPr>
            <xdr:cNvSpPr txBox="1"/>
          </xdr:nvSpPr>
          <xdr:spPr>
            <a:xfrm>
              <a:off x="44560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24BE0260-2987-4256-94E5-28229416613C}"/>
                </a:ext>
              </a:extLst>
            </xdr:cNvPr>
            <xdr:cNvSpPr txBox="1"/>
          </xdr:nvSpPr>
          <xdr:spPr>
            <a:xfrm>
              <a:off x="44560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8F62FE66-BF41-4037-BA46-E4A8AAA9B025}"/>
                </a:ext>
              </a:extLst>
            </xdr:cNvPr>
            <xdr:cNvSpPr txBox="1"/>
          </xdr:nvSpPr>
          <xdr:spPr>
            <a:xfrm>
              <a:off x="53323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8F62FE66-BF41-4037-BA46-E4A8AAA9B025}"/>
                </a:ext>
              </a:extLst>
            </xdr:cNvPr>
            <xdr:cNvSpPr txBox="1"/>
          </xdr:nvSpPr>
          <xdr:spPr>
            <a:xfrm>
              <a:off x="53323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8" name="TextBox 177">
              <a:extLst>
                <a:ext uri="{FF2B5EF4-FFF2-40B4-BE49-F238E27FC236}">
                  <a16:creationId xmlns:a16="http://schemas.microsoft.com/office/drawing/2014/main" id="{BE0EED26-E711-43E6-981D-CBD84959A476}"/>
                </a:ext>
              </a:extLst>
            </xdr:cNvPr>
            <xdr:cNvSpPr txBox="1"/>
          </xdr:nvSpPr>
          <xdr:spPr>
            <a:xfrm>
              <a:off x="62086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8" name="TextBox 177">
              <a:extLst>
                <a:ext uri="{FF2B5EF4-FFF2-40B4-BE49-F238E27FC236}">
                  <a16:creationId xmlns:a16="http://schemas.microsoft.com/office/drawing/2014/main" id="{BE0EED26-E711-43E6-981D-CBD84959A476}"/>
                </a:ext>
              </a:extLst>
            </xdr:cNvPr>
            <xdr:cNvSpPr txBox="1"/>
          </xdr:nvSpPr>
          <xdr:spPr>
            <a:xfrm>
              <a:off x="62086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935404D1-B3F3-4D47-848F-77B9E12B8338}"/>
                </a:ext>
              </a:extLst>
            </xdr:cNvPr>
            <xdr:cNvSpPr txBox="1"/>
          </xdr:nvSpPr>
          <xdr:spPr>
            <a:xfrm>
              <a:off x="70849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935404D1-B3F3-4D47-848F-77B9E12B8338}"/>
                </a:ext>
              </a:extLst>
            </xdr:cNvPr>
            <xdr:cNvSpPr txBox="1"/>
          </xdr:nvSpPr>
          <xdr:spPr>
            <a:xfrm>
              <a:off x="70849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0" name="TextBox 179">
              <a:extLst>
                <a:ext uri="{FF2B5EF4-FFF2-40B4-BE49-F238E27FC236}">
                  <a16:creationId xmlns:a16="http://schemas.microsoft.com/office/drawing/2014/main" id="{3B467B6B-F623-4201-B25D-861C91AFFB37}"/>
                </a:ext>
              </a:extLst>
            </xdr:cNvPr>
            <xdr:cNvSpPr txBox="1"/>
          </xdr:nvSpPr>
          <xdr:spPr>
            <a:xfrm>
              <a:off x="79612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0" name="TextBox 179">
              <a:extLst>
                <a:ext uri="{FF2B5EF4-FFF2-40B4-BE49-F238E27FC236}">
                  <a16:creationId xmlns:a16="http://schemas.microsoft.com/office/drawing/2014/main" id="{3B467B6B-F623-4201-B25D-861C91AFFB37}"/>
                </a:ext>
              </a:extLst>
            </xdr:cNvPr>
            <xdr:cNvSpPr txBox="1"/>
          </xdr:nvSpPr>
          <xdr:spPr>
            <a:xfrm>
              <a:off x="79612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124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43168FBD-0D2B-480D-9A44-917930408785}"/>
                </a:ext>
              </a:extLst>
            </xdr:cNvPr>
            <xdr:cNvSpPr txBox="1"/>
          </xdr:nvSpPr>
          <xdr:spPr>
            <a:xfrm>
              <a:off x="8837507" y="8289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43168FBD-0D2B-480D-9A44-917930408785}"/>
                </a:ext>
              </a:extLst>
            </xdr:cNvPr>
            <xdr:cNvSpPr txBox="1"/>
          </xdr:nvSpPr>
          <xdr:spPr>
            <a:xfrm>
              <a:off x="8837507" y="8289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146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2" name="TextBox 181">
              <a:extLst>
                <a:ext uri="{FF2B5EF4-FFF2-40B4-BE49-F238E27FC236}">
                  <a16:creationId xmlns:a16="http://schemas.microsoft.com/office/drawing/2014/main" id="{672A09F5-4A94-4362-AEFA-8CF113D311E0}"/>
                </a:ext>
              </a:extLst>
            </xdr:cNvPr>
            <xdr:cNvSpPr txBox="1"/>
          </xdr:nvSpPr>
          <xdr:spPr>
            <a:xfrm>
              <a:off x="173567" y="1248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2" name="TextBox 181">
              <a:extLst>
                <a:ext uri="{FF2B5EF4-FFF2-40B4-BE49-F238E27FC236}">
                  <a16:creationId xmlns:a16="http://schemas.microsoft.com/office/drawing/2014/main" id="{672A09F5-4A94-4362-AEFA-8CF113D311E0}"/>
                </a:ext>
              </a:extLst>
            </xdr:cNvPr>
            <xdr:cNvSpPr txBox="1"/>
          </xdr:nvSpPr>
          <xdr:spPr>
            <a:xfrm>
              <a:off x="173567" y="1248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147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826FE977-FDDC-4242-8156-E39E9D8FB5B2}"/>
                </a:ext>
              </a:extLst>
            </xdr:cNvPr>
            <xdr:cNvSpPr txBox="1"/>
          </xdr:nvSpPr>
          <xdr:spPr>
            <a:xfrm>
              <a:off x="173567" y="12671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826FE977-FDDC-4242-8156-E39E9D8FB5B2}"/>
                </a:ext>
              </a:extLst>
            </xdr:cNvPr>
            <xdr:cNvSpPr txBox="1"/>
          </xdr:nvSpPr>
          <xdr:spPr>
            <a:xfrm>
              <a:off x="173567" y="12671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148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4" name="TextBox 183">
              <a:extLst>
                <a:ext uri="{FF2B5EF4-FFF2-40B4-BE49-F238E27FC236}">
                  <a16:creationId xmlns:a16="http://schemas.microsoft.com/office/drawing/2014/main" id="{4E5F91C6-FF6C-4FE4-8A2D-9DFF6E300EF7}"/>
                </a:ext>
              </a:extLst>
            </xdr:cNvPr>
            <xdr:cNvSpPr txBox="1"/>
          </xdr:nvSpPr>
          <xdr:spPr>
            <a:xfrm>
              <a:off x="173567" y="12861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4" name="TextBox 183">
              <a:extLst>
                <a:ext uri="{FF2B5EF4-FFF2-40B4-BE49-F238E27FC236}">
                  <a16:creationId xmlns:a16="http://schemas.microsoft.com/office/drawing/2014/main" id="{4E5F91C6-FF6C-4FE4-8A2D-9DFF6E300EF7}"/>
                </a:ext>
              </a:extLst>
            </xdr:cNvPr>
            <xdr:cNvSpPr txBox="1"/>
          </xdr:nvSpPr>
          <xdr:spPr>
            <a:xfrm>
              <a:off x="173567" y="12861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149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AC99CF94-581D-4490-B4FE-E889763E17D3}"/>
                </a:ext>
              </a:extLst>
            </xdr:cNvPr>
            <xdr:cNvSpPr txBox="1"/>
          </xdr:nvSpPr>
          <xdr:spPr>
            <a:xfrm>
              <a:off x="173567" y="13052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AC99CF94-581D-4490-B4FE-E889763E17D3}"/>
                </a:ext>
              </a:extLst>
            </xdr:cNvPr>
            <xdr:cNvSpPr txBox="1"/>
          </xdr:nvSpPr>
          <xdr:spPr>
            <a:xfrm>
              <a:off x="173567" y="13052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150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6" name="TextBox 185">
              <a:extLst>
                <a:ext uri="{FF2B5EF4-FFF2-40B4-BE49-F238E27FC236}">
                  <a16:creationId xmlns:a16="http://schemas.microsoft.com/office/drawing/2014/main" id="{58F8EDD1-2148-42A0-AFCE-41CE81CD8D1C}"/>
                </a:ext>
              </a:extLst>
            </xdr:cNvPr>
            <xdr:cNvSpPr txBox="1"/>
          </xdr:nvSpPr>
          <xdr:spPr>
            <a:xfrm>
              <a:off x="173567" y="13242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6" name="TextBox 185">
              <a:extLst>
                <a:ext uri="{FF2B5EF4-FFF2-40B4-BE49-F238E27FC236}">
                  <a16:creationId xmlns:a16="http://schemas.microsoft.com/office/drawing/2014/main" id="{58F8EDD1-2148-42A0-AFCE-41CE81CD8D1C}"/>
                </a:ext>
              </a:extLst>
            </xdr:cNvPr>
            <xdr:cNvSpPr txBox="1"/>
          </xdr:nvSpPr>
          <xdr:spPr>
            <a:xfrm>
              <a:off x="173567" y="13242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151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7" name="TextBox 186">
              <a:extLst>
                <a:ext uri="{FF2B5EF4-FFF2-40B4-BE49-F238E27FC236}">
                  <a16:creationId xmlns:a16="http://schemas.microsoft.com/office/drawing/2014/main" id="{BF768636-209B-485D-94EF-BCBF4A3F3F0E}"/>
                </a:ext>
              </a:extLst>
            </xdr:cNvPr>
            <xdr:cNvSpPr txBox="1"/>
          </xdr:nvSpPr>
          <xdr:spPr>
            <a:xfrm>
              <a:off x="173567" y="13433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7" name="TextBox 186">
              <a:extLst>
                <a:ext uri="{FF2B5EF4-FFF2-40B4-BE49-F238E27FC236}">
                  <a16:creationId xmlns:a16="http://schemas.microsoft.com/office/drawing/2014/main" id="{BF768636-209B-485D-94EF-BCBF4A3F3F0E}"/>
                </a:ext>
              </a:extLst>
            </xdr:cNvPr>
            <xdr:cNvSpPr txBox="1"/>
          </xdr:nvSpPr>
          <xdr:spPr>
            <a:xfrm>
              <a:off x="173567" y="13433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152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BF24C881-3106-4781-8502-A6A6BBDB9A54}"/>
                </a:ext>
              </a:extLst>
            </xdr:cNvPr>
            <xdr:cNvSpPr txBox="1"/>
          </xdr:nvSpPr>
          <xdr:spPr>
            <a:xfrm>
              <a:off x="173567" y="13623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BF24C881-3106-4781-8502-A6A6BBDB9A54}"/>
                </a:ext>
              </a:extLst>
            </xdr:cNvPr>
            <xdr:cNvSpPr txBox="1"/>
          </xdr:nvSpPr>
          <xdr:spPr>
            <a:xfrm>
              <a:off x="173567" y="13623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153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2AD8D93B-FDFB-4B69-9295-847811501986}"/>
                </a:ext>
              </a:extLst>
            </xdr:cNvPr>
            <xdr:cNvSpPr txBox="1"/>
          </xdr:nvSpPr>
          <xdr:spPr>
            <a:xfrm>
              <a:off x="173567" y="13814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2AD8D93B-FDFB-4B69-9295-847811501986}"/>
                </a:ext>
              </a:extLst>
            </xdr:cNvPr>
            <xdr:cNvSpPr txBox="1"/>
          </xdr:nvSpPr>
          <xdr:spPr>
            <a:xfrm>
              <a:off x="173567" y="13814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154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B424AD4B-415B-418D-9D27-426925D2187B}"/>
                </a:ext>
              </a:extLst>
            </xdr:cNvPr>
            <xdr:cNvSpPr txBox="1"/>
          </xdr:nvSpPr>
          <xdr:spPr>
            <a:xfrm>
              <a:off x="173567" y="14004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B424AD4B-415B-418D-9D27-426925D2187B}"/>
                </a:ext>
              </a:extLst>
            </xdr:cNvPr>
            <xdr:cNvSpPr txBox="1"/>
          </xdr:nvSpPr>
          <xdr:spPr>
            <a:xfrm>
              <a:off x="173567" y="14004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147319</xdr:colOff>
      <xdr:row>155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A8CD5A17-0A19-4759-8F9A-4B4F9CBA07A5}"/>
                </a:ext>
              </a:extLst>
            </xdr:cNvPr>
            <xdr:cNvSpPr txBox="1"/>
          </xdr:nvSpPr>
          <xdr:spPr>
            <a:xfrm>
              <a:off x="147319" y="141952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A8CD5A17-0A19-4759-8F9A-4B4F9CBA07A5}"/>
                </a:ext>
              </a:extLst>
            </xdr:cNvPr>
            <xdr:cNvSpPr txBox="1"/>
          </xdr:nvSpPr>
          <xdr:spPr>
            <a:xfrm>
              <a:off x="147319" y="141952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2" name="TextBox 191">
              <a:extLst>
                <a:ext uri="{FF2B5EF4-FFF2-40B4-BE49-F238E27FC236}">
                  <a16:creationId xmlns:a16="http://schemas.microsoft.com/office/drawing/2014/main" id="{AC0FD83F-2273-45E3-9A07-2A55F1A962A8}"/>
                </a:ext>
              </a:extLst>
            </xdr:cNvPr>
            <xdr:cNvSpPr txBox="1"/>
          </xdr:nvSpPr>
          <xdr:spPr>
            <a:xfrm>
              <a:off x="9508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2" name="TextBox 191">
              <a:extLst>
                <a:ext uri="{FF2B5EF4-FFF2-40B4-BE49-F238E27FC236}">
                  <a16:creationId xmlns:a16="http://schemas.microsoft.com/office/drawing/2014/main" id="{AC0FD83F-2273-45E3-9A07-2A55F1A962A8}"/>
                </a:ext>
              </a:extLst>
            </xdr:cNvPr>
            <xdr:cNvSpPr txBox="1"/>
          </xdr:nvSpPr>
          <xdr:spPr>
            <a:xfrm>
              <a:off x="9508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28A716CC-3EA4-4E0E-96CF-CA6A5EDD9F08}"/>
                </a:ext>
              </a:extLst>
            </xdr:cNvPr>
            <xdr:cNvSpPr txBox="1"/>
          </xdr:nvSpPr>
          <xdr:spPr>
            <a:xfrm>
              <a:off x="18271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28A716CC-3EA4-4E0E-96CF-CA6A5EDD9F08}"/>
                </a:ext>
              </a:extLst>
            </xdr:cNvPr>
            <xdr:cNvSpPr txBox="1"/>
          </xdr:nvSpPr>
          <xdr:spPr>
            <a:xfrm>
              <a:off x="18271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4" name="TextBox 193">
              <a:extLst>
                <a:ext uri="{FF2B5EF4-FFF2-40B4-BE49-F238E27FC236}">
                  <a16:creationId xmlns:a16="http://schemas.microsoft.com/office/drawing/2014/main" id="{6FCEA010-CAAE-4F3A-81C3-49C47D07A906}"/>
                </a:ext>
              </a:extLst>
            </xdr:cNvPr>
            <xdr:cNvSpPr txBox="1"/>
          </xdr:nvSpPr>
          <xdr:spPr>
            <a:xfrm>
              <a:off x="27034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4" name="TextBox 193">
              <a:extLst>
                <a:ext uri="{FF2B5EF4-FFF2-40B4-BE49-F238E27FC236}">
                  <a16:creationId xmlns:a16="http://schemas.microsoft.com/office/drawing/2014/main" id="{6FCEA010-CAAE-4F3A-81C3-49C47D07A906}"/>
                </a:ext>
              </a:extLst>
            </xdr:cNvPr>
            <xdr:cNvSpPr txBox="1"/>
          </xdr:nvSpPr>
          <xdr:spPr>
            <a:xfrm>
              <a:off x="27034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309A392F-D16F-4035-A16F-12B72F1D2AC1}"/>
                </a:ext>
              </a:extLst>
            </xdr:cNvPr>
            <xdr:cNvSpPr txBox="1"/>
          </xdr:nvSpPr>
          <xdr:spPr>
            <a:xfrm>
              <a:off x="35797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309A392F-D16F-4035-A16F-12B72F1D2AC1}"/>
                </a:ext>
              </a:extLst>
            </xdr:cNvPr>
            <xdr:cNvSpPr txBox="1"/>
          </xdr:nvSpPr>
          <xdr:spPr>
            <a:xfrm>
              <a:off x="35797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9EDCA64A-D101-4A9B-8E17-E92A5852DD82}"/>
                </a:ext>
              </a:extLst>
            </xdr:cNvPr>
            <xdr:cNvSpPr txBox="1"/>
          </xdr:nvSpPr>
          <xdr:spPr>
            <a:xfrm>
              <a:off x="44560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9EDCA64A-D101-4A9B-8E17-E92A5852DD82}"/>
                </a:ext>
              </a:extLst>
            </xdr:cNvPr>
            <xdr:cNvSpPr txBox="1"/>
          </xdr:nvSpPr>
          <xdr:spPr>
            <a:xfrm>
              <a:off x="44560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7" name="TextBox 196">
              <a:extLst>
                <a:ext uri="{FF2B5EF4-FFF2-40B4-BE49-F238E27FC236}">
                  <a16:creationId xmlns:a16="http://schemas.microsoft.com/office/drawing/2014/main" id="{63EA55F1-50EA-492D-85D8-03A3D08C0C93}"/>
                </a:ext>
              </a:extLst>
            </xdr:cNvPr>
            <xdr:cNvSpPr txBox="1"/>
          </xdr:nvSpPr>
          <xdr:spPr>
            <a:xfrm>
              <a:off x="53323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7" name="TextBox 196">
              <a:extLst>
                <a:ext uri="{FF2B5EF4-FFF2-40B4-BE49-F238E27FC236}">
                  <a16:creationId xmlns:a16="http://schemas.microsoft.com/office/drawing/2014/main" id="{63EA55F1-50EA-492D-85D8-03A3D08C0C93}"/>
                </a:ext>
              </a:extLst>
            </xdr:cNvPr>
            <xdr:cNvSpPr txBox="1"/>
          </xdr:nvSpPr>
          <xdr:spPr>
            <a:xfrm>
              <a:off x="53323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8" name="TextBox 197">
              <a:extLst>
                <a:ext uri="{FF2B5EF4-FFF2-40B4-BE49-F238E27FC236}">
                  <a16:creationId xmlns:a16="http://schemas.microsoft.com/office/drawing/2014/main" id="{CF9B556C-2A7C-43FC-A92D-6796AAFCF935}"/>
                </a:ext>
              </a:extLst>
            </xdr:cNvPr>
            <xdr:cNvSpPr txBox="1"/>
          </xdr:nvSpPr>
          <xdr:spPr>
            <a:xfrm>
              <a:off x="62086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8" name="TextBox 197">
              <a:extLst>
                <a:ext uri="{FF2B5EF4-FFF2-40B4-BE49-F238E27FC236}">
                  <a16:creationId xmlns:a16="http://schemas.microsoft.com/office/drawing/2014/main" id="{CF9B556C-2A7C-43FC-A92D-6796AAFCF935}"/>
                </a:ext>
              </a:extLst>
            </xdr:cNvPr>
            <xdr:cNvSpPr txBox="1"/>
          </xdr:nvSpPr>
          <xdr:spPr>
            <a:xfrm>
              <a:off x="62086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9" name="TextBox 198">
              <a:extLst>
                <a:ext uri="{FF2B5EF4-FFF2-40B4-BE49-F238E27FC236}">
                  <a16:creationId xmlns:a16="http://schemas.microsoft.com/office/drawing/2014/main" id="{EAB2C1EE-50CE-419F-9542-101C788CFA5A}"/>
                </a:ext>
              </a:extLst>
            </xdr:cNvPr>
            <xdr:cNvSpPr txBox="1"/>
          </xdr:nvSpPr>
          <xdr:spPr>
            <a:xfrm>
              <a:off x="70849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9" name="TextBox 198">
              <a:extLst>
                <a:ext uri="{FF2B5EF4-FFF2-40B4-BE49-F238E27FC236}">
                  <a16:creationId xmlns:a16="http://schemas.microsoft.com/office/drawing/2014/main" id="{EAB2C1EE-50CE-419F-9542-101C788CFA5A}"/>
                </a:ext>
              </a:extLst>
            </xdr:cNvPr>
            <xdr:cNvSpPr txBox="1"/>
          </xdr:nvSpPr>
          <xdr:spPr>
            <a:xfrm>
              <a:off x="70849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0" name="TextBox 199">
              <a:extLst>
                <a:ext uri="{FF2B5EF4-FFF2-40B4-BE49-F238E27FC236}">
                  <a16:creationId xmlns:a16="http://schemas.microsoft.com/office/drawing/2014/main" id="{A5F03A9C-0898-487A-9E91-DA6136934243}"/>
                </a:ext>
              </a:extLst>
            </xdr:cNvPr>
            <xdr:cNvSpPr txBox="1"/>
          </xdr:nvSpPr>
          <xdr:spPr>
            <a:xfrm>
              <a:off x="79612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0" name="TextBox 199">
              <a:extLst>
                <a:ext uri="{FF2B5EF4-FFF2-40B4-BE49-F238E27FC236}">
                  <a16:creationId xmlns:a16="http://schemas.microsoft.com/office/drawing/2014/main" id="{A5F03A9C-0898-487A-9E91-DA6136934243}"/>
                </a:ext>
              </a:extLst>
            </xdr:cNvPr>
            <xdr:cNvSpPr txBox="1"/>
          </xdr:nvSpPr>
          <xdr:spPr>
            <a:xfrm>
              <a:off x="79612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1" name="TextBox 200">
              <a:extLst>
                <a:ext uri="{FF2B5EF4-FFF2-40B4-BE49-F238E27FC236}">
                  <a16:creationId xmlns:a16="http://schemas.microsoft.com/office/drawing/2014/main" id="{D2712AAF-B4BF-48C0-8F94-42B398547818}"/>
                </a:ext>
              </a:extLst>
            </xdr:cNvPr>
            <xdr:cNvSpPr txBox="1"/>
          </xdr:nvSpPr>
          <xdr:spPr>
            <a:xfrm>
              <a:off x="8837507" y="122902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1" name="TextBox 200">
              <a:extLst>
                <a:ext uri="{FF2B5EF4-FFF2-40B4-BE49-F238E27FC236}">
                  <a16:creationId xmlns:a16="http://schemas.microsoft.com/office/drawing/2014/main" id="{D2712AAF-B4BF-48C0-8F94-42B398547818}"/>
                </a:ext>
              </a:extLst>
            </xdr:cNvPr>
            <xdr:cNvSpPr txBox="1"/>
          </xdr:nvSpPr>
          <xdr:spPr>
            <a:xfrm>
              <a:off x="8837507" y="122902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289560</xdr:colOff>
      <xdr:row>140</xdr:row>
      <xdr:rowOff>121920</xdr:rowOff>
    </xdr:from>
    <xdr:ext cx="2026131" cy="50244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2" name="TextBox 201">
              <a:extLst>
                <a:ext uri="{FF2B5EF4-FFF2-40B4-BE49-F238E27FC236}">
                  <a16:creationId xmlns:a16="http://schemas.microsoft.com/office/drawing/2014/main" id="{C17822B3-F563-4E36-B1A2-9158AF52CBA0}"/>
                </a:ext>
              </a:extLst>
            </xdr:cNvPr>
            <xdr:cNvSpPr txBox="1"/>
          </xdr:nvSpPr>
          <xdr:spPr>
            <a:xfrm>
              <a:off x="3528060" y="11269980"/>
              <a:ext cx="2026131" cy="502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𝝆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𝑪𝒂𝒏</m:t>
                        </m:r>
                      </m:sub>
                    </m:sSub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𝑺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𝒋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𝒓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=</m:t>
                        </m:r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𝟏</m:t>
                        </m:r>
                      </m:sub>
                      <m:sup>
                        <m:r>
                          <a:rPr lang="en-US" sz="12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𝒏</m:t>
                        </m:r>
                      </m:sup>
                      <m:e>
                        <m:f>
                          <m:fPr>
                            <m:ctrlP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fPr>
                          <m:num>
                            <m:d>
                              <m:dPr>
                                <m:begChr m:val="|"/>
                                <m:endChr m:val="|"/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𝒙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𝒊𝒓</m:t>
                                    </m:r>
                                  </m:sub>
                                </m:sSub>
                                <m: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𝒙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𝒋𝒓</m:t>
                                    </m:r>
                                  </m:sub>
                                </m:sSub>
                              </m:e>
                            </m:d>
                          </m:num>
                          <m:den>
                            <m:d>
                              <m:dPr>
                                <m:begChr m:val="|"/>
                                <m:endChr m:val="|"/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𝒙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𝒊𝒓</m:t>
                                    </m:r>
                                  </m:sub>
                                </m:sSub>
                              </m:e>
                            </m:d>
                            <m:r>
                              <a:rPr lang="en-US" sz="12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+</m:t>
                            </m:r>
                            <m:d>
                              <m:dPr>
                                <m:begChr m:val="|"/>
                                <m:endChr m:val="|"/>
                                <m:ctrlPr>
                                  <a:rPr lang="en-US" sz="12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𝒙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𝒋𝒓</m:t>
                                    </m:r>
                                  </m:sub>
                                </m:sSub>
                              </m:e>
                            </m:d>
                          </m:den>
                        </m:f>
                      </m:e>
                    </m:nary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2" name="TextBox 201">
              <a:extLst>
                <a:ext uri="{FF2B5EF4-FFF2-40B4-BE49-F238E27FC236}">
                  <a16:creationId xmlns:a16="http://schemas.microsoft.com/office/drawing/2014/main" id="{C17822B3-F563-4E36-B1A2-9158AF52CBA0}"/>
                </a:ext>
              </a:extLst>
            </xdr:cNvPr>
            <xdr:cNvSpPr txBox="1"/>
          </xdr:nvSpPr>
          <xdr:spPr>
            <a:xfrm>
              <a:off x="3528060" y="11269980"/>
              <a:ext cx="2026131" cy="5024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𝝆_𝑪𝒂𝒏 (𝑺_𝒊,𝑺_𝒋 )=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∑_(𝒓=𝟏)^𝒏▒|𝒙_𝒊𝒓−𝒙_𝒋𝒓 |/(|𝒙_𝒊𝒓 |+|𝒙_𝒋𝒓 | 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341207</xdr:colOff>
      <xdr:row>42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3" name="TextBox 202">
              <a:extLst>
                <a:ext uri="{FF2B5EF4-FFF2-40B4-BE49-F238E27FC236}">
                  <a16:creationId xmlns:a16="http://schemas.microsoft.com/office/drawing/2014/main" id="{912F5FA0-BE5F-4913-AEDB-8C89BAD78769}"/>
                </a:ext>
              </a:extLst>
            </xdr:cNvPr>
            <xdr:cNvSpPr txBox="1"/>
          </xdr:nvSpPr>
          <xdr:spPr>
            <a:xfrm>
              <a:off x="9508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3" name="TextBox 202">
              <a:extLst>
                <a:ext uri="{FF2B5EF4-FFF2-40B4-BE49-F238E27FC236}">
                  <a16:creationId xmlns:a16="http://schemas.microsoft.com/office/drawing/2014/main" id="{912F5FA0-BE5F-4913-AEDB-8C89BAD78769}"/>
                </a:ext>
              </a:extLst>
            </xdr:cNvPr>
            <xdr:cNvSpPr txBox="1"/>
          </xdr:nvSpPr>
          <xdr:spPr>
            <a:xfrm>
              <a:off x="9508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42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4" name="TextBox 203">
              <a:extLst>
                <a:ext uri="{FF2B5EF4-FFF2-40B4-BE49-F238E27FC236}">
                  <a16:creationId xmlns:a16="http://schemas.microsoft.com/office/drawing/2014/main" id="{9BB9E0B3-D6EA-45E1-AE17-6CC9AAB8B4BE}"/>
                </a:ext>
              </a:extLst>
            </xdr:cNvPr>
            <xdr:cNvSpPr txBox="1"/>
          </xdr:nvSpPr>
          <xdr:spPr>
            <a:xfrm>
              <a:off x="18271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4" name="TextBox 203">
              <a:extLst>
                <a:ext uri="{FF2B5EF4-FFF2-40B4-BE49-F238E27FC236}">
                  <a16:creationId xmlns:a16="http://schemas.microsoft.com/office/drawing/2014/main" id="{9BB9E0B3-D6EA-45E1-AE17-6CC9AAB8B4BE}"/>
                </a:ext>
              </a:extLst>
            </xdr:cNvPr>
            <xdr:cNvSpPr txBox="1"/>
          </xdr:nvSpPr>
          <xdr:spPr>
            <a:xfrm>
              <a:off x="18271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42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5" name="TextBox 204">
              <a:extLst>
                <a:ext uri="{FF2B5EF4-FFF2-40B4-BE49-F238E27FC236}">
                  <a16:creationId xmlns:a16="http://schemas.microsoft.com/office/drawing/2014/main" id="{E62EDA36-FAD3-4248-BC9F-F60EC29B2C4E}"/>
                </a:ext>
              </a:extLst>
            </xdr:cNvPr>
            <xdr:cNvSpPr txBox="1"/>
          </xdr:nvSpPr>
          <xdr:spPr>
            <a:xfrm>
              <a:off x="27034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5" name="TextBox 204">
              <a:extLst>
                <a:ext uri="{FF2B5EF4-FFF2-40B4-BE49-F238E27FC236}">
                  <a16:creationId xmlns:a16="http://schemas.microsoft.com/office/drawing/2014/main" id="{E62EDA36-FAD3-4248-BC9F-F60EC29B2C4E}"/>
                </a:ext>
              </a:extLst>
            </xdr:cNvPr>
            <xdr:cNvSpPr txBox="1"/>
          </xdr:nvSpPr>
          <xdr:spPr>
            <a:xfrm>
              <a:off x="27034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42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6" name="TextBox 205">
              <a:extLst>
                <a:ext uri="{FF2B5EF4-FFF2-40B4-BE49-F238E27FC236}">
                  <a16:creationId xmlns:a16="http://schemas.microsoft.com/office/drawing/2014/main" id="{D6830146-CAF1-4504-ACAF-FFCB8B690E25}"/>
                </a:ext>
              </a:extLst>
            </xdr:cNvPr>
            <xdr:cNvSpPr txBox="1"/>
          </xdr:nvSpPr>
          <xdr:spPr>
            <a:xfrm>
              <a:off x="35797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6" name="TextBox 205">
              <a:extLst>
                <a:ext uri="{FF2B5EF4-FFF2-40B4-BE49-F238E27FC236}">
                  <a16:creationId xmlns:a16="http://schemas.microsoft.com/office/drawing/2014/main" id="{D6830146-CAF1-4504-ACAF-FFCB8B690E25}"/>
                </a:ext>
              </a:extLst>
            </xdr:cNvPr>
            <xdr:cNvSpPr txBox="1"/>
          </xdr:nvSpPr>
          <xdr:spPr>
            <a:xfrm>
              <a:off x="35797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42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7" name="TextBox 206">
              <a:extLst>
                <a:ext uri="{FF2B5EF4-FFF2-40B4-BE49-F238E27FC236}">
                  <a16:creationId xmlns:a16="http://schemas.microsoft.com/office/drawing/2014/main" id="{38BB407A-50B6-48C8-8ED0-6F0B55C47780}"/>
                </a:ext>
              </a:extLst>
            </xdr:cNvPr>
            <xdr:cNvSpPr txBox="1"/>
          </xdr:nvSpPr>
          <xdr:spPr>
            <a:xfrm>
              <a:off x="44560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7" name="TextBox 206">
              <a:extLst>
                <a:ext uri="{FF2B5EF4-FFF2-40B4-BE49-F238E27FC236}">
                  <a16:creationId xmlns:a16="http://schemas.microsoft.com/office/drawing/2014/main" id="{38BB407A-50B6-48C8-8ED0-6F0B55C47780}"/>
                </a:ext>
              </a:extLst>
            </xdr:cNvPr>
            <xdr:cNvSpPr txBox="1"/>
          </xdr:nvSpPr>
          <xdr:spPr>
            <a:xfrm>
              <a:off x="44560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42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8" name="TextBox 207">
              <a:extLst>
                <a:ext uri="{FF2B5EF4-FFF2-40B4-BE49-F238E27FC236}">
                  <a16:creationId xmlns:a16="http://schemas.microsoft.com/office/drawing/2014/main" id="{96045A1E-5BDE-4BF1-A794-F8668E33CDAE}"/>
                </a:ext>
              </a:extLst>
            </xdr:cNvPr>
            <xdr:cNvSpPr txBox="1"/>
          </xdr:nvSpPr>
          <xdr:spPr>
            <a:xfrm>
              <a:off x="53323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8" name="TextBox 207">
              <a:extLst>
                <a:ext uri="{FF2B5EF4-FFF2-40B4-BE49-F238E27FC236}">
                  <a16:creationId xmlns:a16="http://schemas.microsoft.com/office/drawing/2014/main" id="{96045A1E-5BDE-4BF1-A794-F8668E33CDAE}"/>
                </a:ext>
              </a:extLst>
            </xdr:cNvPr>
            <xdr:cNvSpPr txBox="1"/>
          </xdr:nvSpPr>
          <xdr:spPr>
            <a:xfrm>
              <a:off x="53323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42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9" name="TextBox 208">
              <a:extLst>
                <a:ext uri="{FF2B5EF4-FFF2-40B4-BE49-F238E27FC236}">
                  <a16:creationId xmlns:a16="http://schemas.microsoft.com/office/drawing/2014/main" id="{080D8B3D-8A56-48F4-9C36-9D83393E7343}"/>
                </a:ext>
              </a:extLst>
            </xdr:cNvPr>
            <xdr:cNvSpPr txBox="1"/>
          </xdr:nvSpPr>
          <xdr:spPr>
            <a:xfrm>
              <a:off x="62086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9" name="TextBox 208">
              <a:extLst>
                <a:ext uri="{FF2B5EF4-FFF2-40B4-BE49-F238E27FC236}">
                  <a16:creationId xmlns:a16="http://schemas.microsoft.com/office/drawing/2014/main" id="{080D8B3D-8A56-48F4-9C36-9D83393E7343}"/>
                </a:ext>
              </a:extLst>
            </xdr:cNvPr>
            <xdr:cNvSpPr txBox="1"/>
          </xdr:nvSpPr>
          <xdr:spPr>
            <a:xfrm>
              <a:off x="62086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42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0" name="TextBox 209">
              <a:extLst>
                <a:ext uri="{FF2B5EF4-FFF2-40B4-BE49-F238E27FC236}">
                  <a16:creationId xmlns:a16="http://schemas.microsoft.com/office/drawing/2014/main" id="{74D6C23E-8572-4173-8AE1-1C7A8D563AF7}"/>
                </a:ext>
              </a:extLst>
            </xdr:cNvPr>
            <xdr:cNvSpPr txBox="1"/>
          </xdr:nvSpPr>
          <xdr:spPr>
            <a:xfrm>
              <a:off x="70849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0" name="TextBox 209">
              <a:extLst>
                <a:ext uri="{FF2B5EF4-FFF2-40B4-BE49-F238E27FC236}">
                  <a16:creationId xmlns:a16="http://schemas.microsoft.com/office/drawing/2014/main" id="{74D6C23E-8572-4173-8AE1-1C7A8D563AF7}"/>
                </a:ext>
              </a:extLst>
            </xdr:cNvPr>
            <xdr:cNvSpPr txBox="1"/>
          </xdr:nvSpPr>
          <xdr:spPr>
            <a:xfrm>
              <a:off x="70849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42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1" name="TextBox 210">
              <a:extLst>
                <a:ext uri="{FF2B5EF4-FFF2-40B4-BE49-F238E27FC236}">
                  <a16:creationId xmlns:a16="http://schemas.microsoft.com/office/drawing/2014/main" id="{109D3029-FD65-4DB8-9A9A-15D264FFFE7B}"/>
                </a:ext>
              </a:extLst>
            </xdr:cNvPr>
            <xdr:cNvSpPr txBox="1"/>
          </xdr:nvSpPr>
          <xdr:spPr>
            <a:xfrm>
              <a:off x="79612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1" name="TextBox 210">
              <a:extLst>
                <a:ext uri="{FF2B5EF4-FFF2-40B4-BE49-F238E27FC236}">
                  <a16:creationId xmlns:a16="http://schemas.microsoft.com/office/drawing/2014/main" id="{109D3029-FD65-4DB8-9A9A-15D264FFFE7B}"/>
                </a:ext>
              </a:extLst>
            </xdr:cNvPr>
            <xdr:cNvSpPr txBox="1"/>
          </xdr:nvSpPr>
          <xdr:spPr>
            <a:xfrm>
              <a:off x="79612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42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2" name="TextBox 211">
              <a:extLst>
                <a:ext uri="{FF2B5EF4-FFF2-40B4-BE49-F238E27FC236}">
                  <a16:creationId xmlns:a16="http://schemas.microsoft.com/office/drawing/2014/main" id="{7CC15D84-0F8F-409E-8C94-914D459E0D74}"/>
                </a:ext>
              </a:extLst>
            </xdr:cNvPr>
            <xdr:cNvSpPr txBox="1"/>
          </xdr:nvSpPr>
          <xdr:spPr>
            <a:xfrm>
              <a:off x="8837507" y="4479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2" name="TextBox 211">
              <a:extLst>
                <a:ext uri="{FF2B5EF4-FFF2-40B4-BE49-F238E27FC236}">
                  <a16:creationId xmlns:a16="http://schemas.microsoft.com/office/drawing/2014/main" id="{7CC15D84-0F8F-409E-8C94-914D459E0D74}"/>
                </a:ext>
              </a:extLst>
            </xdr:cNvPr>
            <xdr:cNvSpPr txBox="1"/>
          </xdr:nvSpPr>
          <xdr:spPr>
            <a:xfrm>
              <a:off x="8837507" y="4479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42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3" name="TextBox 212">
              <a:extLst>
                <a:ext uri="{FF2B5EF4-FFF2-40B4-BE49-F238E27FC236}">
                  <a16:creationId xmlns:a16="http://schemas.microsoft.com/office/drawing/2014/main" id="{E2B76156-21BF-4ECC-8890-61428680D9D6}"/>
                </a:ext>
              </a:extLst>
            </xdr:cNvPr>
            <xdr:cNvSpPr txBox="1"/>
          </xdr:nvSpPr>
          <xdr:spPr>
            <a:xfrm>
              <a:off x="9508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3" name="TextBox 212">
              <a:extLst>
                <a:ext uri="{FF2B5EF4-FFF2-40B4-BE49-F238E27FC236}">
                  <a16:creationId xmlns:a16="http://schemas.microsoft.com/office/drawing/2014/main" id="{E2B76156-21BF-4ECC-8890-61428680D9D6}"/>
                </a:ext>
              </a:extLst>
            </xdr:cNvPr>
            <xdr:cNvSpPr txBox="1"/>
          </xdr:nvSpPr>
          <xdr:spPr>
            <a:xfrm>
              <a:off x="9508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42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4" name="TextBox 213">
              <a:extLst>
                <a:ext uri="{FF2B5EF4-FFF2-40B4-BE49-F238E27FC236}">
                  <a16:creationId xmlns:a16="http://schemas.microsoft.com/office/drawing/2014/main" id="{5E0EA6DD-27B1-4371-B3BF-C30B785EAC13}"/>
                </a:ext>
              </a:extLst>
            </xdr:cNvPr>
            <xdr:cNvSpPr txBox="1"/>
          </xdr:nvSpPr>
          <xdr:spPr>
            <a:xfrm>
              <a:off x="18271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4" name="TextBox 213">
              <a:extLst>
                <a:ext uri="{FF2B5EF4-FFF2-40B4-BE49-F238E27FC236}">
                  <a16:creationId xmlns:a16="http://schemas.microsoft.com/office/drawing/2014/main" id="{5E0EA6DD-27B1-4371-B3BF-C30B785EAC13}"/>
                </a:ext>
              </a:extLst>
            </xdr:cNvPr>
            <xdr:cNvSpPr txBox="1"/>
          </xdr:nvSpPr>
          <xdr:spPr>
            <a:xfrm>
              <a:off x="18271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42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5" name="TextBox 214">
              <a:extLst>
                <a:ext uri="{FF2B5EF4-FFF2-40B4-BE49-F238E27FC236}">
                  <a16:creationId xmlns:a16="http://schemas.microsoft.com/office/drawing/2014/main" id="{E9241D74-15BC-4A96-B3CB-A5DA33DC9CA6}"/>
                </a:ext>
              </a:extLst>
            </xdr:cNvPr>
            <xdr:cNvSpPr txBox="1"/>
          </xdr:nvSpPr>
          <xdr:spPr>
            <a:xfrm>
              <a:off x="27034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5" name="TextBox 214">
              <a:extLst>
                <a:ext uri="{FF2B5EF4-FFF2-40B4-BE49-F238E27FC236}">
                  <a16:creationId xmlns:a16="http://schemas.microsoft.com/office/drawing/2014/main" id="{E9241D74-15BC-4A96-B3CB-A5DA33DC9CA6}"/>
                </a:ext>
              </a:extLst>
            </xdr:cNvPr>
            <xdr:cNvSpPr txBox="1"/>
          </xdr:nvSpPr>
          <xdr:spPr>
            <a:xfrm>
              <a:off x="27034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42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6" name="TextBox 215">
              <a:extLst>
                <a:ext uri="{FF2B5EF4-FFF2-40B4-BE49-F238E27FC236}">
                  <a16:creationId xmlns:a16="http://schemas.microsoft.com/office/drawing/2014/main" id="{DF5061F3-2857-437E-A208-7E6D26C7136C}"/>
                </a:ext>
              </a:extLst>
            </xdr:cNvPr>
            <xdr:cNvSpPr txBox="1"/>
          </xdr:nvSpPr>
          <xdr:spPr>
            <a:xfrm>
              <a:off x="35797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6" name="TextBox 215">
              <a:extLst>
                <a:ext uri="{FF2B5EF4-FFF2-40B4-BE49-F238E27FC236}">
                  <a16:creationId xmlns:a16="http://schemas.microsoft.com/office/drawing/2014/main" id="{DF5061F3-2857-437E-A208-7E6D26C7136C}"/>
                </a:ext>
              </a:extLst>
            </xdr:cNvPr>
            <xdr:cNvSpPr txBox="1"/>
          </xdr:nvSpPr>
          <xdr:spPr>
            <a:xfrm>
              <a:off x="35797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42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7" name="TextBox 216">
              <a:extLst>
                <a:ext uri="{FF2B5EF4-FFF2-40B4-BE49-F238E27FC236}">
                  <a16:creationId xmlns:a16="http://schemas.microsoft.com/office/drawing/2014/main" id="{9ADDA144-1077-4B47-A68D-14B5E5146E4C}"/>
                </a:ext>
              </a:extLst>
            </xdr:cNvPr>
            <xdr:cNvSpPr txBox="1"/>
          </xdr:nvSpPr>
          <xdr:spPr>
            <a:xfrm>
              <a:off x="44560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7" name="TextBox 216">
              <a:extLst>
                <a:ext uri="{FF2B5EF4-FFF2-40B4-BE49-F238E27FC236}">
                  <a16:creationId xmlns:a16="http://schemas.microsoft.com/office/drawing/2014/main" id="{9ADDA144-1077-4B47-A68D-14B5E5146E4C}"/>
                </a:ext>
              </a:extLst>
            </xdr:cNvPr>
            <xdr:cNvSpPr txBox="1"/>
          </xdr:nvSpPr>
          <xdr:spPr>
            <a:xfrm>
              <a:off x="44560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42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8" name="TextBox 217">
              <a:extLst>
                <a:ext uri="{FF2B5EF4-FFF2-40B4-BE49-F238E27FC236}">
                  <a16:creationId xmlns:a16="http://schemas.microsoft.com/office/drawing/2014/main" id="{010806F6-EFDA-479B-82ED-1A70A6137778}"/>
                </a:ext>
              </a:extLst>
            </xdr:cNvPr>
            <xdr:cNvSpPr txBox="1"/>
          </xdr:nvSpPr>
          <xdr:spPr>
            <a:xfrm>
              <a:off x="53323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8" name="TextBox 217">
              <a:extLst>
                <a:ext uri="{FF2B5EF4-FFF2-40B4-BE49-F238E27FC236}">
                  <a16:creationId xmlns:a16="http://schemas.microsoft.com/office/drawing/2014/main" id="{010806F6-EFDA-479B-82ED-1A70A6137778}"/>
                </a:ext>
              </a:extLst>
            </xdr:cNvPr>
            <xdr:cNvSpPr txBox="1"/>
          </xdr:nvSpPr>
          <xdr:spPr>
            <a:xfrm>
              <a:off x="53323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42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9" name="TextBox 218">
              <a:extLst>
                <a:ext uri="{FF2B5EF4-FFF2-40B4-BE49-F238E27FC236}">
                  <a16:creationId xmlns:a16="http://schemas.microsoft.com/office/drawing/2014/main" id="{CEE0487F-C121-4CBB-A6CD-4F2B46A0C463}"/>
                </a:ext>
              </a:extLst>
            </xdr:cNvPr>
            <xdr:cNvSpPr txBox="1"/>
          </xdr:nvSpPr>
          <xdr:spPr>
            <a:xfrm>
              <a:off x="62086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9" name="TextBox 218">
              <a:extLst>
                <a:ext uri="{FF2B5EF4-FFF2-40B4-BE49-F238E27FC236}">
                  <a16:creationId xmlns:a16="http://schemas.microsoft.com/office/drawing/2014/main" id="{CEE0487F-C121-4CBB-A6CD-4F2B46A0C463}"/>
                </a:ext>
              </a:extLst>
            </xdr:cNvPr>
            <xdr:cNvSpPr txBox="1"/>
          </xdr:nvSpPr>
          <xdr:spPr>
            <a:xfrm>
              <a:off x="62086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42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0" name="TextBox 219">
              <a:extLst>
                <a:ext uri="{FF2B5EF4-FFF2-40B4-BE49-F238E27FC236}">
                  <a16:creationId xmlns:a16="http://schemas.microsoft.com/office/drawing/2014/main" id="{6E91946B-39C3-4C0F-8329-37FE60A32B0E}"/>
                </a:ext>
              </a:extLst>
            </xdr:cNvPr>
            <xdr:cNvSpPr txBox="1"/>
          </xdr:nvSpPr>
          <xdr:spPr>
            <a:xfrm>
              <a:off x="70849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0" name="TextBox 219">
              <a:extLst>
                <a:ext uri="{FF2B5EF4-FFF2-40B4-BE49-F238E27FC236}">
                  <a16:creationId xmlns:a16="http://schemas.microsoft.com/office/drawing/2014/main" id="{6E91946B-39C3-4C0F-8329-37FE60A32B0E}"/>
                </a:ext>
              </a:extLst>
            </xdr:cNvPr>
            <xdr:cNvSpPr txBox="1"/>
          </xdr:nvSpPr>
          <xdr:spPr>
            <a:xfrm>
              <a:off x="70849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42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1" name="TextBox 220">
              <a:extLst>
                <a:ext uri="{FF2B5EF4-FFF2-40B4-BE49-F238E27FC236}">
                  <a16:creationId xmlns:a16="http://schemas.microsoft.com/office/drawing/2014/main" id="{C37F53B4-7EAA-4A8D-B768-E35AA26C1FFD}"/>
                </a:ext>
              </a:extLst>
            </xdr:cNvPr>
            <xdr:cNvSpPr txBox="1"/>
          </xdr:nvSpPr>
          <xdr:spPr>
            <a:xfrm>
              <a:off x="79612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1" name="TextBox 220">
              <a:extLst>
                <a:ext uri="{FF2B5EF4-FFF2-40B4-BE49-F238E27FC236}">
                  <a16:creationId xmlns:a16="http://schemas.microsoft.com/office/drawing/2014/main" id="{C37F53B4-7EAA-4A8D-B768-E35AA26C1FFD}"/>
                </a:ext>
              </a:extLst>
            </xdr:cNvPr>
            <xdr:cNvSpPr txBox="1"/>
          </xdr:nvSpPr>
          <xdr:spPr>
            <a:xfrm>
              <a:off x="7961207" y="447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42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2" name="TextBox 221">
              <a:extLst>
                <a:ext uri="{FF2B5EF4-FFF2-40B4-BE49-F238E27FC236}">
                  <a16:creationId xmlns:a16="http://schemas.microsoft.com/office/drawing/2014/main" id="{78EB7369-1B89-4443-94AA-323EB2419A27}"/>
                </a:ext>
              </a:extLst>
            </xdr:cNvPr>
            <xdr:cNvSpPr txBox="1"/>
          </xdr:nvSpPr>
          <xdr:spPr>
            <a:xfrm>
              <a:off x="8837507" y="4479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2" name="TextBox 221">
              <a:extLst>
                <a:ext uri="{FF2B5EF4-FFF2-40B4-BE49-F238E27FC236}">
                  <a16:creationId xmlns:a16="http://schemas.microsoft.com/office/drawing/2014/main" id="{78EB7369-1B89-4443-94AA-323EB2419A27}"/>
                </a:ext>
              </a:extLst>
            </xdr:cNvPr>
            <xdr:cNvSpPr txBox="1"/>
          </xdr:nvSpPr>
          <xdr:spPr>
            <a:xfrm>
              <a:off x="8837507" y="4479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3" name="TextBox 222">
              <a:extLst>
                <a:ext uri="{FF2B5EF4-FFF2-40B4-BE49-F238E27FC236}">
                  <a16:creationId xmlns:a16="http://schemas.microsoft.com/office/drawing/2014/main" id="{ACCC38B1-0C91-4E95-8946-05450AC6C335}"/>
                </a:ext>
              </a:extLst>
            </xdr:cNvPr>
            <xdr:cNvSpPr txBox="1"/>
          </xdr:nvSpPr>
          <xdr:spPr>
            <a:xfrm>
              <a:off x="9508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3" name="TextBox 222">
              <a:extLst>
                <a:ext uri="{FF2B5EF4-FFF2-40B4-BE49-F238E27FC236}">
                  <a16:creationId xmlns:a16="http://schemas.microsoft.com/office/drawing/2014/main" id="{ACCC38B1-0C91-4E95-8946-05450AC6C335}"/>
                </a:ext>
              </a:extLst>
            </xdr:cNvPr>
            <xdr:cNvSpPr txBox="1"/>
          </xdr:nvSpPr>
          <xdr:spPr>
            <a:xfrm>
              <a:off x="9508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4" name="TextBox 223">
              <a:extLst>
                <a:ext uri="{FF2B5EF4-FFF2-40B4-BE49-F238E27FC236}">
                  <a16:creationId xmlns:a16="http://schemas.microsoft.com/office/drawing/2014/main" id="{43DF851D-369E-45D5-BB56-655E10DA7096}"/>
                </a:ext>
              </a:extLst>
            </xdr:cNvPr>
            <xdr:cNvSpPr txBox="1"/>
          </xdr:nvSpPr>
          <xdr:spPr>
            <a:xfrm>
              <a:off x="18271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4" name="TextBox 223">
              <a:extLst>
                <a:ext uri="{FF2B5EF4-FFF2-40B4-BE49-F238E27FC236}">
                  <a16:creationId xmlns:a16="http://schemas.microsoft.com/office/drawing/2014/main" id="{43DF851D-369E-45D5-BB56-655E10DA7096}"/>
                </a:ext>
              </a:extLst>
            </xdr:cNvPr>
            <xdr:cNvSpPr txBox="1"/>
          </xdr:nvSpPr>
          <xdr:spPr>
            <a:xfrm>
              <a:off x="18271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5" name="TextBox 224">
              <a:extLst>
                <a:ext uri="{FF2B5EF4-FFF2-40B4-BE49-F238E27FC236}">
                  <a16:creationId xmlns:a16="http://schemas.microsoft.com/office/drawing/2014/main" id="{D64D029B-5B82-483F-968D-6717EAED8457}"/>
                </a:ext>
              </a:extLst>
            </xdr:cNvPr>
            <xdr:cNvSpPr txBox="1"/>
          </xdr:nvSpPr>
          <xdr:spPr>
            <a:xfrm>
              <a:off x="27034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5" name="TextBox 224">
              <a:extLst>
                <a:ext uri="{FF2B5EF4-FFF2-40B4-BE49-F238E27FC236}">
                  <a16:creationId xmlns:a16="http://schemas.microsoft.com/office/drawing/2014/main" id="{D64D029B-5B82-483F-968D-6717EAED8457}"/>
                </a:ext>
              </a:extLst>
            </xdr:cNvPr>
            <xdr:cNvSpPr txBox="1"/>
          </xdr:nvSpPr>
          <xdr:spPr>
            <a:xfrm>
              <a:off x="27034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6" name="TextBox 225">
              <a:extLst>
                <a:ext uri="{FF2B5EF4-FFF2-40B4-BE49-F238E27FC236}">
                  <a16:creationId xmlns:a16="http://schemas.microsoft.com/office/drawing/2014/main" id="{B8CCEBD0-1333-4767-9006-736B752631EB}"/>
                </a:ext>
              </a:extLst>
            </xdr:cNvPr>
            <xdr:cNvSpPr txBox="1"/>
          </xdr:nvSpPr>
          <xdr:spPr>
            <a:xfrm>
              <a:off x="35797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6" name="TextBox 225">
              <a:extLst>
                <a:ext uri="{FF2B5EF4-FFF2-40B4-BE49-F238E27FC236}">
                  <a16:creationId xmlns:a16="http://schemas.microsoft.com/office/drawing/2014/main" id="{B8CCEBD0-1333-4767-9006-736B752631EB}"/>
                </a:ext>
              </a:extLst>
            </xdr:cNvPr>
            <xdr:cNvSpPr txBox="1"/>
          </xdr:nvSpPr>
          <xdr:spPr>
            <a:xfrm>
              <a:off x="35797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646262E2-2614-4C34-9F70-C291A9C8153C}"/>
                </a:ext>
              </a:extLst>
            </xdr:cNvPr>
            <xdr:cNvSpPr txBox="1"/>
          </xdr:nvSpPr>
          <xdr:spPr>
            <a:xfrm>
              <a:off x="44560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7" name="TextBox 226">
              <a:extLst>
                <a:ext uri="{FF2B5EF4-FFF2-40B4-BE49-F238E27FC236}">
                  <a16:creationId xmlns:a16="http://schemas.microsoft.com/office/drawing/2014/main" id="{646262E2-2614-4C34-9F70-C291A9C8153C}"/>
                </a:ext>
              </a:extLst>
            </xdr:cNvPr>
            <xdr:cNvSpPr txBox="1"/>
          </xdr:nvSpPr>
          <xdr:spPr>
            <a:xfrm>
              <a:off x="44560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8" name="TextBox 227">
              <a:extLst>
                <a:ext uri="{FF2B5EF4-FFF2-40B4-BE49-F238E27FC236}">
                  <a16:creationId xmlns:a16="http://schemas.microsoft.com/office/drawing/2014/main" id="{F46C8063-6FA1-4A7A-8F8E-50B67D3ED6B0}"/>
                </a:ext>
              </a:extLst>
            </xdr:cNvPr>
            <xdr:cNvSpPr txBox="1"/>
          </xdr:nvSpPr>
          <xdr:spPr>
            <a:xfrm>
              <a:off x="53323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8" name="TextBox 227">
              <a:extLst>
                <a:ext uri="{FF2B5EF4-FFF2-40B4-BE49-F238E27FC236}">
                  <a16:creationId xmlns:a16="http://schemas.microsoft.com/office/drawing/2014/main" id="{F46C8063-6FA1-4A7A-8F8E-50B67D3ED6B0}"/>
                </a:ext>
              </a:extLst>
            </xdr:cNvPr>
            <xdr:cNvSpPr txBox="1"/>
          </xdr:nvSpPr>
          <xdr:spPr>
            <a:xfrm>
              <a:off x="53323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9" name="TextBox 228">
              <a:extLst>
                <a:ext uri="{FF2B5EF4-FFF2-40B4-BE49-F238E27FC236}">
                  <a16:creationId xmlns:a16="http://schemas.microsoft.com/office/drawing/2014/main" id="{AE2D602E-F028-4E69-B366-96532CAEB766}"/>
                </a:ext>
              </a:extLst>
            </xdr:cNvPr>
            <xdr:cNvSpPr txBox="1"/>
          </xdr:nvSpPr>
          <xdr:spPr>
            <a:xfrm>
              <a:off x="62086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9" name="TextBox 228">
              <a:extLst>
                <a:ext uri="{FF2B5EF4-FFF2-40B4-BE49-F238E27FC236}">
                  <a16:creationId xmlns:a16="http://schemas.microsoft.com/office/drawing/2014/main" id="{AE2D602E-F028-4E69-B366-96532CAEB766}"/>
                </a:ext>
              </a:extLst>
            </xdr:cNvPr>
            <xdr:cNvSpPr txBox="1"/>
          </xdr:nvSpPr>
          <xdr:spPr>
            <a:xfrm>
              <a:off x="62086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0" name="TextBox 229">
              <a:extLst>
                <a:ext uri="{FF2B5EF4-FFF2-40B4-BE49-F238E27FC236}">
                  <a16:creationId xmlns:a16="http://schemas.microsoft.com/office/drawing/2014/main" id="{553A314C-7165-4299-A63C-5348EACC04F5}"/>
                </a:ext>
              </a:extLst>
            </xdr:cNvPr>
            <xdr:cNvSpPr txBox="1"/>
          </xdr:nvSpPr>
          <xdr:spPr>
            <a:xfrm>
              <a:off x="70849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0" name="TextBox 229">
              <a:extLst>
                <a:ext uri="{FF2B5EF4-FFF2-40B4-BE49-F238E27FC236}">
                  <a16:creationId xmlns:a16="http://schemas.microsoft.com/office/drawing/2014/main" id="{553A314C-7165-4299-A63C-5348EACC04F5}"/>
                </a:ext>
              </a:extLst>
            </xdr:cNvPr>
            <xdr:cNvSpPr txBox="1"/>
          </xdr:nvSpPr>
          <xdr:spPr>
            <a:xfrm>
              <a:off x="70849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9F5A4249-70A6-4E4C-8CDA-5C9C9188B16D}"/>
                </a:ext>
              </a:extLst>
            </xdr:cNvPr>
            <xdr:cNvSpPr txBox="1"/>
          </xdr:nvSpPr>
          <xdr:spPr>
            <a:xfrm>
              <a:off x="79612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1" name="TextBox 230">
              <a:extLst>
                <a:ext uri="{FF2B5EF4-FFF2-40B4-BE49-F238E27FC236}">
                  <a16:creationId xmlns:a16="http://schemas.microsoft.com/office/drawing/2014/main" id="{9F5A4249-70A6-4E4C-8CDA-5C9C9188B16D}"/>
                </a:ext>
              </a:extLst>
            </xdr:cNvPr>
            <xdr:cNvSpPr txBox="1"/>
          </xdr:nvSpPr>
          <xdr:spPr>
            <a:xfrm>
              <a:off x="79612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63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2" name="TextBox 231">
              <a:extLst>
                <a:ext uri="{FF2B5EF4-FFF2-40B4-BE49-F238E27FC236}">
                  <a16:creationId xmlns:a16="http://schemas.microsoft.com/office/drawing/2014/main" id="{BE68CB67-8D24-4492-A963-559D0BB05085}"/>
                </a:ext>
              </a:extLst>
            </xdr:cNvPr>
            <xdr:cNvSpPr txBox="1"/>
          </xdr:nvSpPr>
          <xdr:spPr>
            <a:xfrm>
              <a:off x="8837507" y="8289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2" name="TextBox 231">
              <a:extLst>
                <a:ext uri="{FF2B5EF4-FFF2-40B4-BE49-F238E27FC236}">
                  <a16:creationId xmlns:a16="http://schemas.microsoft.com/office/drawing/2014/main" id="{BE68CB67-8D24-4492-A963-559D0BB05085}"/>
                </a:ext>
              </a:extLst>
            </xdr:cNvPr>
            <xdr:cNvSpPr txBox="1"/>
          </xdr:nvSpPr>
          <xdr:spPr>
            <a:xfrm>
              <a:off x="8837507" y="8289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3" name="TextBox 232">
              <a:extLst>
                <a:ext uri="{FF2B5EF4-FFF2-40B4-BE49-F238E27FC236}">
                  <a16:creationId xmlns:a16="http://schemas.microsoft.com/office/drawing/2014/main" id="{18101825-7FC6-4AD1-B1B2-09156A56985E}"/>
                </a:ext>
              </a:extLst>
            </xdr:cNvPr>
            <xdr:cNvSpPr txBox="1"/>
          </xdr:nvSpPr>
          <xdr:spPr>
            <a:xfrm>
              <a:off x="9508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3" name="TextBox 232">
              <a:extLst>
                <a:ext uri="{FF2B5EF4-FFF2-40B4-BE49-F238E27FC236}">
                  <a16:creationId xmlns:a16="http://schemas.microsoft.com/office/drawing/2014/main" id="{18101825-7FC6-4AD1-B1B2-09156A56985E}"/>
                </a:ext>
              </a:extLst>
            </xdr:cNvPr>
            <xdr:cNvSpPr txBox="1"/>
          </xdr:nvSpPr>
          <xdr:spPr>
            <a:xfrm>
              <a:off x="9508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4" name="TextBox 233">
              <a:extLst>
                <a:ext uri="{FF2B5EF4-FFF2-40B4-BE49-F238E27FC236}">
                  <a16:creationId xmlns:a16="http://schemas.microsoft.com/office/drawing/2014/main" id="{AB9AAA68-72E0-4B99-9342-C96E22C05FAC}"/>
                </a:ext>
              </a:extLst>
            </xdr:cNvPr>
            <xdr:cNvSpPr txBox="1"/>
          </xdr:nvSpPr>
          <xdr:spPr>
            <a:xfrm>
              <a:off x="18271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4" name="TextBox 233">
              <a:extLst>
                <a:ext uri="{FF2B5EF4-FFF2-40B4-BE49-F238E27FC236}">
                  <a16:creationId xmlns:a16="http://schemas.microsoft.com/office/drawing/2014/main" id="{AB9AAA68-72E0-4B99-9342-C96E22C05FAC}"/>
                </a:ext>
              </a:extLst>
            </xdr:cNvPr>
            <xdr:cNvSpPr txBox="1"/>
          </xdr:nvSpPr>
          <xdr:spPr>
            <a:xfrm>
              <a:off x="18271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5" name="TextBox 234">
              <a:extLst>
                <a:ext uri="{FF2B5EF4-FFF2-40B4-BE49-F238E27FC236}">
                  <a16:creationId xmlns:a16="http://schemas.microsoft.com/office/drawing/2014/main" id="{FB94D181-6814-4732-9874-2CCA2081C941}"/>
                </a:ext>
              </a:extLst>
            </xdr:cNvPr>
            <xdr:cNvSpPr txBox="1"/>
          </xdr:nvSpPr>
          <xdr:spPr>
            <a:xfrm>
              <a:off x="27034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5" name="TextBox 234">
              <a:extLst>
                <a:ext uri="{FF2B5EF4-FFF2-40B4-BE49-F238E27FC236}">
                  <a16:creationId xmlns:a16="http://schemas.microsoft.com/office/drawing/2014/main" id="{FB94D181-6814-4732-9874-2CCA2081C941}"/>
                </a:ext>
              </a:extLst>
            </xdr:cNvPr>
            <xdr:cNvSpPr txBox="1"/>
          </xdr:nvSpPr>
          <xdr:spPr>
            <a:xfrm>
              <a:off x="27034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6" name="TextBox 235">
              <a:extLst>
                <a:ext uri="{FF2B5EF4-FFF2-40B4-BE49-F238E27FC236}">
                  <a16:creationId xmlns:a16="http://schemas.microsoft.com/office/drawing/2014/main" id="{8141A815-5C11-4116-9AAD-4E7E74C20BBF}"/>
                </a:ext>
              </a:extLst>
            </xdr:cNvPr>
            <xdr:cNvSpPr txBox="1"/>
          </xdr:nvSpPr>
          <xdr:spPr>
            <a:xfrm>
              <a:off x="35797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6" name="TextBox 235">
              <a:extLst>
                <a:ext uri="{FF2B5EF4-FFF2-40B4-BE49-F238E27FC236}">
                  <a16:creationId xmlns:a16="http://schemas.microsoft.com/office/drawing/2014/main" id="{8141A815-5C11-4116-9AAD-4E7E74C20BBF}"/>
                </a:ext>
              </a:extLst>
            </xdr:cNvPr>
            <xdr:cNvSpPr txBox="1"/>
          </xdr:nvSpPr>
          <xdr:spPr>
            <a:xfrm>
              <a:off x="35797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7" name="TextBox 236">
              <a:extLst>
                <a:ext uri="{FF2B5EF4-FFF2-40B4-BE49-F238E27FC236}">
                  <a16:creationId xmlns:a16="http://schemas.microsoft.com/office/drawing/2014/main" id="{638F4436-14F8-4111-944F-2C4D4E10B2DB}"/>
                </a:ext>
              </a:extLst>
            </xdr:cNvPr>
            <xdr:cNvSpPr txBox="1"/>
          </xdr:nvSpPr>
          <xdr:spPr>
            <a:xfrm>
              <a:off x="44560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7" name="TextBox 236">
              <a:extLst>
                <a:ext uri="{FF2B5EF4-FFF2-40B4-BE49-F238E27FC236}">
                  <a16:creationId xmlns:a16="http://schemas.microsoft.com/office/drawing/2014/main" id="{638F4436-14F8-4111-944F-2C4D4E10B2DB}"/>
                </a:ext>
              </a:extLst>
            </xdr:cNvPr>
            <xdr:cNvSpPr txBox="1"/>
          </xdr:nvSpPr>
          <xdr:spPr>
            <a:xfrm>
              <a:off x="44560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8" name="TextBox 237">
              <a:extLst>
                <a:ext uri="{FF2B5EF4-FFF2-40B4-BE49-F238E27FC236}">
                  <a16:creationId xmlns:a16="http://schemas.microsoft.com/office/drawing/2014/main" id="{EE75D6EA-FBC9-441B-9476-0353F63BE413}"/>
                </a:ext>
              </a:extLst>
            </xdr:cNvPr>
            <xdr:cNvSpPr txBox="1"/>
          </xdr:nvSpPr>
          <xdr:spPr>
            <a:xfrm>
              <a:off x="53323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8" name="TextBox 237">
              <a:extLst>
                <a:ext uri="{FF2B5EF4-FFF2-40B4-BE49-F238E27FC236}">
                  <a16:creationId xmlns:a16="http://schemas.microsoft.com/office/drawing/2014/main" id="{EE75D6EA-FBC9-441B-9476-0353F63BE413}"/>
                </a:ext>
              </a:extLst>
            </xdr:cNvPr>
            <xdr:cNvSpPr txBox="1"/>
          </xdr:nvSpPr>
          <xdr:spPr>
            <a:xfrm>
              <a:off x="53323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9" name="TextBox 238">
              <a:extLst>
                <a:ext uri="{FF2B5EF4-FFF2-40B4-BE49-F238E27FC236}">
                  <a16:creationId xmlns:a16="http://schemas.microsoft.com/office/drawing/2014/main" id="{BA7AF576-CEBE-43DD-9AEE-F8DB42E3F0AB}"/>
                </a:ext>
              </a:extLst>
            </xdr:cNvPr>
            <xdr:cNvSpPr txBox="1"/>
          </xdr:nvSpPr>
          <xdr:spPr>
            <a:xfrm>
              <a:off x="62086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39" name="TextBox 238">
              <a:extLst>
                <a:ext uri="{FF2B5EF4-FFF2-40B4-BE49-F238E27FC236}">
                  <a16:creationId xmlns:a16="http://schemas.microsoft.com/office/drawing/2014/main" id="{BA7AF576-CEBE-43DD-9AEE-F8DB42E3F0AB}"/>
                </a:ext>
              </a:extLst>
            </xdr:cNvPr>
            <xdr:cNvSpPr txBox="1"/>
          </xdr:nvSpPr>
          <xdr:spPr>
            <a:xfrm>
              <a:off x="62086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0" name="TextBox 239">
              <a:extLst>
                <a:ext uri="{FF2B5EF4-FFF2-40B4-BE49-F238E27FC236}">
                  <a16:creationId xmlns:a16="http://schemas.microsoft.com/office/drawing/2014/main" id="{97025BB1-C505-4BB8-AEE0-8A42D9517571}"/>
                </a:ext>
              </a:extLst>
            </xdr:cNvPr>
            <xdr:cNvSpPr txBox="1"/>
          </xdr:nvSpPr>
          <xdr:spPr>
            <a:xfrm>
              <a:off x="70849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0" name="TextBox 239">
              <a:extLst>
                <a:ext uri="{FF2B5EF4-FFF2-40B4-BE49-F238E27FC236}">
                  <a16:creationId xmlns:a16="http://schemas.microsoft.com/office/drawing/2014/main" id="{97025BB1-C505-4BB8-AEE0-8A42D9517571}"/>
                </a:ext>
              </a:extLst>
            </xdr:cNvPr>
            <xdr:cNvSpPr txBox="1"/>
          </xdr:nvSpPr>
          <xdr:spPr>
            <a:xfrm>
              <a:off x="70849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1" name="TextBox 240">
              <a:extLst>
                <a:ext uri="{FF2B5EF4-FFF2-40B4-BE49-F238E27FC236}">
                  <a16:creationId xmlns:a16="http://schemas.microsoft.com/office/drawing/2014/main" id="{FD755F5B-CB4D-40C8-8AD6-236652F60CDC}"/>
                </a:ext>
              </a:extLst>
            </xdr:cNvPr>
            <xdr:cNvSpPr txBox="1"/>
          </xdr:nvSpPr>
          <xdr:spPr>
            <a:xfrm>
              <a:off x="79612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1" name="TextBox 240">
              <a:extLst>
                <a:ext uri="{FF2B5EF4-FFF2-40B4-BE49-F238E27FC236}">
                  <a16:creationId xmlns:a16="http://schemas.microsoft.com/office/drawing/2014/main" id="{FD755F5B-CB4D-40C8-8AD6-236652F60CDC}"/>
                </a:ext>
              </a:extLst>
            </xdr:cNvPr>
            <xdr:cNvSpPr txBox="1"/>
          </xdr:nvSpPr>
          <xdr:spPr>
            <a:xfrm>
              <a:off x="79612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63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ACC4700C-D68A-44A7-A4F6-A49407F56249}"/>
                </a:ext>
              </a:extLst>
            </xdr:cNvPr>
            <xdr:cNvSpPr txBox="1"/>
          </xdr:nvSpPr>
          <xdr:spPr>
            <a:xfrm>
              <a:off x="8837507" y="8289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2" name="TextBox 241">
              <a:extLst>
                <a:ext uri="{FF2B5EF4-FFF2-40B4-BE49-F238E27FC236}">
                  <a16:creationId xmlns:a16="http://schemas.microsoft.com/office/drawing/2014/main" id="{ACC4700C-D68A-44A7-A4F6-A49407F56249}"/>
                </a:ext>
              </a:extLst>
            </xdr:cNvPr>
            <xdr:cNvSpPr txBox="1"/>
          </xdr:nvSpPr>
          <xdr:spPr>
            <a:xfrm>
              <a:off x="8837507" y="8289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3" name="TextBox 242">
              <a:extLst>
                <a:ext uri="{FF2B5EF4-FFF2-40B4-BE49-F238E27FC236}">
                  <a16:creationId xmlns:a16="http://schemas.microsoft.com/office/drawing/2014/main" id="{DD318F42-7B47-441D-9C27-4C726AEBF50C}"/>
                </a:ext>
              </a:extLst>
            </xdr:cNvPr>
            <xdr:cNvSpPr txBox="1"/>
          </xdr:nvSpPr>
          <xdr:spPr>
            <a:xfrm>
              <a:off x="9508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3" name="TextBox 242">
              <a:extLst>
                <a:ext uri="{FF2B5EF4-FFF2-40B4-BE49-F238E27FC236}">
                  <a16:creationId xmlns:a16="http://schemas.microsoft.com/office/drawing/2014/main" id="{DD318F42-7B47-441D-9C27-4C726AEBF50C}"/>
                </a:ext>
              </a:extLst>
            </xdr:cNvPr>
            <xdr:cNvSpPr txBox="1"/>
          </xdr:nvSpPr>
          <xdr:spPr>
            <a:xfrm>
              <a:off x="9508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4" name="TextBox 243">
              <a:extLst>
                <a:ext uri="{FF2B5EF4-FFF2-40B4-BE49-F238E27FC236}">
                  <a16:creationId xmlns:a16="http://schemas.microsoft.com/office/drawing/2014/main" id="{4F8EBD7B-2FFE-4907-B4AB-241236962D40}"/>
                </a:ext>
              </a:extLst>
            </xdr:cNvPr>
            <xdr:cNvSpPr txBox="1"/>
          </xdr:nvSpPr>
          <xdr:spPr>
            <a:xfrm>
              <a:off x="18271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4" name="TextBox 243">
              <a:extLst>
                <a:ext uri="{FF2B5EF4-FFF2-40B4-BE49-F238E27FC236}">
                  <a16:creationId xmlns:a16="http://schemas.microsoft.com/office/drawing/2014/main" id="{4F8EBD7B-2FFE-4907-B4AB-241236962D40}"/>
                </a:ext>
              </a:extLst>
            </xdr:cNvPr>
            <xdr:cNvSpPr txBox="1"/>
          </xdr:nvSpPr>
          <xdr:spPr>
            <a:xfrm>
              <a:off x="18271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5" name="TextBox 244">
              <a:extLst>
                <a:ext uri="{FF2B5EF4-FFF2-40B4-BE49-F238E27FC236}">
                  <a16:creationId xmlns:a16="http://schemas.microsoft.com/office/drawing/2014/main" id="{4F7BDE6B-E92E-4D01-8318-9A519B132464}"/>
                </a:ext>
              </a:extLst>
            </xdr:cNvPr>
            <xdr:cNvSpPr txBox="1"/>
          </xdr:nvSpPr>
          <xdr:spPr>
            <a:xfrm>
              <a:off x="27034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5" name="TextBox 244">
              <a:extLst>
                <a:ext uri="{FF2B5EF4-FFF2-40B4-BE49-F238E27FC236}">
                  <a16:creationId xmlns:a16="http://schemas.microsoft.com/office/drawing/2014/main" id="{4F7BDE6B-E92E-4D01-8318-9A519B132464}"/>
                </a:ext>
              </a:extLst>
            </xdr:cNvPr>
            <xdr:cNvSpPr txBox="1"/>
          </xdr:nvSpPr>
          <xdr:spPr>
            <a:xfrm>
              <a:off x="27034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6" name="TextBox 245">
              <a:extLst>
                <a:ext uri="{FF2B5EF4-FFF2-40B4-BE49-F238E27FC236}">
                  <a16:creationId xmlns:a16="http://schemas.microsoft.com/office/drawing/2014/main" id="{87A791CB-AC49-41C1-A33D-94E6723F96E0}"/>
                </a:ext>
              </a:extLst>
            </xdr:cNvPr>
            <xdr:cNvSpPr txBox="1"/>
          </xdr:nvSpPr>
          <xdr:spPr>
            <a:xfrm>
              <a:off x="35797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6" name="TextBox 245">
              <a:extLst>
                <a:ext uri="{FF2B5EF4-FFF2-40B4-BE49-F238E27FC236}">
                  <a16:creationId xmlns:a16="http://schemas.microsoft.com/office/drawing/2014/main" id="{87A791CB-AC49-41C1-A33D-94E6723F96E0}"/>
                </a:ext>
              </a:extLst>
            </xdr:cNvPr>
            <xdr:cNvSpPr txBox="1"/>
          </xdr:nvSpPr>
          <xdr:spPr>
            <a:xfrm>
              <a:off x="35797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7" name="TextBox 246">
              <a:extLst>
                <a:ext uri="{FF2B5EF4-FFF2-40B4-BE49-F238E27FC236}">
                  <a16:creationId xmlns:a16="http://schemas.microsoft.com/office/drawing/2014/main" id="{8203D1EE-26BE-48E7-AB25-E35B14605568}"/>
                </a:ext>
              </a:extLst>
            </xdr:cNvPr>
            <xdr:cNvSpPr txBox="1"/>
          </xdr:nvSpPr>
          <xdr:spPr>
            <a:xfrm>
              <a:off x="44560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7" name="TextBox 246">
              <a:extLst>
                <a:ext uri="{FF2B5EF4-FFF2-40B4-BE49-F238E27FC236}">
                  <a16:creationId xmlns:a16="http://schemas.microsoft.com/office/drawing/2014/main" id="{8203D1EE-26BE-48E7-AB25-E35B14605568}"/>
                </a:ext>
              </a:extLst>
            </xdr:cNvPr>
            <xdr:cNvSpPr txBox="1"/>
          </xdr:nvSpPr>
          <xdr:spPr>
            <a:xfrm>
              <a:off x="44560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8" name="TextBox 247">
              <a:extLst>
                <a:ext uri="{FF2B5EF4-FFF2-40B4-BE49-F238E27FC236}">
                  <a16:creationId xmlns:a16="http://schemas.microsoft.com/office/drawing/2014/main" id="{6C34B4CD-AA02-4677-9545-C57FE2F0FAAA}"/>
                </a:ext>
              </a:extLst>
            </xdr:cNvPr>
            <xdr:cNvSpPr txBox="1"/>
          </xdr:nvSpPr>
          <xdr:spPr>
            <a:xfrm>
              <a:off x="53323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8" name="TextBox 247">
              <a:extLst>
                <a:ext uri="{FF2B5EF4-FFF2-40B4-BE49-F238E27FC236}">
                  <a16:creationId xmlns:a16="http://schemas.microsoft.com/office/drawing/2014/main" id="{6C34B4CD-AA02-4677-9545-C57FE2F0FAAA}"/>
                </a:ext>
              </a:extLst>
            </xdr:cNvPr>
            <xdr:cNvSpPr txBox="1"/>
          </xdr:nvSpPr>
          <xdr:spPr>
            <a:xfrm>
              <a:off x="53323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9" name="TextBox 248">
              <a:extLst>
                <a:ext uri="{FF2B5EF4-FFF2-40B4-BE49-F238E27FC236}">
                  <a16:creationId xmlns:a16="http://schemas.microsoft.com/office/drawing/2014/main" id="{6B6659BA-55E7-4D06-AA19-3EC5C8EEE3A5}"/>
                </a:ext>
              </a:extLst>
            </xdr:cNvPr>
            <xdr:cNvSpPr txBox="1"/>
          </xdr:nvSpPr>
          <xdr:spPr>
            <a:xfrm>
              <a:off x="62086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9" name="TextBox 248">
              <a:extLst>
                <a:ext uri="{FF2B5EF4-FFF2-40B4-BE49-F238E27FC236}">
                  <a16:creationId xmlns:a16="http://schemas.microsoft.com/office/drawing/2014/main" id="{6B6659BA-55E7-4D06-AA19-3EC5C8EEE3A5}"/>
                </a:ext>
              </a:extLst>
            </xdr:cNvPr>
            <xdr:cNvSpPr txBox="1"/>
          </xdr:nvSpPr>
          <xdr:spPr>
            <a:xfrm>
              <a:off x="62086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0" name="TextBox 249">
              <a:extLst>
                <a:ext uri="{FF2B5EF4-FFF2-40B4-BE49-F238E27FC236}">
                  <a16:creationId xmlns:a16="http://schemas.microsoft.com/office/drawing/2014/main" id="{296BDB27-63C8-4ED6-98A9-CC7078099645}"/>
                </a:ext>
              </a:extLst>
            </xdr:cNvPr>
            <xdr:cNvSpPr txBox="1"/>
          </xdr:nvSpPr>
          <xdr:spPr>
            <a:xfrm>
              <a:off x="70849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0" name="TextBox 249">
              <a:extLst>
                <a:ext uri="{FF2B5EF4-FFF2-40B4-BE49-F238E27FC236}">
                  <a16:creationId xmlns:a16="http://schemas.microsoft.com/office/drawing/2014/main" id="{296BDB27-63C8-4ED6-98A9-CC7078099645}"/>
                </a:ext>
              </a:extLst>
            </xdr:cNvPr>
            <xdr:cNvSpPr txBox="1"/>
          </xdr:nvSpPr>
          <xdr:spPr>
            <a:xfrm>
              <a:off x="70849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1" name="TextBox 250">
              <a:extLst>
                <a:ext uri="{FF2B5EF4-FFF2-40B4-BE49-F238E27FC236}">
                  <a16:creationId xmlns:a16="http://schemas.microsoft.com/office/drawing/2014/main" id="{F004EA2E-3A64-4DB4-BBFC-E258892145C5}"/>
                </a:ext>
              </a:extLst>
            </xdr:cNvPr>
            <xdr:cNvSpPr txBox="1"/>
          </xdr:nvSpPr>
          <xdr:spPr>
            <a:xfrm>
              <a:off x="79612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1" name="TextBox 250">
              <a:extLst>
                <a:ext uri="{FF2B5EF4-FFF2-40B4-BE49-F238E27FC236}">
                  <a16:creationId xmlns:a16="http://schemas.microsoft.com/office/drawing/2014/main" id="{F004EA2E-3A64-4DB4-BBFC-E258892145C5}"/>
                </a:ext>
              </a:extLst>
            </xdr:cNvPr>
            <xdr:cNvSpPr txBox="1"/>
          </xdr:nvSpPr>
          <xdr:spPr>
            <a:xfrm>
              <a:off x="79612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63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2" name="TextBox 251">
              <a:extLst>
                <a:ext uri="{FF2B5EF4-FFF2-40B4-BE49-F238E27FC236}">
                  <a16:creationId xmlns:a16="http://schemas.microsoft.com/office/drawing/2014/main" id="{30A82FBA-F397-409B-8EE6-1A47F9B9BAE2}"/>
                </a:ext>
              </a:extLst>
            </xdr:cNvPr>
            <xdr:cNvSpPr txBox="1"/>
          </xdr:nvSpPr>
          <xdr:spPr>
            <a:xfrm>
              <a:off x="8837507" y="8289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2" name="TextBox 251">
              <a:extLst>
                <a:ext uri="{FF2B5EF4-FFF2-40B4-BE49-F238E27FC236}">
                  <a16:creationId xmlns:a16="http://schemas.microsoft.com/office/drawing/2014/main" id="{30A82FBA-F397-409B-8EE6-1A47F9B9BAE2}"/>
                </a:ext>
              </a:extLst>
            </xdr:cNvPr>
            <xdr:cNvSpPr txBox="1"/>
          </xdr:nvSpPr>
          <xdr:spPr>
            <a:xfrm>
              <a:off x="8837507" y="8289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3" name="TextBox 252">
              <a:extLst>
                <a:ext uri="{FF2B5EF4-FFF2-40B4-BE49-F238E27FC236}">
                  <a16:creationId xmlns:a16="http://schemas.microsoft.com/office/drawing/2014/main" id="{06F5073B-D048-4FB7-BB57-6FAA7A4AEC66}"/>
                </a:ext>
              </a:extLst>
            </xdr:cNvPr>
            <xdr:cNvSpPr txBox="1"/>
          </xdr:nvSpPr>
          <xdr:spPr>
            <a:xfrm>
              <a:off x="9508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3" name="TextBox 252">
              <a:extLst>
                <a:ext uri="{FF2B5EF4-FFF2-40B4-BE49-F238E27FC236}">
                  <a16:creationId xmlns:a16="http://schemas.microsoft.com/office/drawing/2014/main" id="{06F5073B-D048-4FB7-BB57-6FAA7A4AEC66}"/>
                </a:ext>
              </a:extLst>
            </xdr:cNvPr>
            <xdr:cNvSpPr txBox="1"/>
          </xdr:nvSpPr>
          <xdr:spPr>
            <a:xfrm>
              <a:off x="9508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4" name="TextBox 253">
              <a:extLst>
                <a:ext uri="{FF2B5EF4-FFF2-40B4-BE49-F238E27FC236}">
                  <a16:creationId xmlns:a16="http://schemas.microsoft.com/office/drawing/2014/main" id="{B898750C-DC0D-454B-A044-F9EC57B96F91}"/>
                </a:ext>
              </a:extLst>
            </xdr:cNvPr>
            <xdr:cNvSpPr txBox="1"/>
          </xdr:nvSpPr>
          <xdr:spPr>
            <a:xfrm>
              <a:off x="18271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4" name="TextBox 253">
              <a:extLst>
                <a:ext uri="{FF2B5EF4-FFF2-40B4-BE49-F238E27FC236}">
                  <a16:creationId xmlns:a16="http://schemas.microsoft.com/office/drawing/2014/main" id="{B898750C-DC0D-454B-A044-F9EC57B96F91}"/>
                </a:ext>
              </a:extLst>
            </xdr:cNvPr>
            <xdr:cNvSpPr txBox="1"/>
          </xdr:nvSpPr>
          <xdr:spPr>
            <a:xfrm>
              <a:off x="18271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5" name="TextBox 254">
              <a:extLst>
                <a:ext uri="{FF2B5EF4-FFF2-40B4-BE49-F238E27FC236}">
                  <a16:creationId xmlns:a16="http://schemas.microsoft.com/office/drawing/2014/main" id="{B36C6F7C-A4BB-4087-8DD9-26C69DC2F787}"/>
                </a:ext>
              </a:extLst>
            </xdr:cNvPr>
            <xdr:cNvSpPr txBox="1"/>
          </xdr:nvSpPr>
          <xdr:spPr>
            <a:xfrm>
              <a:off x="27034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5" name="TextBox 254">
              <a:extLst>
                <a:ext uri="{FF2B5EF4-FFF2-40B4-BE49-F238E27FC236}">
                  <a16:creationId xmlns:a16="http://schemas.microsoft.com/office/drawing/2014/main" id="{B36C6F7C-A4BB-4087-8DD9-26C69DC2F787}"/>
                </a:ext>
              </a:extLst>
            </xdr:cNvPr>
            <xdr:cNvSpPr txBox="1"/>
          </xdr:nvSpPr>
          <xdr:spPr>
            <a:xfrm>
              <a:off x="27034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6" name="TextBox 255">
              <a:extLst>
                <a:ext uri="{FF2B5EF4-FFF2-40B4-BE49-F238E27FC236}">
                  <a16:creationId xmlns:a16="http://schemas.microsoft.com/office/drawing/2014/main" id="{755D202F-8C78-4B49-BEB2-22043D2DFCF2}"/>
                </a:ext>
              </a:extLst>
            </xdr:cNvPr>
            <xdr:cNvSpPr txBox="1"/>
          </xdr:nvSpPr>
          <xdr:spPr>
            <a:xfrm>
              <a:off x="35797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6" name="TextBox 255">
              <a:extLst>
                <a:ext uri="{FF2B5EF4-FFF2-40B4-BE49-F238E27FC236}">
                  <a16:creationId xmlns:a16="http://schemas.microsoft.com/office/drawing/2014/main" id="{755D202F-8C78-4B49-BEB2-22043D2DFCF2}"/>
                </a:ext>
              </a:extLst>
            </xdr:cNvPr>
            <xdr:cNvSpPr txBox="1"/>
          </xdr:nvSpPr>
          <xdr:spPr>
            <a:xfrm>
              <a:off x="35797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7" name="TextBox 256">
              <a:extLst>
                <a:ext uri="{FF2B5EF4-FFF2-40B4-BE49-F238E27FC236}">
                  <a16:creationId xmlns:a16="http://schemas.microsoft.com/office/drawing/2014/main" id="{D6E495A3-74F7-4280-8A50-C1F6D6308D53}"/>
                </a:ext>
              </a:extLst>
            </xdr:cNvPr>
            <xdr:cNvSpPr txBox="1"/>
          </xdr:nvSpPr>
          <xdr:spPr>
            <a:xfrm>
              <a:off x="44560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7" name="TextBox 256">
              <a:extLst>
                <a:ext uri="{FF2B5EF4-FFF2-40B4-BE49-F238E27FC236}">
                  <a16:creationId xmlns:a16="http://schemas.microsoft.com/office/drawing/2014/main" id="{D6E495A3-74F7-4280-8A50-C1F6D6308D53}"/>
                </a:ext>
              </a:extLst>
            </xdr:cNvPr>
            <xdr:cNvSpPr txBox="1"/>
          </xdr:nvSpPr>
          <xdr:spPr>
            <a:xfrm>
              <a:off x="44560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8" name="TextBox 257">
              <a:extLst>
                <a:ext uri="{FF2B5EF4-FFF2-40B4-BE49-F238E27FC236}">
                  <a16:creationId xmlns:a16="http://schemas.microsoft.com/office/drawing/2014/main" id="{4C842ADC-6B6F-4C1C-A914-86976DDEF093}"/>
                </a:ext>
              </a:extLst>
            </xdr:cNvPr>
            <xdr:cNvSpPr txBox="1"/>
          </xdr:nvSpPr>
          <xdr:spPr>
            <a:xfrm>
              <a:off x="53323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8" name="TextBox 257">
              <a:extLst>
                <a:ext uri="{FF2B5EF4-FFF2-40B4-BE49-F238E27FC236}">
                  <a16:creationId xmlns:a16="http://schemas.microsoft.com/office/drawing/2014/main" id="{4C842ADC-6B6F-4C1C-A914-86976DDEF093}"/>
                </a:ext>
              </a:extLst>
            </xdr:cNvPr>
            <xdr:cNvSpPr txBox="1"/>
          </xdr:nvSpPr>
          <xdr:spPr>
            <a:xfrm>
              <a:off x="53323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9" name="TextBox 258">
              <a:extLst>
                <a:ext uri="{FF2B5EF4-FFF2-40B4-BE49-F238E27FC236}">
                  <a16:creationId xmlns:a16="http://schemas.microsoft.com/office/drawing/2014/main" id="{857DDB94-4D60-42EF-A8DB-50D14851ED61}"/>
                </a:ext>
              </a:extLst>
            </xdr:cNvPr>
            <xdr:cNvSpPr txBox="1"/>
          </xdr:nvSpPr>
          <xdr:spPr>
            <a:xfrm>
              <a:off x="62086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9" name="TextBox 258">
              <a:extLst>
                <a:ext uri="{FF2B5EF4-FFF2-40B4-BE49-F238E27FC236}">
                  <a16:creationId xmlns:a16="http://schemas.microsoft.com/office/drawing/2014/main" id="{857DDB94-4D60-42EF-A8DB-50D14851ED61}"/>
                </a:ext>
              </a:extLst>
            </xdr:cNvPr>
            <xdr:cNvSpPr txBox="1"/>
          </xdr:nvSpPr>
          <xdr:spPr>
            <a:xfrm>
              <a:off x="62086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0" name="TextBox 259">
              <a:extLst>
                <a:ext uri="{FF2B5EF4-FFF2-40B4-BE49-F238E27FC236}">
                  <a16:creationId xmlns:a16="http://schemas.microsoft.com/office/drawing/2014/main" id="{15DA1B69-9E75-41E9-9516-FEE55E6785F1}"/>
                </a:ext>
              </a:extLst>
            </xdr:cNvPr>
            <xdr:cNvSpPr txBox="1"/>
          </xdr:nvSpPr>
          <xdr:spPr>
            <a:xfrm>
              <a:off x="70849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0" name="TextBox 259">
              <a:extLst>
                <a:ext uri="{FF2B5EF4-FFF2-40B4-BE49-F238E27FC236}">
                  <a16:creationId xmlns:a16="http://schemas.microsoft.com/office/drawing/2014/main" id="{15DA1B69-9E75-41E9-9516-FEE55E6785F1}"/>
                </a:ext>
              </a:extLst>
            </xdr:cNvPr>
            <xdr:cNvSpPr txBox="1"/>
          </xdr:nvSpPr>
          <xdr:spPr>
            <a:xfrm>
              <a:off x="70849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1" name="TextBox 260">
              <a:extLst>
                <a:ext uri="{FF2B5EF4-FFF2-40B4-BE49-F238E27FC236}">
                  <a16:creationId xmlns:a16="http://schemas.microsoft.com/office/drawing/2014/main" id="{12B06B8C-EA61-48E5-9E7D-3688BB9ADD3B}"/>
                </a:ext>
              </a:extLst>
            </xdr:cNvPr>
            <xdr:cNvSpPr txBox="1"/>
          </xdr:nvSpPr>
          <xdr:spPr>
            <a:xfrm>
              <a:off x="79612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1" name="TextBox 260">
              <a:extLst>
                <a:ext uri="{FF2B5EF4-FFF2-40B4-BE49-F238E27FC236}">
                  <a16:creationId xmlns:a16="http://schemas.microsoft.com/office/drawing/2014/main" id="{12B06B8C-EA61-48E5-9E7D-3688BB9ADD3B}"/>
                </a:ext>
              </a:extLst>
            </xdr:cNvPr>
            <xdr:cNvSpPr txBox="1"/>
          </xdr:nvSpPr>
          <xdr:spPr>
            <a:xfrm>
              <a:off x="79612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63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2" name="TextBox 261">
              <a:extLst>
                <a:ext uri="{FF2B5EF4-FFF2-40B4-BE49-F238E27FC236}">
                  <a16:creationId xmlns:a16="http://schemas.microsoft.com/office/drawing/2014/main" id="{E7E61126-E5C1-4C5A-9136-91B06910DAB4}"/>
                </a:ext>
              </a:extLst>
            </xdr:cNvPr>
            <xdr:cNvSpPr txBox="1"/>
          </xdr:nvSpPr>
          <xdr:spPr>
            <a:xfrm>
              <a:off x="8837507" y="8289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2" name="TextBox 261">
              <a:extLst>
                <a:ext uri="{FF2B5EF4-FFF2-40B4-BE49-F238E27FC236}">
                  <a16:creationId xmlns:a16="http://schemas.microsoft.com/office/drawing/2014/main" id="{E7E61126-E5C1-4C5A-9136-91B06910DAB4}"/>
                </a:ext>
              </a:extLst>
            </xdr:cNvPr>
            <xdr:cNvSpPr txBox="1"/>
          </xdr:nvSpPr>
          <xdr:spPr>
            <a:xfrm>
              <a:off x="8837507" y="8289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3" name="TextBox 262">
              <a:extLst>
                <a:ext uri="{FF2B5EF4-FFF2-40B4-BE49-F238E27FC236}">
                  <a16:creationId xmlns:a16="http://schemas.microsoft.com/office/drawing/2014/main" id="{53769BCA-8CB9-47BB-B34F-DDDD05DD566B}"/>
                </a:ext>
              </a:extLst>
            </xdr:cNvPr>
            <xdr:cNvSpPr txBox="1"/>
          </xdr:nvSpPr>
          <xdr:spPr>
            <a:xfrm>
              <a:off x="9508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3" name="TextBox 262">
              <a:extLst>
                <a:ext uri="{FF2B5EF4-FFF2-40B4-BE49-F238E27FC236}">
                  <a16:creationId xmlns:a16="http://schemas.microsoft.com/office/drawing/2014/main" id="{53769BCA-8CB9-47BB-B34F-DDDD05DD566B}"/>
                </a:ext>
              </a:extLst>
            </xdr:cNvPr>
            <xdr:cNvSpPr txBox="1"/>
          </xdr:nvSpPr>
          <xdr:spPr>
            <a:xfrm>
              <a:off x="9508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4" name="TextBox 263">
              <a:extLst>
                <a:ext uri="{FF2B5EF4-FFF2-40B4-BE49-F238E27FC236}">
                  <a16:creationId xmlns:a16="http://schemas.microsoft.com/office/drawing/2014/main" id="{C570B102-D974-45B2-9E49-AAD0392E43F6}"/>
                </a:ext>
              </a:extLst>
            </xdr:cNvPr>
            <xdr:cNvSpPr txBox="1"/>
          </xdr:nvSpPr>
          <xdr:spPr>
            <a:xfrm>
              <a:off x="18271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4" name="TextBox 263">
              <a:extLst>
                <a:ext uri="{FF2B5EF4-FFF2-40B4-BE49-F238E27FC236}">
                  <a16:creationId xmlns:a16="http://schemas.microsoft.com/office/drawing/2014/main" id="{C570B102-D974-45B2-9E49-AAD0392E43F6}"/>
                </a:ext>
              </a:extLst>
            </xdr:cNvPr>
            <xdr:cNvSpPr txBox="1"/>
          </xdr:nvSpPr>
          <xdr:spPr>
            <a:xfrm>
              <a:off x="18271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5" name="TextBox 264">
              <a:extLst>
                <a:ext uri="{FF2B5EF4-FFF2-40B4-BE49-F238E27FC236}">
                  <a16:creationId xmlns:a16="http://schemas.microsoft.com/office/drawing/2014/main" id="{EB97A87C-09B7-41FC-84A3-4AE822C3145A}"/>
                </a:ext>
              </a:extLst>
            </xdr:cNvPr>
            <xdr:cNvSpPr txBox="1"/>
          </xdr:nvSpPr>
          <xdr:spPr>
            <a:xfrm>
              <a:off x="27034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5" name="TextBox 264">
              <a:extLst>
                <a:ext uri="{FF2B5EF4-FFF2-40B4-BE49-F238E27FC236}">
                  <a16:creationId xmlns:a16="http://schemas.microsoft.com/office/drawing/2014/main" id="{EB97A87C-09B7-41FC-84A3-4AE822C3145A}"/>
                </a:ext>
              </a:extLst>
            </xdr:cNvPr>
            <xdr:cNvSpPr txBox="1"/>
          </xdr:nvSpPr>
          <xdr:spPr>
            <a:xfrm>
              <a:off x="27034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6" name="TextBox 265">
              <a:extLst>
                <a:ext uri="{FF2B5EF4-FFF2-40B4-BE49-F238E27FC236}">
                  <a16:creationId xmlns:a16="http://schemas.microsoft.com/office/drawing/2014/main" id="{AB19A2C1-5194-403B-B573-4A6B59227399}"/>
                </a:ext>
              </a:extLst>
            </xdr:cNvPr>
            <xdr:cNvSpPr txBox="1"/>
          </xdr:nvSpPr>
          <xdr:spPr>
            <a:xfrm>
              <a:off x="35797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6" name="TextBox 265">
              <a:extLst>
                <a:ext uri="{FF2B5EF4-FFF2-40B4-BE49-F238E27FC236}">
                  <a16:creationId xmlns:a16="http://schemas.microsoft.com/office/drawing/2014/main" id="{AB19A2C1-5194-403B-B573-4A6B59227399}"/>
                </a:ext>
              </a:extLst>
            </xdr:cNvPr>
            <xdr:cNvSpPr txBox="1"/>
          </xdr:nvSpPr>
          <xdr:spPr>
            <a:xfrm>
              <a:off x="35797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7" name="TextBox 266">
              <a:extLst>
                <a:ext uri="{FF2B5EF4-FFF2-40B4-BE49-F238E27FC236}">
                  <a16:creationId xmlns:a16="http://schemas.microsoft.com/office/drawing/2014/main" id="{78D09C5C-7924-4B75-A947-08E0F91FF2CC}"/>
                </a:ext>
              </a:extLst>
            </xdr:cNvPr>
            <xdr:cNvSpPr txBox="1"/>
          </xdr:nvSpPr>
          <xdr:spPr>
            <a:xfrm>
              <a:off x="44560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7" name="TextBox 266">
              <a:extLst>
                <a:ext uri="{FF2B5EF4-FFF2-40B4-BE49-F238E27FC236}">
                  <a16:creationId xmlns:a16="http://schemas.microsoft.com/office/drawing/2014/main" id="{78D09C5C-7924-4B75-A947-08E0F91FF2CC}"/>
                </a:ext>
              </a:extLst>
            </xdr:cNvPr>
            <xdr:cNvSpPr txBox="1"/>
          </xdr:nvSpPr>
          <xdr:spPr>
            <a:xfrm>
              <a:off x="44560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8" name="TextBox 267">
              <a:extLst>
                <a:ext uri="{FF2B5EF4-FFF2-40B4-BE49-F238E27FC236}">
                  <a16:creationId xmlns:a16="http://schemas.microsoft.com/office/drawing/2014/main" id="{4F7BCE2C-4A15-4AA5-8991-3C968D9214EC}"/>
                </a:ext>
              </a:extLst>
            </xdr:cNvPr>
            <xdr:cNvSpPr txBox="1"/>
          </xdr:nvSpPr>
          <xdr:spPr>
            <a:xfrm>
              <a:off x="53323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8" name="TextBox 267">
              <a:extLst>
                <a:ext uri="{FF2B5EF4-FFF2-40B4-BE49-F238E27FC236}">
                  <a16:creationId xmlns:a16="http://schemas.microsoft.com/office/drawing/2014/main" id="{4F7BCE2C-4A15-4AA5-8991-3C968D9214EC}"/>
                </a:ext>
              </a:extLst>
            </xdr:cNvPr>
            <xdr:cNvSpPr txBox="1"/>
          </xdr:nvSpPr>
          <xdr:spPr>
            <a:xfrm>
              <a:off x="53323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9" name="TextBox 268">
              <a:extLst>
                <a:ext uri="{FF2B5EF4-FFF2-40B4-BE49-F238E27FC236}">
                  <a16:creationId xmlns:a16="http://schemas.microsoft.com/office/drawing/2014/main" id="{04F4796F-F69B-4983-8E05-325F9594C175}"/>
                </a:ext>
              </a:extLst>
            </xdr:cNvPr>
            <xdr:cNvSpPr txBox="1"/>
          </xdr:nvSpPr>
          <xdr:spPr>
            <a:xfrm>
              <a:off x="62086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9" name="TextBox 268">
              <a:extLst>
                <a:ext uri="{FF2B5EF4-FFF2-40B4-BE49-F238E27FC236}">
                  <a16:creationId xmlns:a16="http://schemas.microsoft.com/office/drawing/2014/main" id="{04F4796F-F69B-4983-8E05-325F9594C175}"/>
                </a:ext>
              </a:extLst>
            </xdr:cNvPr>
            <xdr:cNvSpPr txBox="1"/>
          </xdr:nvSpPr>
          <xdr:spPr>
            <a:xfrm>
              <a:off x="62086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0" name="TextBox 269">
              <a:extLst>
                <a:ext uri="{FF2B5EF4-FFF2-40B4-BE49-F238E27FC236}">
                  <a16:creationId xmlns:a16="http://schemas.microsoft.com/office/drawing/2014/main" id="{78271E92-935A-41B4-9AB7-E5CD943D794E}"/>
                </a:ext>
              </a:extLst>
            </xdr:cNvPr>
            <xdr:cNvSpPr txBox="1"/>
          </xdr:nvSpPr>
          <xdr:spPr>
            <a:xfrm>
              <a:off x="70849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0" name="TextBox 269">
              <a:extLst>
                <a:ext uri="{FF2B5EF4-FFF2-40B4-BE49-F238E27FC236}">
                  <a16:creationId xmlns:a16="http://schemas.microsoft.com/office/drawing/2014/main" id="{78271E92-935A-41B4-9AB7-E5CD943D794E}"/>
                </a:ext>
              </a:extLst>
            </xdr:cNvPr>
            <xdr:cNvSpPr txBox="1"/>
          </xdr:nvSpPr>
          <xdr:spPr>
            <a:xfrm>
              <a:off x="70849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1" name="TextBox 270">
              <a:extLst>
                <a:ext uri="{FF2B5EF4-FFF2-40B4-BE49-F238E27FC236}">
                  <a16:creationId xmlns:a16="http://schemas.microsoft.com/office/drawing/2014/main" id="{2495A004-2F62-471F-AE18-9875F78CD482}"/>
                </a:ext>
              </a:extLst>
            </xdr:cNvPr>
            <xdr:cNvSpPr txBox="1"/>
          </xdr:nvSpPr>
          <xdr:spPr>
            <a:xfrm>
              <a:off x="79612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1" name="TextBox 270">
              <a:extLst>
                <a:ext uri="{FF2B5EF4-FFF2-40B4-BE49-F238E27FC236}">
                  <a16:creationId xmlns:a16="http://schemas.microsoft.com/office/drawing/2014/main" id="{2495A004-2F62-471F-AE18-9875F78CD482}"/>
                </a:ext>
              </a:extLst>
            </xdr:cNvPr>
            <xdr:cNvSpPr txBox="1"/>
          </xdr:nvSpPr>
          <xdr:spPr>
            <a:xfrm>
              <a:off x="79612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63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2" name="TextBox 271">
              <a:extLst>
                <a:ext uri="{FF2B5EF4-FFF2-40B4-BE49-F238E27FC236}">
                  <a16:creationId xmlns:a16="http://schemas.microsoft.com/office/drawing/2014/main" id="{3B5FAB1E-9FE6-4EF6-9882-D74A2A267300}"/>
                </a:ext>
              </a:extLst>
            </xdr:cNvPr>
            <xdr:cNvSpPr txBox="1"/>
          </xdr:nvSpPr>
          <xdr:spPr>
            <a:xfrm>
              <a:off x="8837507" y="8289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2" name="TextBox 271">
              <a:extLst>
                <a:ext uri="{FF2B5EF4-FFF2-40B4-BE49-F238E27FC236}">
                  <a16:creationId xmlns:a16="http://schemas.microsoft.com/office/drawing/2014/main" id="{3B5FAB1E-9FE6-4EF6-9882-D74A2A267300}"/>
                </a:ext>
              </a:extLst>
            </xdr:cNvPr>
            <xdr:cNvSpPr txBox="1"/>
          </xdr:nvSpPr>
          <xdr:spPr>
            <a:xfrm>
              <a:off x="8837507" y="8289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3" name="TextBox 272">
              <a:extLst>
                <a:ext uri="{FF2B5EF4-FFF2-40B4-BE49-F238E27FC236}">
                  <a16:creationId xmlns:a16="http://schemas.microsoft.com/office/drawing/2014/main" id="{1B4AE145-9210-4FAE-8108-721A98DC8850}"/>
                </a:ext>
              </a:extLst>
            </xdr:cNvPr>
            <xdr:cNvSpPr txBox="1"/>
          </xdr:nvSpPr>
          <xdr:spPr>
            <a:xfrm>
              <a:off x="9508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3" name="TextBox 272">
              <a:extLst>
                <a:ext uri="{FF2B5EF4-FFF2-40B4-BE49-F238E27FC236}">
                  <a16:creationId xmlns:a16="http://schemas.microsoft.com/office/drawing/2014/main" id="{1B4AE145-9210-4FAE-8108-721A98DC8850}"/>
                </a:ext>
              </a:extLst>
            </xdr:cNvPr>
            <xdr:cNvSpPr txBox="1"/>
          </xdr:nvSpPr>
          <xdr:spPr>
            <a:xfrm>
              <a:off x="9508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4" name="TextBox 273">
              <a:extLst>
                <a:ext uri="{FF2B5EF4-FFF2-40B4-BE49-F238E27FC236}">
                  <a16:creationId xmlns:a16="http://schemas.microsoft.com/office/drawing/2014/main" id="{4B635AB6-6B91-4F79-A71A-1930FC7ECF11}"/>
                </a:ext>
              </a:extLst>
            </xdr:cNvPr>
            <xdr:cNvSpPr txBox="1"/>
          </xdr:nvSpPr>
          <xdr:spPr>
            <a:xfrm>
              <a:off x="18271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4" name="TextBox 273">
              <a:extLst>
                <a:ext uri="{FF2B5EF4-FFF2-40B4-BE49-F238E27FC236}">
                  <a16:creationId xmlns:a16="http://schemas.microsoft.com/office/drawing/2014/main" id="{4B635AB6-6B91-4F79-A71A-1930FC7ECF11}"/>
                </a:ext>
              </a:extLst>
            </xdr:cNvPr>
            <xdr:cNvSpPr txBox="1"/>
          </xdr:nvSpPr>
          <xdr:spPr>
            <a:xfrm>
              <a:off x="18271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5" name="TextBox 274">
              <a:extLst>
                <a:ext uri="{FF2B5EF4-FFF2-40B4-BE49-F238E27FC236}">
                  <a16:creationId xmlns:a16="http://schemas.microsoft.com/office/drawing/2014/main" id="{3B856F29-B247-4608-83BE-D5813698E8FD}"/>
                </a:ext>
              </a:extLst>
            </xdr:cNvPr>
            <xdr:cNvSpPr txBox="1"/>
          </xdr:nvSpPr>
          <xdr:spPr>
            <a:xfrm>
              <a:off x="27034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5" name="TextBox 274">
              <a:extLst>
                <a:ext uri="{FF2B5EF4-FFF2-40B4-BE49-F238E27FC236}">
                  <a16:creationId xmlns:a16="http://schemas.microsoft.com/office/drawing/2014/main" id="{3B856F29-B247-4608-83BE-D5813698E8FD}"/>
                </a:ext>
              </a:extLst>
            </xdr:cNvPr>
            <xdr:cNvSpPr txBox="1"/>
          </xdr:nvSpPr>
          <xdr:spPr>
            <a:xfrm>
              <a:off x="27034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6" name="TextBox 275">
              <a:extLst>
                <a:ext uri="{FF2B5EF4-FFF2-40B4-BE49-F238E27FC236}">
                  <a16:creationId xmlns:a16="http://schemas.microsoft.com/office/drawing/2014/main" id="{4CFFC77B-8DB2-4562-810C-0499DABB588D}"/>
                </a:ext>
              </a:extLst>
            </xdr:cNvPr>
            <xdr:cNvSpPr txBox="1"/>
          </xdr:nvSpPr>
          <xdr:spPr>
            <a:xfrm>
              <a:off x="35797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6" name="TextBox 275">
              <a:extLst>
                <a:ext uri="{FF2B5EF4-FFF2-40B4-BE49-F238E27FC236}">
                  <a16:creationId xmlns:a16="http://schemas.microsoft.com/office/drawing/2014/main" id="{4CFFC77B-8DB2-4562-810C-0499DABB588D}"/>
                </a:ext>
              </a:extLst>
            </xdr:cNvPr>
            <xdr:cNvSpPr txBox="1"/>
          </xdr:nvSpPr>
          <xdr:spPr>
            <a:xfrm>
              <a:off x="35797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7" name="TextBox 276">
              <a:extLst>
                <a:ext uri="{FF2B5EF4-FFF2-40B4-BE49-F238E27FC236}">
                  <a16:creationId xmlns:a16="http://schemas.microsoft.com/office/drawing/2014/main" id="{EF742B8E-DC97-485D-85D4-A7F7CA1F1BC8}"/>
                </a:ext>
              </a:extLst>
            </xdr:cNvPr>
            <xdr:cNvSpPr txBox="1"/>
          </xdr:nvSpPr>
          <xdr:spPr>
            <a:xfrm>
              <a:off x="44560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7" name="TextBox 276">
              <a:extLst>
                <a:ext uri="{FF2B5EF4-FFF2-40B4-BE49-F238E27FC236}">
                  <a16:creationId xmlns:a16="http://schemas.microsoft.com/office/drawing/2014/main" id="{EF742B8E-DC97-485D-85D4-A7F7CA1F1BC8}"/>
                </a:ext>
              </a:extLst>
            </xdr:cNvPr>
            <xdr:cNvSpPr txBox="1"/>
          </xdr:nvSpPr>
          <xdr:spPr>
            <a:xfrm>
              <a:off x="44560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8" name="TextBox 277">
              <a:extLst>
                <a:ext uri="{FF2B5EF4-FFF2-40B4-BE49-F238E27FC236}">
                  <a16:creationId xmlns:a16="http://schemas.microsoft.com/office/drawing/2014/main" id="{994896CB-15D0-4C81-B3B8-8D6E62A38E59}"/>
                </a:ext>
              </a:extLst>
            </xdr:cNvPr>
            <xdr:cNvSpPr txBox="1"/>
          </xdr:nvSpPr>
          <xdr:spPr>
            <a:xfrm>
              <a:off x="53323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8" name="TextBox 277">
              <a:extLst>
                <a:ext uri="{FF2B5EF4-FFF2-40B4-BE49-F238E27FC236}">
                  <a16:creationId xmlns:a16="http://schemas.microsoft.com/office/drawing/2014/main" id="{994896CB-15D0-4C81-B3B8-8D6E62A38E59}"/>
                </a:ext>
              </a:extLst>
            </xdr:cNvPr>
            <xdr:cNvSpPr txBox="1"/>
          </xdr:nvSpPr>
          <xdr:spPr>
            <a:xfrm>
              <a:off x="53323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9" name="TextBox 278">
              <a:extLst>
                <a:ext uri="{FF2B5EF4-FFF2-40B4-BE49-F238E27FC236}">
                  <a16:creationId xmlns:a16="http://schemas.microsoft.com/office/drawing/2014/main" id="{EEB486A3-1636-4B5F-94EC-3B2BD857ECCA}"/>
                </a:ext>
              </a:extLst>
            </xdr:cNvPr>
            <xdr:cNvSpPr txBox="1"/>
          </xdr:nvSpPr>
          <xdr:spPr>
            <a:xfrm>
              <a:off x="62086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9" name="TextBox 278">
              <a:extLst>
                <a:ext uri="{FF2B5EF4-FFF2-40B4-BE49-F238E27FC236}">
                  <a16:creationId xmlns:a16="http://schemas.microsoft.com/office/drawing/2014/main" id="{EEB486A3-1636-4B5F-94EC-3B2BD857ECCA}"/>
                </a:ext>
              </a:extLst>
            </xdr:cNvPr>
            <xdr:cNvSpPr txBox="1"/>
          </xdr:nvSpPr>
          <xdr:spPr>
            <a:xfrm>
              <a:off x="62086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0" name="TextBox 279">
              <a:extLst>
                <a:ext uri="{FF2B5EF4-FFF2-40B4-BE49-F238E27FC236}">
                  <a16:creationId xmlns:a16="http://schemas.microsoft.com/office/drawing/2014/main" id="{003D2500-1907-483F-882F-4F4D2A662589}"/>
                </a:ext>
              </a:extLst>
            </xdr:cNvPr>
            <xdr:cNvSpPr txBox="1"/>
          </xdr:nvSpPr>
          <xdr:spPr>
            <a:xfrm>
              <a:off x="70849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0" name="TextBox 279">
              <a:extLst>
                <a:ext uri="{FF2B5EF4-FFF2-40B4-BE49-F238E27FC236}">
                  <a16:creationId xmlns:a16="http://schemas.microsoft.com/office/drawing/2014/main" id="{003D2500-1907-483F-882F-4F4D2A662589}"/>
                </a:ext>
              </a:extLst>
            </xdr:cNvPr>
            <xdr:cNvSpPr txBox="1"/>
          </xdr:nvSpPr>
          <xdr:spPr>
            <a:xfrm>
              <a:off x="70849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63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1" name="TextBox 280">
              <a:extLst>
                <a:ext uri="{FF2B5EF4-FFF2-40B4-BE49-F238E27FC236}">
                  <a16:creationId xmlns:a16="http://schemas.microsoft.com/office/drawing/2014/main" id="{75F19B02-8D90-4FFB-9753-2C6EEEF8A740}"/>
                </a:ext>
              </a:extLst>
            </xdr:cNvPr>
            <xdr:cNvSpPr txBox="1"/>
          </xdr:nvSpPr>
          <xdr:spPr>
            <a:xfrm>
              <a:off x="79612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1" name="TextBox 280">
              <a:extLst>
                <a:ext uri="{FF2B5EF4-FFF2-40B4-BE49-F238E27FC236}">
                  <a16:creationId xmlns:a16="http://schemas.microsoft.com/office/drawing/2014/main" id="{75F19B02-8D90-4FFB-9753-2C6EEEF8A740}"/>
                </a:ext>
              </a:extLst>
            </xdr:cNvPr>
            <xdr:cNvSpPr txBox="1"/>
          </xdr:nvSpPr>
          <xdr:spPr>
            <a:xfrm>
              <a:off x="7961207" y="8289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63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2" name="TextBox 281">
              <a:extLst>
                <a:ext uri="{FF2B5EF4-FFF2-40B4-BE49-F238E27FC236}">
                  <a16:creationId xmlns:a16="http://schemas.microsoft.com/office/drawing/2014/main" id="{FDDC5D02-3FF1-4B4A-A1D4-B433FD39901F}"/>
                </a:ext>
              </a:extLst>
            </xdr:cNvPr>
            <xdr:cNvSpPr txBox="1"/>
          </xdr:nvSpPr>
          <xdr:spPr>
            <a:xfrm>
              <a:off x="8837507" y="8289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2" name="TextBox 281">
              <a:extLst>
                <a:ext uri="{FF2B5EF4-FFF2-40B4-BE49-F238E27FC236}">
                  <a16:creationId xmlns:a16="http://schemas.microsoft.com/office/drawing/2014/main" id="{FDDC5D02-3FF1-4B4A-A1D4-B433FD39901F}"/>
                </a:ext>
              </a:extLst>
            </xdr:cNvPr>
            <xdr:cNvSpPr txBox="1"/>
          </xdr:nvSpPr>
          <xdr:spPr>
            <a:xfrm>
              <a:off x="8837507" y="8289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3" name="TextBox 282">
              <a:extLst>
                <a:ext uri="{FF2B5EF4-FFF2-40B4-BE49-F238E27FC236}">
                  <a16:creationId xmlns:a16="http://schemas.microsoft.com/office/drawing/2014/main" id="{0FEEF5DF-D89C-40E2-98E7-A2D7B661BD28}"/>
                </a:ext>
              </a:extLst>
            </xdr:cNvPr>
            <xdr:cNvSpPr txBox="1"/>
          </xdr:nvSpPr>
          <xdr:spPr>
            <a:xfrm>
              <a:off x="9508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3" name="TextBox 282">
              <a:extLst>
                <a:ext uri="{FF2B5EF4-FFF2-40B4-BE49-F238E27FC236}">
                  <a16:creationId xmlns:a16="http://schemas.microsoft.com/office/drawing/2014/main" id="{0FEEF5DF-D89C-40E2-98E7-A2D7B661BD28}"/>
                </a:ext>
              </a:extLst>
            </xdr:cNvPr>
            <xdr:cNvSpPr txBox="1"/>
          </xdr:nvSpPr>
          <xdr:spPr>
            <a:xfrm>
              <a:off x="9508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4" name="TextBox 283">
              <a:extLst>
                <a:ext uri="{FF2B5EF4-FFF2-40B4-BE49-F238E27FC236}">
                  <a16:creationId xmlns:a16="http://schemas.microsoft.com/office/drawing/2014/main" id="{F267E6F2-78D5-4396-82B4-2E95A282FD93}"/>
                </a:ext>
              </a:extLst>
            </xdr:cNvPr>
            <xdr:cNvSpPr txBox="1"/>
          </xdr:nvSpPr>
          <xdr:spPr>
            <a:xfrm>
              <a:off x="18271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4" name="TextBox 283">
              <a:extLst>
                <a:ext uri="{FF2B5EF4-FFF2-40B4-BE49-F238E27FC236}">
                  <a16:creationId xmlns:a16="http://schemas.microsoft.com/office/drawing/2014/main" id="{F267E6F2-78D5-4396-82B4-2E95A282FD93}"/>
                </a:ext>
              </a:extLst>
            </xdr:cNvPr>
            <xdr:cNvSpPr txBox="1"/>
          </xdr:nvSpPr>
          <xdr:spPr>
            <a:xfrm>
              <a:off x="18271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5" name="TextBox 284">
              <a:extLst>
                <a:ext uri="{FF2B5EF4-FFF2-40B4-BE49-F238E27FC236}">
                  <a16:creationId xmlns:a16="http://schemas.microsoft.com/office/drawing/2014/main" id="{F60E75A5-64AB-4037-BE42-922A776D521D}"/>
                </a:ext>
              </a:extLst>
            </xdr:cNvPr>
            <xdr:cNvSpPr txBox="1"/>
          </xdr:nvSpPr>
          <xdr:spPr>
            <a:xfrm>
              <a:off x="27034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5" name="TextBox 284">
              <a:extLst>
                <a:ext uri="{FF2B5EF4-FFF2-40B4-BE49-F238E27FC236}">
                  <a16:creationId xmlns:a16="http://schemas.microsoft.com/office/drawing/2014/main" id="{F60E75A5-64AB-4037-BE42-922A776D521D}"/>
                </a:ext>
              </a:extLst>
            </xdr:cNvPr>
            <xdr:cNvSpPr txBox="1"/>
          </xdr:nvSpPr>
          <xdr:spPr>
            <a:xfrm>
              <a:off x="27034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6" name="TextBox 285">
              <a:extLst>
                <a:ext uri="{FF2B5EF4-FFF2-40B4-BE49-F238E27FC236}">
                  <a16:creationId xmlns:a16="http://schemas.microsoft.com/office/drawing/2014/main" id="{6838491A-F4A0-493F-8C49-562A4B7814B8}"/>
                </a:ext>
              </a:extLst>
            </xdr:cNvPr>
            <xdr:cNvSpPr txBox="1"/>
          </xdr:nvSpPr>
          <xdr:spPr>
            <a:xfrm>
              <a:off x="35797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6" name="TextBox 285">
              <a:extLst>
                <a:ext uri="{FF2B5EF4-FFF2-40B4-BE49-F238E27FC236}">
                  <a16:creationId xmlns:a16="http://schemas.microsoft.com/office/drawing/2014/main" id="{6838491A-F4A0-493F-8C49-562A4B7814B8}"/>
                </a:ext>
              </a:extLst>
            </xdr:cNvPr>
            <xdr:cNvSpPr txBox="1"/>
          </xdr:nvSpPr>
          <xdr:spPr>
            <a:xfrm>
              <a:off x="35797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7" name="TextBox 286">
              <a:extLst>
                <a:ext uri="{FF2B5EF4-FFF2-40B4-BE49-F238E27FC236}">
                  <a16:creationId xmlns:a16="http://schemas.microsoft.com/office/drawing/2014/main" id="{A57CBAE2-6944-4AFB-988B-68FE82C74420}"/>
                </a:ext>
              </a:extLst>
            </xdr:cNvPr>
            <xdr:cNvSpPr txBox="1"/>
          </xdr:nvSpPr>
          <xdr:spPr>
            <a:xfrm>
              <a:off x="44560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7" name="TextBox 286">
              <a:extLst>
                <a:ext uri="{FF2B5EF4-FFF2-40B4-BE49-F238E27FC236}">
                  <a16:creationId xmlns:a16="http://schemas.microsoft.com/office/drawing/2014/main" id="{A57CBAE2-6944-4AFB-988B-68FE82C74420}"/>
                </a:ext>
              </a:extLst>
            </xdr:cNvPr>
            <xdr:cNvSpPr txBox="1"/>
          </xdr:nvSpPr>
          <xdr:spPr>
            <a:xfrm>
              <a:off x="44560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8" name="TextBox 287">
              <a:extLst>
                <a:ext uri="{FF2B5EF4-FFF2-40B4-BE49-F238E27FC236}">
                  <a16:creationId xmlns:a16="http://schemas.microsoft.com/office/drawing/2014/main" id="{5756C1CB-3842-402E-A521-85709C3DB066}"/>
                </a:ext>
              </a:extLst>
            </xdr:cNvPr>
            <xdr:cNvSpPr txBox="1"/>
          </xdr:nvSpPr>
          <xdr:spPr>
            <a:xfrm>
              <a:off x="53323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8" name="TextBox 287">
              <a:extLst>
                <a:ext uri="{FF2B5EF4-FFF2-40B4-BE49-F238E27FC236}">
                  <a16:creationId xmlns:a16="http://schemas.microsoft.com/office/drawing/2014/main" id="{5756C1CB-3842-402E-A521-85709C3DB066}"/>
                </a:ext>
              </a:extLst>
            </xdr:cNvPr>
            <xdr:cNvSpPr txBox="1"/>
          </xdr:nvSpPr>
          <xdr:spPr>
            <a:xfrm>
              <a:off x="53323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9" name="TextBox 288">
              <a:extLst>
                <a:ext uri="{FF2B5EF4-FFF2-40B4-BE49-F238E27FC236}">
                  <a16:creationId xmlns:a16="http://schemas.microsoft.com/office/drawing/2014/main" id="{51B6BD01-46B1-49E8-8D91-A80FD1D19088}"/>
                </a:ext>
              </a:extLst>
            </xdr:cNvPr>
            <xdr:cNvSpPr txBox="1"/>
          </xdr:nvSpPr>
          <xdr:spPr>
            <a:xfrm>
              <a:off x="62086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9" name="TextBox 288">
              <a:extLst>
                <a:ext uri="{FF2B5EF4-FFF2-40B4-BE49-F238E27FC236}">
                  <a16:creationId xmlns:a16="http://schemas.microsoft.com/office/drawing/2014/main" id="{51B6BD01-46B1-49E8-8D91-A80FD1D19088}"/>
                </a:ext>
              </a:extLst>
            </xdr:cNvPr>
            <xdr:cNvSpPr txBox="1"/>
          </xdr:nvSpPr>
          <xdr:spPr>
            <a:xfrm>
              <a:off x="62086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0" name="TextBox 289">
              <a:extLst>
                <a:ext uri="{FF2B5EF4-FFF2-40B4-BE49-F238E27FC236}">
                  <a16:creationId xmlns:a16="http://schemas.microsoft.com/office/drawing/2014/main" id="{78FAA5B6-D651-49A6-AA78-3E84B88CEE5E}"/>
                </a:ext>
              </a:extLst>
            </xdr:cNvPr>
            <xdr:cNvSpPr txBox="1"/>
          </xdr:nvSpPr>
          <xdr:spPr>
            <a:xfrm>
              <a:off x="70849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0" name="TextBox 289">
              <a:extLst>
                <a:ext uri="{FF2B5EF4-FFF2-40B4-BE49-F238E27FC236}">
                  <a16:creationId xmlns:a16="http://schemas.microsoft.com/office/drawing/2014/main" id="{78FAA5B6-D651-49A6-AA78-3E84B88CEE5E}"/>
                </a:ext>
              </a:extLst>
            </xdr:cNvPr>
            <xdr:cNvSpPr txBox="1"/>
          </xdr:nvSpPr>
          <xdr:spPr>
            <a:xfrm>
              <a:off x="70849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1" name="TextBox 290">
              <a:extLst>
                <a:ext uri="{FF2B5EF4-FFF2-40B4-BE49-F238E27FC236}">
                  <a16:creationId xmlns:a16="http://schemas.microsoft.com/office/drawing/2014/main" id="{51BE9FD3-46F0-4DC7-9AE8-05631EF8C140}"/>
                </a:ext>
              </a:extLst>
            </xdr:cNvPr>
            <xdr:cNvSpPr txBox="1"/>
          </xdr:nvSpPr>
          <xdr:spPr>
            <a:xfrm>
              <a:off x="79612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1" name="TextBox 290">
              <a:extLst>
                <a:ext uri="{FF2B5EF4-FFF2-40B4-BE49-F238E27FC236}">
                  <a16:creationId xmlns:a16="http://schemas.microsoft.com/office/drawing/2014/main" id="{51BE9FD3-46F0-4DC7-9AE8-05631EF8C140}"/>
                </a:ext>
              </a:extLst>
            </xdr:cNvPr>
            <xdr:cNvSpPr txBox="1"/>
          </xdr:nvSpPr>
          <xdr:spPr>
            <a:xfrm>
              <a:off x="79612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104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2" name="TextBox 291">
              <a:extLst>
                <a:ext uri="{FF2B5EF4-FFF2-40B4-BE49-F238E27FC236}">
                  <a16:creationId xmlns:a16="http://schemas.microsoft.com/office/drawing/2014/main" id="{95537197-7679-406A-9C94-7BFAB9A4AF58}"/>
                </a:ext>
              </a:extLst>
            </xdr:cNvPr>
            <xdr:cNvSpPr txBox="1"/>
          </xdr:nvSpPr>
          <xdr:spPr>
            <a:xfrm>
              <a:off x="8837507" y="122902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2" name="TextBox 291">
              <a:extLst>
                <a:ext uri="{FF2B5EF4-FFF2-40B4-BE49-F238E27FC236}">
                  <a16:creationId xmlns:a16="http://schemas.microsoft.com/office/drawing/2014/main" id="{95537197-7679-406A-9C94-7BFAB9A4AF58}"/>
                </a:ext>
              </a:extLst>
            </xdr:cNvPr>
            <xdr:cNvSpPr txBox="1"/>
          </xdr:nvSpPr>
          <xdr:spPr>
            <a:xfrm>
              <a:off x="8837507" y="122902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3" name="TextBox 292">
              <a:extLst>
                <a:ext uri="{FF2B5EF4-FFF2-40B4-BE49-F238E27FC236}">
                  <a16:creationId xmlns:a16="http://schemas.microsoft.com/office/drawing/2014/main" id="{790239A8-97F5-4251-9756-F7292D07348B}"/>
                </a:ext>
              </a:extLst>
            </xdr:cNvPr>
            <xdr:cNvSpPr txBox="1"/>
          </xdr:nvSpPr>
          <xdr:spPr>
            <a:xfrm>
              <a:off x="9508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3" name="TextBox 292">
              <a:extLst>
                <a:ext uri="{FF2B5EF4-FFF2-40B4-BE49-F238E27FC236}">
                  <a16:creationId xmlns:a16="http://schemas.microsoft.com/office/drawing/2014/main" id="{790239A8-97F5-4251-9756-F7292D07348B}"/>
                </a:ext>
              </a:extLst>
            </xdr:cNvPr>
            <xdr:cNvSpPr txBox="1"/>
          </xdr:nvSpPr>
          <xdr:spPr>
            <a:xfrm>
              <a:off x="9508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4" name="TextBox 293">
              <a:extLst>
                <a:ext uri="{FF2B5EF4-FFF2-40B4-BE49-F238E27FC236}">
                  <a16:creationId xmlns:a16="http://schemas.microsoft.com/office/drawing/2014/main" id="{32AE1D5C-F3C8-43C0-937B-6DAD6CBB3BF6}"/>
                </a:ext>
              </a:extLst>
            </xdr:cNvPr>
            <xdr:cNvSpPr txBox="1"/>
          </xdr:nvSpPr>
          <xdr:spPr>
            <a:xfrm>
              <a:off x="18271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4" name="TextBox 293">
              <a:extLst>
                <a:ext uri="{FF2B5EF4-FFF2-40B4-BE49-F238E27FC236}">
                  <a16:creationId xmlns:a16="http://schemas.microsoft.com/office/drawing/2014/main" id="{32AE1D5C-F3C8-43C0-937B-6DAD6CBB3BF6}"/>
                </a:ext>
              </a:extLst>
            </xdr:cNvPr>
            <xdr:cNvSpPr txBox="1"/>
          </xdr:nvSpPr>
          <xdr:spPr>
            <a:xfrm>
              <a:off x="18271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5" name="TextBox 294">
              <a:extLst>
                <a:ext uri="{FF2B5EF4-FFF2-40B4-BE49-F238E27FC236}">
                  <a16:creationId xmlns:a16="http://schemas.microsoft.com/office/drawing/2014/main" id="{F21CBB58-A654-479E-991F-2DCB1C15B46F}"/>
                </a:ext>
              </a:extLst>
            </xdr:cNvPr>
            <xdr:cNvSpPr txBox="1"/>
          </xdr:nvSpPr>
          <xdr:spPr>
            <a:xfrm>
              <a:off x="27034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5" name="TextBox 294">
              <a:extLst>
                <a:ext uri="{FF2B5EF4-FFF2-40B4-BE49-F238E27FC236}">
                  <a16:creationId xmlns:a16="http://schemas.microsoft.com/office/drawing/2014/main" id="{F21CBB58-A654-479E-991F-2DCB1C15B46F}"/>
                </a:ext>
              </a:extLst>
            </xdr:cNvPr>
            <xdr:cNvSpPr txBox="1"/>
          </xdr:nvSpPr>
          <xdr:spPr>
            <a:xfrm>
              <a:off x="27034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6" name="TextBox 295">
              <a:extLst>
                <a:ext uri="{FF2B5EF4-FFF2-40B4-BE49-F238E27FC236}">
                  <a16:creationId xmlns:a16="http://schemas.microsoft.com/office/drawing/2014/main" id="{8A1B1F6A-859E-4163-9192-EE2AC7762E2D}"/>
                </a:ext>
              </a:extLst>
            </xdr:cNvPr>
            <xdr:cNvSpPr txBox="1"/>
          </xdr:nvSpPr>
          <xdr:spPr>
            <a:xfrm>
              <a:off x="35797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6" name="TextBox 295">
              <a:extLst>
                <a:ext uri="{FF2B5EF4-FFF2-40B4-BE49-F238E27FC236}">
                  <a16:creationId xmlns:a16="http://schemas.microsoft.com/office/drawing/2014/main" id="{8A1B1F6A-859E-4163-9192-EE2AC7762E2D}"/>
                </a:ext>
              </a:extLst>
            </xdr:cNvPr>
            <xdr:cNvSpPr txBox="1"/>
          </xdr:nvSpPr>
          <xdr:spPr>
            <a:xfrm>
              <a:off x="35797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7" name="TextBox 296">
              <a:extLst>
                <a:ext uri="{FF2B5EF4-FFF2-40B4-BE49-F238E27FC236}">
                  <a16:creationId xmlns:a16="http://schemas.microsoft.com/office/drawing/2014/main" id="{84C10CEB-9A7F-4AA2-9734-4AE7AA1DBBB0}"/>
                </a:ext>
              </a:extLst>
            </xdr:cNvPr>
            <xdr:cNvSpPr txBox="1"/>
          </xdr:nvSpPr>
          <xdr:spPr>
            <a:xfrm>
              <a:off x="44560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7" name="TextBox 296">
              <a:extLst>
                <a:ext uri="{FF2B5EF4-FFF2-40B4-BE49-F238E27FC236}">
                  <a16:creationId xmlns:a16="http://schemas.microsoft.com/office/drawing/2014/main" id="{84C10CEB-9A7F-4AA2-9734-4AE7AA1DBBB0}"/>
                </a:ext>
              </a:extLst>
            </xdr:cNvPr>
            <xdr:cNvSpPr txBox="1"/>
          </xdr:nvSpPr>
          <xdr:spPr>
            <a:xfrm>
              <a:off x="44560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8" name="TextBox 297">
              <a:extLst>
                <a:ext uri="{FF2B5EF4-FFF2-40B4-BE49-F238E27FC236}">
                  <a16:creationId xmlns:a16="http://schemas.microsoft.com/office/drawing/2014/main" id="{F457A442-41AA-48B9-AE42-028B082DFBFB}"/>
                </a:ext>
              </a:extLst>
            </xdr:cNvPr>
            <xdr:cNvSpPr txBox="1"/>
          </xdr:nvSpPr>
          <xdr:spPr>
            <a:xfrm>
              <a:off x="53323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8" name="TextBox 297">
              <a:extLst>
                <a:ext uri="{FF2B5EF4-FFF2-40B4-BE49-F238E27FC236}">
                  <a16:creationId xmlns:a16="http://schemas.microsoft.com/office/drawing/2014/main" id="{F457A442-41AA-48B9-AE42-028B082DFBFB}"/>
                </a:ext>
              </a:extLst>
            </xdr:cNvPr>
            <xdr:cNvSpPr txBox="1"/>
          </xdr:nvSpPr>
          <xdr:spPr>
            <a:xfrm>
              <a:off x="53323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9" name="TextBox 298">
              <a:extLst>
                <a:ext uri="{FF2B5EF4-FFF2-40B4-BE49-F238E27FC236}">
                  <a16:creationId xmlns:a16="http://schemas.microsoft.com/office/drawing/2014/main" id="{783C87C9-2792-4FED-BBEF-EF0499051EC1}"/>
                </a:ext>
              </a:extLst>
            </xdr:cNvPr>
            <xdr:cNvSpPr txBox="1"/>
          </xdr:nvSpPr>
          <xdr:spPr>
            <a:xfrm>
              <a:off x="62086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9" name="TextBox 298">
              <a:extLst>
                <a:ext uri="{FF2B5EF4-FFF2-40B4-BE49-F238E27FC236}">
                  <a16:creationId xmlns:a16="http://schemas.microsoft.com/office/drawing/2014/main" id="{783C87C9-2792-4FED-BBEF-EF0499051EC1}"/>
                </a:ext>
              </a:extLst>
            </xdr:cNvPr>
            <xdr:cNvSpPr txBox="1"/>
          </xdr:nvSpPr>
          <xdr:spPr>
            <a:xfrm>
              <a:off x="62086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0" name="TextBox 299">
              <a:extLst>
                <a:ext uri="{FF2B5EF4-FFF2-40B4-BE49-F238E27FC236}">
                  <a16:creationId xmlns:a16="http://schemas.microsoft.com/office/drawing/2014/main" id="{A95D5B4D-4F19-4316-83C3-0509EEA24740}"/>
                </a:ext>
              </a:extLst>
            </xdr:cNvPr>
            <xdr:cNvSpPr txBox="1"/>
          </xdr:nvSpPr>
          <xdr:spPr>
            <a:xfrm>
              <a:off x="70849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0" name="TextBox 299">
              <a:extLst>
                <a:ext uri="{FF2B5EF4-FFF2-40B4-BE49-F238E27FC236}">
                  <a16:creationId xmlns:a16="http://schemas.microsoft.com/office/drawing/2014/main" id="{A95D5B4D-4F19-4316-83C3-0509EEA24740}"/>
                </a:ext>
              </a:extLst>
            </xdr:cNvPr>
            <xdr:cNvSpPr txBox="1"/>
          </xdr:nvSpPr>
          <xdr:spPr>
            <a:xfrm>
              <a:off x="70849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1" name="TextBox 300">
              <a:extLst>
                <a:ext uri="{FF2B5EF4-FFF2-40B4-BE49-F238E27FC236}">
                  <a16:creationId xmlns:a16="http://schemas.microsoft.com/office/drawing/2014/main" id="{A8C2F67F-5E58-4FBD-A106-68E205170C5B}"/>
                </a:ext>
              </a:extLst>
            </xdr:cNvPr>
            <xdr:cNvSpPr txBox="1"/>
          </xdr:nvSpPr>
          <xdr:spPr>
            <a:xfrm>
              <a:off x="79612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1" name="TextBox 300">
              <a:extLst>
                <a:ext uri="{FF2B5EF4-FFF2-40B4-BE49-F238E27FC236}">
                  <a16:creationId xmlns:a16="http://schemas.microsoft.com/office/drawing/2014/main" id="{A8C2F67F-5E58-4FBD-A106-68E205170C5B}"/>
                </a:ext>
              </a:extLst>
            </xdr:cNvPr>
            <xdr:cNvSpPr txBox="1"/>
          </xdr:nvSpPr>
          <xdr:spPr>
            <a:xfrm>
              <a:off x="79612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104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2" name="TextBox 301">
              <a:extLst>
                <a:ext uri="{FF2B5EF4-FFF2-40B4-BE49-F238E27FC236}">
                  <a16:creationId xmlns:a16="http://schemas.microsoft.com/office/drawing/2014/main" id="{8C9D1538-739A-4CC2-B963-EC8A11AF9D89}"/>
                </a:ext>
              </a:extLst>
            </xdr:cNvPr>
            <xdr:cNvSpPr txBox="1"/>
          </xdr:nvSpPr>
          <xdr:spPr>
            <a:xfrm>
              <a:off x="8837507" y="122902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2" name="TextBox 301">
              <a:extLst>
                <a:ext uri="{FF2B5EF4-FFF2-40B4-BE49-F238E27FC236}">
                  <a16:creationId xmlns:a16="http://schemas.microsoft.com/office/drawing/2014/main" id="{8C9D1538-739A-4CC2-B963-EC8A11AF9D89}"/>
                </a:ext>
              </a:extLst>
            </xdr:cNvPr>
            <xdr:cNvSpPr txBox="1"/>
          </xdr:nvSpPr>
          <xdr:spPr>
            <a:xfrm>
              <a:off x="8837507" y="122902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3" name="TextBox 302">
              <a:extLst>
                <a:ext uri="{FF2B5EF4-FFF2-40B4-BE49-F238E27FC236}">
                  <a16:creationId xmlns:a16="http://schemas.microsoft.com/office/drawing/2014/main" id="{E7541080-BA0F-4B3C-AD0E-CC9190EAEF59}"/>
                </a:ext>
              </a:extLst>
            </xdr:cNvPr>
            <xdr:cNvSpPr txBox="1"/>
          </xdr:nvSpPr>
          <xdr:spPr>
            <a:xfrm>
              <a:off x="9508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3" name="TextBox 302">
              <a:extLst>
                <a:ext uri="{FF2B5EF4-FFF2-40B4-BE49-F238E27FC236}">
                  <a16:creationId xmlns:a16="http://schemas.microsoft.com/office/drawing/2014/main" id="{E7541080-BA0F-4B3C-AD0E-CC9190EAEF59}"/>
                </a:ext>
              </a:extLst>
            </xdr:cNvPr>
            <xdr:cNvSpPr txBox="1"/>
          </xdr:nvSpPr>
          <xdr:spPr>
            <a:xfrm>
              <a:off x="9508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4" name="TextBox 303">
              <a:extLst>
                <a:ext uri="{FF2B5EF4-FFF2-40B4-BE49-F238E27FC236}">
                  <a16:creationId xmlns:a16="http://schemas.microsoft.com/office/drawing/2014/main" id="{43EE6A83-5901-4719-A923-014F80498EC8}"/>
                </a:ext>
              </a:extLst>
            </xdr:cNvPr>
            <xdr:cNvSpPr txBox="1"/>
          </xdr:nvSpPr>
          <xdr:spPr>
            <a:xfrm>
              <a:off x="18271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4" name="TextBox 303">
              <a:extLst>
                <a:ext uri="{FF2B5EF4-FFF2-40B4-BE49-F238E27FC236}">
                  <a16:creationId xmlns:a16="http://schemas.microsoft.com/office/drawing/2014/main" id="{43EE6A83-5901-4719-A923-014F80498EC8}"/>
                </a:ext>
              </a:extLst>
            </xdr:cNvPr>
            <xdr:cNvSpPr txBox="1"/>
          </xdr:nvSpPr>
          <xdr:spPr>
            <a:xfrm>
              <a:off x="18271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5" name="TextBox 304">
              <a:extLst>
                <a:ext uri="{FF2B5EF4-FFF2-40B4-BE49-F238E27FC236}">
                  <a16:creationId xmlns:a16="http://schemas.microsoft.com/office/drawing/2014/main" id="{9E6AD938-CEFD-47C1-B846-3C3D62FBCAA7}"/>
                </a:ext>
              </a:extLst>
            </xdr:cNvPr>
            <xdr:cNvSpPr txBox="1"/>
          </xdr:nvSpPr>
          <xdr:spPr>
            <a:xfrm>
              <a:off x="27034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5" name="TextBox 304">
              <a:extLst>
                <a:ext uri="{FF2B5EF4-FFF2-40B4-BE49-F238E27FC236}">
                  <a16:creationId xmlns:a16="http://schemas.microsoft.com/office/drawing/2014/main" id="{9E6AD938-CEFD-47C1-B846-3C3D62FBCAA7}"/>
                </a:ext>
              </a:extLst>
            </xdr:cNvPr>
            <xdr:cNvSpPr txBox="1"/>
          </xdr:nvSpPr>
          <xdr:spPr>
            <a:xfrm>
              <a:off x="27034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6" name="TextBox 305">
              <a:extLst>
                <a:ext uri="{FF2B5EF4-FFF2-40B4-BE49-F238E27FC236}">
                  <a16:creationId xmlns:a16="http://schemas.microsoft.com/office/drawing/2014/main" id="{335B2AB9-904F-4499-9196-5F55F4F605B1}"/>
                </a:ext>
              </a:extLst>
            </xdr:cNvPr>
            <xdr:cNvSpPr txBox="1"/>
          </xdr:nvSpPr>
          <xdr:spPr>
            <a:xfrm>
              <a:off x="35797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6" name="TextBox 305">
              <a:extLst>
                <a:ext uri="{FF2B5EF4-FFF2-40B4-BE49-F238E27FC236}">
                  <a16:creationId xmlns:a16="http://schemas.microsoft.com/office/drawing/2014/main" id="{335B2AB9-904F-4499-9196-5F55F4F605B1}"/>
                </a:ext>
              </a:extLst>
            </xdr:cNvPr>
            <xdr:cNvSpPr txBox="1"/>
          </xdr:nvSpPr>
          <xdr:spPr>
            <a:xfrm>
              <a:off x="35797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7" name="TextBox 306">
              <a:extLst>
                <a:ext uri="{FF2B5EF4-FFF2-40B4-BE49-F238E27FC236}">
                  <a16:creationId xmlns:a16="http://schemas.microsoft.com/office/drawing/2014/main" id="{B9D4F8F3-AB2B-4B4A-ADF8-AB038EBBD9E3}"/>
                </a:ext>
              </a:extLst>
            </xdr:cNvPr>
            <xdr:cNvSpPr txBox="1"/>
          </xdr:nvSpPr>
          <xdr:spPr>
            <a:xfrm>
              <a:off x="44560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7" name="TextBox 306">
              <a:extLst>
                <a:ext uri="{FF2B5EF4-FFF2-40B4-BE49-F238E27FC236}">
                  <a16:creationId xmlns:a16="http://schemas.microsoft.com/office/drawing/2014/main" id="{B9D4F8F3-AB2B-4B4A-ADF8-AB038EBBD9E3}"/>
                </a:ext>
              </a:extLst>
            </xdr:cNvPr>
            <xdr:cNvSpPr txBox="1"/>
          </xdr:nvSpPr>
          <xdr:spPr>
            <a:xfrm>
              <a:off x="44560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8" name="TextBox 307">
              <a:extLst>
                <a:ext uri="{FF2B5EF4-FFF2-40B4-BE49-F238E27FC236}">
                  <a16:creationId xmlns:a16="http://schemas.microsoft.com/office/drawing/2014/main" id="{F26900AC-7A8E-4EA5-AC57-54A87326189C}"/>
                </a:ext>
              </a:extLst>
            </xdr:cNvPr>
            <xdr:cNvSpPr txBox="1"/>
          </xdr:nvSpPr>
          <xdr:spPr>
            <a:xfrm>
              <a:off x="53323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8" name="TextBox 307">
              <a:extLst>
                <a:ext uri="{FF2B5EF4-FFF2-40B4-BE49-F238E27FC236}">
                  <a16:creationId xmlns:a16="http://schemas.microsoft.com/office/drawing/2014/main" id="{F26900AC-7A8E-4EA5-AC57-54A87326189C}"/>
                </a:ext>
              </a:extLst>
            </xdr:cNvPr>
            <xdr:cNvSpPr txBox="1"/>
          </xdr:nvSpPr>
          <xdr:spPr>
            <a:xfrm>
              <a:off x="53323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9" name="TextBox 308">
              <a:extLst>
                <a:ext uri="{FF2B5EF4-FFF2-40B4-BE49-F238E27FC236}">
                  <a16:creationId xmlns:a16="http://schemas.microsoft.com/office/drawing/2014/main" id="{99A77914-C42B-4BC1-8780-7D1F30FF3288}"/>
                </a:ext>
              </a:extLst>
            </xdr:cNvPr>
            <xdr:cNvSpPr txBox="1"/>
          </xdr:nvSpPr>
          <xdr:spPr>
            <a:xfrm>
              <a:off x="62086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9" name="TextBox 308">
              <a:extLst>
                <a:ext uri="{FF2B5EF4-FFF2-40B4-BE49-F238E27FC236}">
                  <a16:creationId xmlns:a16="http://schemas.microsoft.com/office/drawing/2014/main" id="{99A77914-C42B-4BC1-8780-7D1F30FF3288}"/>
                </a:ext>
              </a:extLst>
            </xdr:cNvPr>
            <xdr:cNvSpPr txBox="1"/>
          </xdr:nvSpPr>
          <xdr:spPr>
            <a:xfrm>
              <a:off x="62086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0" name="TextBox 309">
              <a:extLst>
                <a:ext uri="{FF2B5EF4-FFF2-40B4-BE49-F238E27FC236}">
                  <a16:creationId xmlns:a16="http://schemas.microsoft.com/office/drawing/2014/main" id="{540E6837-8B86-4401-B5C3-6F10322C33A6}"/>
                </a:ext>
              </a:extLst>
            </xdr:cNvPr>
            <xdr:cNvSpPr txBox="1"/>
          </xdr:nvSpPr>
          <xdr:spPr>
            <a:xfrm>
              <a:off x="70849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0" name="TextBox 309">
              <a:extLst>
                <a:ext uri="{FF2B5EF4-FFF2-40B4-BE49-F238E27FC236}">
                  <a16:creationId xmlns:a16="http://schemas.microsoft.com/office/drawing/2014/main" id="{540E6837-8B86-4401-B5C3-6F10322C33A6}"/>
                </a:ext>
              </a:extLst>
            </xdr:cNvPr>
            <xdr:cNvSpPr txBox="1"/>
          </xdr:nvSpPr>
          <xdr:spPr>
            <a:xfrm>
              <a:off x="70849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1" name="TextBox 310">
              <a:extLst>
                <a:ext uri="{FF2B5EF4-FFF2-40B4-BE49-F238E27FC236}">
                  <a16:creationId xmlns:a16="http://schemas.microsoft.com/office/drawing/2014/main" id="{B52C5894-EE68-4DE9-ADA9-12B1691FFF6D}"/>
                </a:ext>
              </a:extLst>
            </xdr:cNvPr>
            <xdr:cNvSpPr txBox="1"/>
          </xdr:nvSpPr>
          <xdr:spPr>
            <a:xfrm>
              <a:off x="79612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1" name="TextBox 310">
              <a:extLst>
                <a:ext uri="{FF2B5EF4-FFF2-40B4-BE49-F238E27FC236}">
                  <a16:creationId xmlns:a16="http://schemas.microsoft.com/office/drawing/2014/main" id="{B52C5894-EE68-4DE9-ADA9-12B1691FFF6D}"/>
                </a:ext>
              </a:extLst>
            </xdr:cNvPr>
            <xdr:cNvSpPr txBox="1"/>
          </xdr:nvSpPr>
          <xdr:spPr>
            <a:xfrm>
              <a:off x="79612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104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2" name="TextBox 311">
              <a:extLst>
                <a:ext uri="{FF2B5EF4-FFF2-40B4-BE49-F238E27FC236}">
                  <a16:creationId xmlns:a16="http://schemas.microsoft.com/office/drawing/2014/main" id="{9223320B-9468-4176-BE53-13F699A7B5B2}"/>
                </a:ext>
              </a:extLst>
            </xdr:cNvPr>
            <xdr:cNvSpPr txBox="1"/>
          </xdr:nvSpPr>
          <xdr:spPr>
            <a:xfrm>
              <a:off x="8837507" y="122902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2" name="TextBox 311">
              <a:extLst>
                <a:ext uri="{FF2B5EF4-FFF2-40B4-BE49-F238E27FC236}">
                  <a16:creationId xmlns:a16="http://schemas.microsoft.com/office/drawing/2014/main" id="{9223320B-9468-4176-BE53-13F699A7B5B2}"/>
                </a:ext>
              </a:extLst>
            </xdr:cNvPr>
            <xdr:cNvSpPr txBox="1"/>
          </xdr:nvSpPr>
          <xdr:spPr>
            <a:xfrm>
              <a:off x="8837507" y="122902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3" name="TextBox 312">
              <a:extLst>
                <a:ext uri="{FF2B5EF4-FFF2-40B4-BE49-F238E27FC236}">
                  <a16:creationId xmlns:a16="http://schemas.microsoft.com/office/drawing/2014/main" id="{837B3279-CFA1-4DA4-B694-F1BDC76E3184}"/>
                </a:ext>
              </a:extLst>
            </xdr:cNvPr>
            <xdr:cNvSpPr txBox="1"/>
          </xdr:nvSpPr>
          <xdr:spPr>
            <a:xfrm>
              <a:off x="9508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3" name="TextBox 312">
              <a:extLst>
                <a:ext uri="{FF2B5EF4-FFF2-40B4-BE49-F238E27FC236}">
                  <a16:creationId xmlns:a16="http://schemas.microsoft.com/office/drawing/2014/main" id="{837B3279-CFA1-4DA4-B694-F1BDC76E3184}"/>
                </a:ext>
              </a:extLst>
            </xdr:cNvPr>
            <xdr:cNvSpPr txBox="1"/>
          </xdr:nvSpPr>
          <xdr:spPr>
            <a:xfrm>
              <a:off x="9508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4" name="TextBox 313">
              <a:extLst>
                <a:ext uri="{FF2B5EF4-FFF2-40B4-BE49-F238E27FC236}">
                  <a16:creationId xmlns:a16="http://schemas.microsoft.com/office/drawing/2014/main" id="{517F0DCC-5B59-4C7E-8F62-C435DDA1B2C7}"/>
                </a:ext>
              </a:extLst>
            </xdr:cNvPr>
            <xdr:cNvSpPr txBox="1"/>
          </xdr:nvSpPr>
          <xdr:spPr>
            <a:xfrm>
              <a:off x="18271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4" name="TextBox 313">
              <a:extLst>
                <a:ext uri="{FF2B5EF4-FFF2-40B4-BE49-F238E27FC236}">
                  <a16:creationId xmlns:a16="http://schemas.microsoft.com/office/drawing/2014/main" id="{517F0DCC-5B59-4C7E-8F62-C435DDA1B2C7}"/>
                </a:ext>
              </a:extLst>
            </xdr:cNvPr>
            <xdr:cNvSpPr txBox="1"/>
          </xdr:nvSpPr>
          <xdr:spPr>
            <a:xfrm>
              <a:off x="18271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5" name="TextBox 314">
              <a:extLst>
                <a:ext uri="{FF2B5EF4-FFF2-40B4-BE49-F238E27FC236}">
                  <a16:creationId xmlns:a16="http://schemas.microsoft.com/office/drawing/2014/main" id="{36D8D6AA-8FF0-4C7F-85F7-0338EB51A91D}"/>
                </a:ext>
              </a:extLst>
            </xdr:cNvPr>
            <xdr:cNvSpPr txBox="1"/>
          </xdr:nvSpPr>
          <xdr:spPr>
            <a:xfrm>
              <a:off x="27034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5" name="TextBox 314">
              <a:extLst>
                <a:ext uri="{FF2B5EF4-FFF2-40B4-BE49-F238E27FC236}">
                  <a16:creationId xmlns:a16="http://schemas.microsoft.com/office/drawing/2014/main" id="{36D8D6AA-8FF0-4C7F-85F7-0338EB51A91D}"/>
                </a:ext>
              </a:extLst>
            </xdr:cNvPr>
            <xdr:cNvSpPr txBox="1"/>
          </xdr:nvSpPr>
          <xdr:spPr>
            <a:xfrm>
              <a:off x="27034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6" name="TextBox 315">
              <a:extLst>
                <a:ext uri="{FF2B5EF4-FFF2-40B4-BE49-F238E27FC236}">
                  <a16:creationId xmlns:a16="http://schemas.microsoft.com/office/drawing/2014/main" id="{A03A7C3E-D7EF-4177-8583-AA64542E04BA}"/>
                </a:ext>
              </a:extLst>
            </xdr:cNvPr>
            <xdr:cNvSpPr txBox="1"/>
          </xdr:nvSpPr>
          <xdr:spPr>
            <a:xfrm>
              <a:off x="35797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6" name="TextBox 315">
              <a:extLst>
                <a:ext uri="{FF2B5EF4-FFF2-40B4-BE49-F238E27FC236}">
                  <a16:creationId xmlns:a16="http://schemas.microsoft.com/office/drawing/2014/main" id="{A03A7C3E-D7EF-4177-8583-AA64542E04BA}"/>
                </a:ext>
              </a:extLst>
            </xdr:cNvPr>
            <xdr:cNvSpPr txBox="1"/>
          </xdr:nvSpPr>
          <xdr:spPr>
            <a:xfrm>
              <a:off x="35797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7" name="TextBox 316">
              <a:extLst>
                <a:ext uri="{FF2B5EF4-FFF2-40B4-BE49-F238E27FC236}">
                  <a16:creationId xmlns:a16="http://schemas.microsoft.com/office/drawing/2014/main" id="{33029125-86E7-4E11-B1EF-6FD114BB849C}"/>
                </a:ext>
              </a:extLst>
            </xdr:cNvPr>
            <xdr:cNvSpPr txBox="1"/>
          </xdr:nvSpPr>
          <xdr:spPr>
            <a:xfrm>
              <a:off x="44560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7" name="TextBox 316">
              <a:extLst>
                <a:ext uri="{FF2B5EF4-FFF2-40B4-BE49-F238E27FC236}">
                  <a16:creationId xmlns:a16="http://schemas.microsoft.com/office/drawing/2014/main" id="{33029125-86E7-4E11-B1EF-6FD114BB849C}"/>
                </a:ext>
              </a:extLst>
            </xdr:cNvPr>
            <xdr:cNvSpPr txBox="1"/>
          </xdr:nvSpPr>
          <xdr:spPr>
            <a:xfrm>
              <a:off x="44560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8" name="TextBox 317">
              <a:extLst>
                <a:ext uri="{FF2B5EF4-FFF2-40B4-BE49-F238E27FC236}">
                  <a16:creationId xmlns:a16="http://schemas.microsoft.com/office/drawing/2014/main" id="{452032A2-48DE-411C-917D-D986C90863DD}"/>
                </a:ext>
              </a:extLst>
            </xdr:cNvPr>
            <xdr:cNvSpPr txBox="1"/>
          </xdr:nvSpPr>
          <xdr:spPr>
            <a:xfrm>
              <a:off x="53323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8" name="TextBox 317">
              <a:extLst>
                <a:ext uri="{FF2B5EF4-FFF2-40B4-BE49-F238E27FC236}">
                  <a16:creationId xmlns:a16="http://schemas.microsoft.com/office/drawing/2014/main" id="{452032A2-48DE-411C-917D-D986C90863DD}"/>
                </a:ext>
              </a:extLst>
            </xdr:cNvPr>
            <xdr:cNvSpPr txBox="1"/>
          </xdr:nvSpPr>
          <xdr:spPr>
            <a:xfrm>
              <a:off x="53323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9" name="TextBox 318">
              <a:extLst>
                <a:ext uri="{FF2B5EF4-FFF2-40B4-BE49-F238E27FC236}">
                  <a16:creationId xmlns:a16="http://schemas.microsoft.com/office/drawing/2014/main" id="{076B4FDA-6704-46CD-942A-9DFC90BF58ED}"/>
                </a:ext>
              </a:extLst>
            </xdr:cNvPr>
            <xdr:cNvSpPr txBox="1"/>
          </xdr:nvSpPr>
          <xdr:spPr>
            <a:xfrm>
              <a:off x="62086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9" name="TextBox 318">
              <a:extLst>
                <a:ext uri="{FF2B5EF4-FFF2-40B4-BE49-F238E27FC236}">
                  <a16:creationId xmlns:a16="http://schemas.microsoft.com/office/drawing/2014/main" id="{076B4FDA-6704-46CD-942A-9DFC90BF58ED}"/>
                </a:ext>
              </a:extLst>
            </xdr:cNvPr>
            <xdr:cNvSpPr txBox="1"/>
          </xdr:nvSpPr>
          <xdr:spPr>
            <a:xfrm>
              <a:off x="62086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0" name="TextBox 319">
              <a:extLst>
                <a:ext uri="{FF2B5EF4-FFF2-40B4-BE49-F238E27FC236}">
                  <a16:creationId xmlns:a16="http://schemas.microsoft.com/office/drawing/2014/main" id="{C7090CD8-7DC0-49D9-9EB7-6C64ADFD8C73}"/>
                </a:ext>
              </a:extLst>
            </xdr:cNvPr>
            <xdr:cNvSpPr txBox="1"/>
          </xdr:nvSpPr>
          <xdr:spPr>
            <a:xfrm>
              <a:off x="70849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0" name="TextBox 319">
              <a:extLst>
                <a:ext uri="{FF2B5EF4-FFF2-40B4-BE49-F238E27FC236}">
                  <a16:creationId xmlns:a16="http://schemas.microsoft.com/office/drawing/2014/main" id="{C7090CD8-7DC0-49D9-9EB7-6C64ADFD8C73}"/>
                </a:ext>
              </a:extLst>
            </xdr:cNvPr>
            <xdr:cNvSpPr txBox="1"/>
          </xdr:nvSpPr>
          <xdr:spPr>
            <a:xfrm>
              <a:off x="70849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1" name="TextBox 320">
              <a:extLst>
                <a:ext uri="{FF2B5EF4-FFF2-40B4-BE49-F238E27FC236}">
                  <a16:creationId xmlns:a16="http://schemas.microsoft.com/office/drawing/2014/main" id="{DD2ABA4E-4470-48B5-875F-EA5215D4B01B}"/>
                </a:ext>
              </a:extLst>
            </xdr:cNvPr>
            <xdr:cNvSpPr txBox="1"/>
          </xdr:nvSpPr>
          <xdr:spPr>
            <a:xfrm>
              <a:off x="79612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1" name="TextBox 320">
              <a:extLst>
                <a:ext uri="{FF2B5EF4-FFF2-40B4-BE49-F238E27FC236}">
                  <a16:creationId xmlns:a16="http://schemas.microsoft.com/office/drawing/2014/main" id="{DD2ABA4E-4470-48B5-875F-EA5215D4B01B}"/>
                </a:ext>
              </a:extLst>
            </xdr:cNvPr>
            <xdr:cNvSpPr txBox="1"/>
          </xdr:nvSpPr>
          <xdr:spPr>
            <a:xfrm>
              <a:off x="79612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104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2" name="TextBox 321">
              <a:extLst>
                <a:ext uri="{FF2B5EF4-FFF2-40B4-BE49-F238E27FC236}">
                  <a16:creationId xmlns:a16="http://schemas.microsoft.com/office/drawing/2014/main" id="{1BDC45F6-B11F-49CE-902F-F66F2075125F}"/>
                </a:ext>
              </a:extLst>
            </xdr:cNvPr>
            <xdr:cNvSpPr txBox="1"/>
          </xdr:nvSpPr>
          <xdr:spPr>
            <a:xfrm>
              <a:off x="8837507" y="122902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2" name="TextBox 321">
              <a:extLst>
                <a:ext uri="{FF2B5EF4-FFF2-40B4-BE49-F238E27FC236}">
                  <a16:creationId xmlns:a16="http://schemas.microsoft.com/office/drawing/2014/main" id="{1BDC45F6-B11F-49CE-902F-F66F2075125F}"/>
                </a:ext>
              </a:extLst>
            </xdr:cNvPr>
            <xdr:cNvSpPr txBox="1"/>
          </xdr:nvSpPr>
          <xdr:spPr>
            <a:xfrm>
              <a:off x="8837507" y="122902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3" name="TextBox 322">
              <a:extLst>
                <a:ext uri="{FF2B5EF4-FFF2-40B4-BE49-F238E27FC236}">
                  <a16:creationId xmlns:a16="http://schemas.microsoft.com/office/drawing/2014/main" id="{7D5B14DA-A200-4515-9B23-9D22ED92DEE3}"/>
                </a:ext>
              </a:extLst>
            </xdr:cNvPr>
            <xdr:cNvSpPr txBox="1"/>
          </xdr:nvSpPr>
          <xdr:spPr>
            <a:xfrm>
              <a:off x="9508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3" name="TextBox 322">
              <a:extLst>
                <a:ext uri="{FF2B5EF4-FFF2-40B4-BE49-F238E27FC236}">
                  <a16:creationId xmlns:a16="http://schemas.microsoft.com/office/drawing/2014/main" id="{7D5B14DA-A200-4515-9B23-9D22ED92DEE3}"/>
                </a:ext>
              </a:extLst>
            </xdr:cNvPr>
            <xdr:cNvSpPr txBox="1"/>
          </xdr:nvSpPr>
          <xdr:spPr>
            <a:xfrm>
              <a:off x="9508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4" name="TextBox 323">
              <a:extLst>
                <a:ext uri="{FF2B5EF4-FFF2-40B4-BE49-F238E27FC236}">
                  <a16:creationId xmlns:a16="http://schemas.microsoft.com/office/drawing/2014/main" id="{47D4EBAD-0D38-457E-8D3C-3BD2CD54D9A8}"/>
                </a:ext>
              </a:extLst>
            </xdr:cNvPr>
            <xdr:cNvSpPr txBox="1"/>
          </xdr:nvSpPr>
          <xdr:spPr>
            <a:xfrm>
              <a:off x="18271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4" name="TextBox 323">
              <a:extLst>
                <a:ext uri="{FF2B5EF4-FFF2-40B4-BE49-F238E27FC236}">
                  <a16:creationId xmlns:a16="http://schemas.microsoft.com/office/drawing/2014/main" id="{47D4EBAD-0D38-457E-8D3C-3BD2CD54D9A8}"/>
                </a:ext>
              </a:extLst>
            </xdr:cNvPr>
            <xdr:cNvSpPr txBox="1"/>
          </xdr:nvSpPr>
          <xdr:spPr>
            <a:xfrm>
              <a:off x="18271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5" name="TextBox 324">
              <a:extLst>
                <a:ext uri="{FF2B5EF4-FFF2-40B4-BE49-F238E27FC236}">
                  <a16:creationId xmlns:a16="http://schemas.microsoft.com/office/drawing/2014/main" id="{97BF41DB-953E-4C28-9898-B18E85BB633A}"/>
                </a:ext>
              </a:extLst>
            </xdr:cNvPr>
            <xdr:cNvSpPr txBox="1"/>
          </xdr:nvSpPr>
          <xdr:spPr>
            <a:xfrm>
              <a:off x="27034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5" name="TextBox 324">
              <a:extLst>
                <a:ext uri="{FF2B5EF4-FFF2-40B4-BE49-F238E27FC236}">
                  <a16:creationId xmlns:a16="http://schemas.microsoft.com/office/drawing/2014/main" id="{97BF41DB-953E-4C28-9898-B18E85BB633A}"/>
                </a:ext>
              </a:extLst>
            </xdr:cNvPr>
            <xdr:cNvSpPr txBox="1"/>
          </xdr:nvSpPr>
          <xdr:spPr>
            <a:xfrm>
              <a:off x="27034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6" name="TextBox 325">
              <a:extLst>
                <a:ext uri="{FF2B5EF4-FFF2-40B4-BE49-F238E27FC236}">
                  <a16:creationId xmlns:a16="http://schemas.microsoft.com/office/drawing/2014/main" id="{C030BD64-9658-443C-A6CF-B4C577A2BA4D}"/>
                </a:ext>
              </a:extLst>
            </xdr:cNvPr>
            <xdr:cNvSpPr txBox="1"/>
          </xdr:nvSpPr>
          <xdr:spPr>
            <a:xfrm>
              <a:off x="35797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6" name="TextBox 325">
              <a:extLst>
                <a:ext uri="{FF2B5EF4-FFF2-40B4-BE49-F238E27FC236}">
                  <a16:creationId xmlns:a16="http://schemas.microsoft.com/office/drawing/2014/main" id="{C030BD64-9658-443C-A6CF-B4C577A2BA4D}"/>
                </a:ext>
              </a:extLst>
            </xdr:cNvPr>
            <xdr:cNvSpPr txBox="1"/>
          </xdr:nvSpPr>
          <xdr:spPr>
            <a:xfrm>
              <a:off x="35797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7" name="TextBox 326">
              <a:extLst>
                <a:ext uri="{FF2B5EF4-FFF2-40B4-BE49-F238E27FC236}">
                  <a16:creationId xmlns:a16="http://schemas.microsoft.com/office/drawing/2014/main" id="{94B87B30-B48C-444B-A729-B51187BCC733}"/>
                </a:ext>
              </a:extLst>
            </xdr:cNvPr>
            <xdr:cNvSpPr txBox="1"/>
          </xdr:nvSpPr>
          <xdr:spPr>
            <a:xfrm>
              <a:off x="44560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7" name="TextBox 326">
              <a:extLst>
                <a:ext uri="{FF2B5EF4-FFF2-40B4-BE49-F238E27FC236}">
                  <a16:creationId xmlns:a16="http://schemas.microsoft.com/office/drawing/2014/main" id="{94B87B30-B48C-444B-A729-B51187BCC733}"/>
                </a:ext>
              </a:extLst>
            </xdr:cNvPr>
            <xdr:cNvSpPr txBox="1"/>
          </xdr:nvSpPr>
          <xdr:spPr>
            <a:xfrm>
              <a:off x="44560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8" name="TextBox 327">
              <a:extLst>
                <a:ext uri="{FF2B5EF4-FFF2-40B4-BE49-F238E27FC236}">
                  <a16:creationId xmlns:a16="http://schemas.microsoft.com/office/drawing/2014/main" id="{0D572B8B-4AC6-49E1-A9D8-DD4467B3F18F}"/>
                </a:ext>
              </a:extLst>
            </xdr:cNvPr>
            <xdr:cNvSpPr txBox="1"/>
          </xdr:nvSpPr>
          <xdr:spPr>
            <a:xfrm>
              <a:off x="53323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8" name="TextBox 327">
              <a:extLst>
                <a:ext uri="{FF2B5EF4-FFF2-40B4-BE49-F238E27FC236}">
                  <a16:creationId xmlns:a16="http://schemas.microsoft.com/office/drawing/2014/main" id="{0D572B8B-4AC6-49E1-A9D8-DD4467B3F18F}"/>
                </a:ext>
              </a:extLst>
            </xdr:cNvPr>
            <xdr:cNvSpPr txBox="1"/>
          </xdr:nvSpPr>
          <xdr:spPr>
            <a:xfrm>
              <a:off x="53323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9" name="TextBox 328">
              <a:extLst>
                <a:ext uri="{FF2B5EF4-FFF2-40B4-BE49-F238E27FC236}">
                  <a16:creationId xmlns:a16="http://schemas.microsoft.com/office/drawing/2014/main" id="{9F76B99D-85D4-4422-BA51-04024FBEF12D}"/>
                </a:ext>
              </a:extLst>
            </xdr:cNvPr>
            <xdr:cNvSpPr txBox="1"/>
          </xdr:nvSpPr>
          <xdr:spPr>
            <a:xfrm>
              <a:off x="62086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9" name="TextBox 328">
              <a:extLst>
                <a:ext uri="{FF2B5EF4-FFF2-40B4-BE49-F238E27FC236}">
                  <a16:creationId xmlns:a16="http://schemas.microsoft.com/office/drawing/2014/main" id="{9F76B99D-85D4-4422-BA51-04024FBEF12D}"/>
                </a:ext>
              </a:extLst>
            </xdr:cNvPr>
            <xdr:cNvSpPr txBox="1"/>
          </xdr:nvSpPr>
          <xdr:spPr>
            <a:xfrm>
              <a:off x="62086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0" name="TextBox 329">
              <a:extLst>
                <a:ext uri="{FF2B5EF4-FFF2-40B4-BE49-F238E27FC236}">
                  <a16:creationId xmlns:a16="http://schemas.microsoft.com/office/drawing/2014/main" id="{735BE611-79C7-4A16-87F6-811B14F7ACE8}"/>
                </a:ext>
              </a:extLst>
            </xdr:cNvPr>
            <xdr:cNvSpPr txBox="1"/>
          </xdr:nvSpPr>
          <xdr:spPr>
            <a:xfrm>
              <a:off x="70849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0" name="TextBox 329">
              <a:extLst>
                <a:ext uri="{FF2B5EF4-FFF2-40B4-BE49-F238E27FC236}">
                  <a16:creationId xmlns:a16="http://schemas.microsoft.com/office/drawing/2014/main" id="{735BE611-79C7-4A16-87F6-811B14F7ACE8}"/>
                </a:ext>
              </a:extLst>
            </xdr:cNvPr>
            <xdr:cNvSpPr txBox="1"/>
          </xdr:nvSpPr>
          <xdr:spPr>
            <a:xfrm>
              <a:off x="70849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1" name="TextBox 330">
              <a:extLst>
                <a:ext uri="{FF2B5EF4-FFF2-40B4-BE49-F238E27FC236}">
                  <a16:creationId xmlns:a16="http://schemas.microsoft.com/office/drawing/2014/main" id="{66986724-BE7C-4BB6-86AA-7AE12EC17561}"/>
                </a:ext>
              </a:extLst>
            </xdr:cNvPr>
            <xdr:cNvSpPr txBox="1"/>
          </xdr:nvSpPr>
          <xdr:spPr>
            <a:xfrm>
              <a:off x="79612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1" name="TextBox 330">
              <a:extLst>
                <a:ext uri="{FF2B5EF4-FFF2-40B4-BE49-F238E27FC236}">
                  <a16:creationId xmlns:a16="http://schemas.microsoft.com/office/drawing/2014/main" id="{66986724-BE7C-4BB6-86AA-7AE12EC17561}"/>
                </a:ext>
              </a:extLst>
            </xdr:cNvPr>
            <xdr:cNvSpPr txBox="1"/>
          </xdr:nvSpPr>
          <xdr:spPr>
            <a:xfrm>
              <a:off x="79612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104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2" name="TextBox 331">
              <a:extLst>
                <a:ext uri="{FF2B5EF4-FFF2-40B4-BE49-F238E27FC236}">
                  <a16:creationId xmlns:a16="http://schemas.microsoft.com/office/drawing/2014/main" id="{638E4841-14C6-4B38-A8E0-FC3D8C978B9C}"/>
                </a:ext>
              </a:extLst>
            </xdr:cNvPr>
            <xdr:cNvSpPr txBox="1"/>
          </xdr:nvSpPr>
          <xdr:spPr>
            <a:xfrm>
              <a:off x="8837507" y="122902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2" name="TextBox 331">
              <a:extLst>
                <a:ext uri="{FF2B5EF4-FFF2-40B4-BE49-F238E27FC236}">
                  <a16:creationId xmlns:a16="http://schemas.microsoft.com/office/drawing/2014/main" id="{638E4841-14C6-4B38-A8E0-FC3D8C978B9C}"/>
                </a:ext>
              </a:extLst>
            </xdr:cNvPr>
            <xdr:cNvSpPr txBox="1"/>
          </xdr:nvSpPr>
          <xdr:spPr>
            <a:xfrm>
              <a:off x="8837507" y="122902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3" name="TextBox 332">
              <a:extLst>
                <a:ext uri="{FF2B5EF4-FFF2-40B4-BE49-F238E27FC236}">
                  <a16:creationId xmlns:a16="http://schemas.microsoft.com/office/drawing/2014/main" id="{72DF69DC-8C91-4B4D-8C25-1EE22D1226BE}"/>
                </a:ext>
              </a:extLst>
            </xdr:cNvPr>
            <xdr:cNvSpPr txBox="1"/>
          </xdr:nvSpPr>
          <xdr:spPr>
            <a:xfrm>
              <a:off x="9508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3" name="TextBox 332">
              <a:extLst>
                <a:ext uri="{FF2B5EF4-FFF2-40B4-BE49-F238E27FC236}">
                  <a16:creationId xmlns:a16="http://schemas.microsoft.com/office/drawing/2014/main" id="{72DF69DC-8C91-4B4D-8C25-1EE22D1226BE}"/>
                </a:ext>
              </a:extLst>
            </xdr:cNvPr>
            <xdr:cNvSpPr txBox="1"/>
          </xdr:nvSpPr>
          <xdr:spPr>
            <a:xfrm>
              <a:off x="9508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4" name="TextBox 333">
              <a:extLst>
                <a:ext uri="{FF2B5EF4-FFF2-40B4-BE49-F238E27FC236}">
                  <a16:creationId xmlns:a16="http://schemas.microsoft.com/office/drawing/2014/main" id="{DC3FC251-1219-41C9-9222-8DB60107C7EC}"/>
                </a:ext>
              </a:extLst>
            </xdr:cNvPr>
            <xdr:cNvSpPr txBox="1"/>
          </xdr:nvSpPr>
          <xdr:spPr>
            <a:xfrm>
              <a:off x="18271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4" name="TextBox 333">
              <a:extLst>
                <a:ext uri="{FF2B5EF4-FFF2-40B4-BE49-F238E27FC236}">
                  <a16:creationId xmlns:a16="http://schemas.microsoft.com/office/drawing/2014/main" id="{DC3FC251-1219-41C9-9222-8DB60107C7EC}"/>
                </a:ext>
              </a:extLst>
            </xdr:cNvPr>
            <xdr:cNvSpPr txBox="1"/>
          </xdr:nvSpPr>
          <xdr:spPr>
            <a:xfrm>
              <a:off x="18271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5" name="TextBox 334">
              <a:extLst>
                <a:ext uri="{FF2B5EF4-FFF2-40B4-BE49-F238E27FC236}">
                  <a16:creationId xmlns:a16="http://schemas.microsoft.com/office/drawing/2014/main" id="{A9111793-EAA6-4FDA-B799-26004C85E70B}"/>
                </a:ext>
              </a:extLst>
            </xdr:cNvPr>
            <xdr:cNvSpPr txBox="1"/>
          </xdr:nvSpPr>
          <xdr:spPr>
            <a:xfrm>
              <a:off x="27034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5" name="TextBox 334">
              <a:extLst>
                <a:ext uri="{FF2B5EF4-FFF2-40B4-BE49-F238E27FC236}">
                  <a16:creationId xmlns:a16="http://schemas.microsoft.com/office/drawing/2014/main" id="{A9111793-EAA6-4FDA-B799-26004C85E70B}"/>
                </a:ext>
              </a:extLst>
            </xdr:cNvPr>
            <xdr:cNvSpPr txBox="1"/>
          </xdr:nvSpPr>
          <xdr:spPr>
            <a:xfrm>
              <a:off x="27034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6" name="TextBox 335">
              <a:extLst>
                <a:ext uri="{FF2B5EF4-FFF2-40B4-BE49-F238E27FC236}">
                  <a16:creationId xmlns:a16="http://schemas.microsoft.com/office/drawing/2014/main" id="{059C5C01-607E-42F9-884D-A7C6E211E616}"/>
                </a:ext>
              </a:extLst>
            </xdr:cNvPr>
            <xdr:cNvSpPr txBox="1"/>
          </xdr:nvSpPr>
          <xdr:spPr>
            <a:xfrm>
              <a:off x="35797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6" name="TextBox 335">
              <a:extLst>
                <a:ext uri="{FF2B5EF4-FFF2-40B4-BE49-F238E27FC236}">
                  <a16:creationId xmlns:a16="http://schemas.microsoft.com/office/drawing/2014/main" id="{059C5C01-607E-42F9-884D-A7C6E211E616}"/>
                </a:ext>
              </a:extLst>
            </xdr:cNvPr>
            <xdr:cNvSpPr txBox="1"/>
          </xdr:nvSpPr>
          <xdr:spPr>
            <a:xfrm>
              <a:off x="35797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7" name="TextBox 336">
              <a:extLst>
                <a:ext uri="{FF2B5EF4-FFF2-40B4-BE49-F238E27FC236}">
                  <a16:creationId xmlns:a16="http://schemas.microsoft.com/office/drawing/2014/main" id="{27A42E27-DC42-446E-8C0D-ECFD3DA16F67}"/>
                </a:ext>
              </a:extLst>
            </xdr:cNvPr>
            <xdr:cNvSpPr txBox="1"/>
          </xdr:nvSpPr>
          <xdr:spPr>
            <a:xfrm>
              <a:off x="44560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7" name="TextBox 336">
              <a:extLst>
                <a:ext uri="{FF2B5EF4-FFF2-40B4-BE49-F238E27FC236}">
                  <a16:creationId xmlns:a16="http://schemas.microsoft.com/office/drawing/2014/main" id="{27A42E27-DC42-446E-8C0D-ECFD3DA16F67}"/>
                </a:ext>
              </a:extLst>
            </xdr:cNvPr>
            <xdr:cNvSpPr txBox="1"/>
          </xdr:nvSpPr>
          <xdr:spPr>
            <a:xfrm>
              <a:off x="44560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8" name="TextBox 337">
              <a:extLst>
                <a:ext uri="{FF2B5EF4-FFF2-40B4-BE49-F238E27FC236}">
                  <a16:creationId xmlns:a16="http://schemas.microsoft.com/office/drawing/2014/main" id="{C21A7629-20A3-461D-9047-5CB5D130EFE2}"/>
                </a:ext>
              </a:extLst>
            </xdr:cNvPr>
            <xdr:cNvSpPr txBox="1"/>
          </xdr:nvSpPr>
          <xdr:spPr>
            <a:xfrm>
              <a:off x="53323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8" name="TextBox 337">
              <a:extLst>
                <a:ext uri="{FF2B5EF4-FFF2-40B4-BE49-F238E27FC236}">
                  <a16:creationId xmlns:a16="http://schemas.microsoft.com/office/drawing/2014/main" id="{C21A7629-20A3-461D-9047-5CB5D130EFE2}"/>
                </a:ext>
              </a:extLst>
            </xdr:cNvPr>
            <xdr:cNvSpPr txBox="1"/>
          </xdr:nvSpPr>
          <xdr:spPr>
            <a:xfrm>
              <a:off x="53323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9" name="TextBox 338">
              <a:extLst>
                <a:ext uri="{FF2B5EF4-FFF2-40B4-BE49-F238E27FC236}">
                  <a16:creationId xmlns:a16="http://schemas.microsoft.com/office/drawing/2014/main" id="{192CB313-8B8B-450D-AE62-CA95B6D30C1B}"/>
                </a:ext>
              </a:extLst>
            </xdr:cNvPr>
            <xdr:cNvSpPr txBox="1"/>
          </xdr:nvSpPr>
          <xdr:spPr>
            <a:xfrm>
              <a:off x="62086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9" name="TextBox 338">
              <a:extLst>
                <a:ext uri="{FF2B5EF4-FFF2-40B4-BE49-F238E27FC236}">
                  <a16:creationId xmlns:a16="http://schemas.microsoft.com/office/drawing/2014/main" id="{192CB313-8B8B-450D-AE62-CA95B6D30C1B}"/>
                </a:ext>
              </a:extLst>
            </xdr:cNvPr>
            <xdr:cNvSpPr txBox="1"/>
          </xdr:nvSpPr>
          <xdr:spPr>
            <a:xfrm>
              <a:off x="62086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0" name="TextBox 339">
              <a:extLst>
                <a:ext uri="{FF2B5EF4-FFF2-40B4-BE49-F238E27FC236}">
                  <a16:creationId xmlns:a16="http://schemas.microsoft.com/office/drawing/2014/main" id="{87FEBC12-D16E-4C04-8ECE-A84F7B42F8CE}"/>
                </a:ext>
              </a:extLst>
            </xdr:cNvPr>
            <xdr:cNvSpPr txBox="1"/>
          </xdr:nvSpPr>
          <xdr:spPr>
            <a:xfrm>
              <a:off x="70849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0" name="TextBox 339">
              <a:extLst>
                <a:ext uri="{FF2B5EF4-FFF2-40B4-BE49-F238E27FC236}">
                  <a16:creationId xmlns:a16="http://schemas.microsoft.com/office/drawing/2014/main" id="{87FEBC12-D16E-4C04-8ECE-A84F7B42F8CE}"/>
                </a:ext>
              </a:extLst>
            </xdr:cNvPr>
            <xdr:cNvSpPr txBox="1"/>
          </xdr:nvSpPr>
          <xdr:spPr>
            <a:xfrm>
              <a:off x="70849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1" name="TextBox 340">
              <a:extLst>
                <a:ext uri="{FF2B5EF4-FFF2-40B4-BE49-F238E27FC236}">
                  <a16:creationId xmlns:a16="http://schemas.microsoft.com/office/drawing/2014/main" id="{CE7C7912-AA60-4628-B829-F301709EC279}"/>
                </a:ext>
              </a:extLst>
            </xdr:cNvPr>
            <xdr:cNvSpPr txBox="1"/>
          </xdr:nvSpPr>
          <xdr:spPr>
            <a:xfrm>
              <a:off x="79612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1" name="TextBox 340">
              <a:extLst>
                <a:ext uri="{FF2B5EF4-FFF2-40B4-BE49-F238E27FC236}">
                  <a16:creationId xmlns:a16="http://schemas.microsoft.com/office/drawing/2014/main" id="{CE7C7912-AA60-4628-B829-F301709EC279}"/>
                </a:ext>
              </a:extLst>
            </xdr:cNvPr>
            <xdr:cNvSpPr txBox="1"/>
          </xdr:nvSpPr>
          <xdr:spPr>
            <a:xfrm>
              <a:off x="79612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104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2" name="TextBox 341">
              <a:extLst>
                <a:ext uri="{FF2B5EF4-FFF2-40B4-BE49-F238E27FC236}">
                  <a16:creationId xmlns:a16="http://schemas.microsoft.com/office/drawing/2014/main" id="{468FE000-6E5F-412F-8CE1-F318EBE7ABFC}"/>
                </a:ext>
              </a:extLst>
            </xdr:cNvPr>
            <xdr:cNvSpPr txBox="1"/>
          </xdr:nvSpPr>
          <xdr:spPr>
            <a:xfrm>
              <a:off x="8837507" y="122902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2" name="TextBox 341">
              <a:extLst>
                <a:ext uri="{FF2B5EF4-FFF2-40B4-BE49-F238E27FC236}">
                  <a16:creationId xmlns:a16="http://schemas.microsoft.com/office/drawing/2014/main" id="{468FE000-6E5F-412F-8CE1-F318EBE7ABFC}"/>
                </a:ext>
              </a:extLst>
            </xdr:cNvPr>
            <xdr:cNvSpPr txBox="1"/>
          </xdr:nvSpPr>
          <xdr:spPr>
            <a:xfrm>
              <a:off x="8837507" y="122902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3" name="TextBox 342">
              <a:extLst>
                <a:ext uri="{FF2B5EF4-FFF2-40B4-BE49-F238E27FC236}">
                  <a16:creationId xmlns:a16="http://schemas.microsoft.com/office/drawing/2014/main" id="{382CA000-2059-4B70-81CC-500751B29BF7}"/>
                </a:ext>
              </a:extLst>
            </xdr:cNvPr>
            <xdr:cNvSpPr txBox="1"/>
          </xdr:nvSpPr>
          <xdr:spPr>
            <a:xfrm>
              <a:off x="9508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3" name="TextBox 342">
              <a:extLst>
                <a:ext uri="{FF2B5EF4-FFF2-40B4-BE49-F238E27FC236}">
                  <a16:creationId xmlns:a16="http://schemas.microsoft.com/office/drawing/2014/main" id="{382CA000-2059-4B70-81CC-500751B29BF7}"/>
                </a:ext>
              </a:extLst>
            </xdr:cNvPr>
            <xdr:cNvSpPr txBox="1"/>
          </xdr:nvSpPr>
          <xdr:spPr>
            <a:xfrm>
              <a:off x="9508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4" name="TextBox 343">
              <a:extLst>
                <a:ext uri="{FF2B5EF4-FFF2-40B4-BE49-F238E27FC236}">
                  <a16:creationId xmlns:a16="http://schemas.microsoft.com/office/drawing/2014/main" id="{4257D1D7-20F4-4EF9-B60B-5FDBD19F762D}"/>
                </a:ext>
              </a:extLst>
            </xdr:cNvPr>
            <xdr:cNvSpPr txBox="1"/>
          </xdr:nvSpPr>
          <xdr:spPr>
            <a:xfrm>
              <a:off x="18271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4" name="TextBox 343">
              <a:extLst>
                <a:ext uri="{FF2B5EF4-FFF2-40B4-BE49-F238E27FC236}">
                  <a16:creationId xmlns:a16="http://schemas.microsoft.com/office/drawing/2014/main" id="{4257D1D7-20F4-4EF9-B60B-5FDBD19F762D}"/>
                </a:ext>
              </a:extLst>
            </xdr:cNvPr>
            <xdr:cNvSpPr txBox="1"/>
          </xdr:nvSpPr>
          <xdr:spPr>
            <a:xfrm>
              <a:off x="18271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5" name="TextBox 344">
              <a:extLst>
                <a:ext uri="{FF2B5EF4-FFF2-40B4-BE49-F238E27FC236}">
                  <a16:creationId xmlns:a16="http://schemas.microsoft.com/office/drawing/2014/main" id="{6D92A6BE-13EF-4326-AAA2-1F2BBDF0BA75}"/>
                </a:ext>
              </a:extLst>
            </xdr:cNvPr>
            <xdr:cNvSpPr txBox="1"/>
          </xdr:nvSpPr>
          <xdr:spPr>
            <a:xfrm>
              <a:off x="27034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5" name="TextBox 344">
              <a:extLst>
                <a:ext uri="{FF2B5EF4-FFF2-40B4-BE49-F238E27FC236}">
                  <a16:creationId xmlns:a16="http://schemas.microsoft.com/office/drawing/2014/main" id="{6D92A6BE-13EF-4326-AAA2-1F2BBDF0BA75}"/>
                </a:ext>
              </a:extLst>
            </xdr:cNvPr>
            <xdr:cNvSpPr txBox="1"/>
          </xdr:nvSpPr>
          <xdr:spPr>
            <a:xfrm>
              <a:off x="27034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6" name="TextBox 345">
              <a:extLst>
                <a:ext uri="{FF2B5EF4-FFF2-40B4-BE49-F238E27FC236}">
                  <a16:creationId xmlns:a16="http://schemas.microsoft.com/office/drawing/2014/main" id="{DC421AFB-5E70-49E6-AB3E-078CB490C3DE}"/>
                </a:ext>
              </a:extLst>
            </xdr:cNvPr>
            <xdr:cNvSpPr txBox="1"/>
          </xdr:nvSpPr>
          <xdr:spPr>
            <a:xfrm>
              <a:off x="35797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6" name="TextBox 345">
              <a:extLst>
                <a:ext uri="{FF2B5EF4-FFF2-40B4-BE49-F238E27FC236}">
                  <a16:creationId xmlns:a16="http://schemas.microsoft.com/office/drawing/2014/main" id="{DC421AFB-5E70-49E6-AB3E-078CB490C3DE}"/>
                </a:ext>
              </a:extLst>
            </xdr:cNvPr>
            <xdr:cNvSpPr txBox="1"/>
          </xdr:nvSpPr>
          <xdr:spPr>
            <a:xfrm>
              <a:off x="35797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7" name="TextBox 346">
              <a:extLst>
                <a:ext uri="{FF2B5EF4-FFF2-40B4-BE49-F238E27FC236}">
                  <a16:creationId xmlns:a16="http://schemas.microsoft.com/office/drawing/2014/main" id="{0A803C4C-6CE2-4527-A7D1-98110B7A6F9D}"/>
                </a:ext>
              </a:extLst>
            </xdr:cNvPr>
            <xdr:cNvSpPr txBox="1"/>
          </xdr:nvSpPr>
          <xdr:spPr>
            <a:xfrm>
              <a:off x="44560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7" name="TextBox 346">
              <a:extLst>
                <a:ext uri="{FF2B5EF4-FFF2-40B4-BE49-F238E27FC236}">
                  <a16:creationId xmlns:a16="http://schemas.microsoft.com/office/drawing/2014/main" id="{0A803C4C-6CE2-4527-A7D1-98110B7A6F9D}"/>
                </a:ext>
              </a:extLst>
            </xdr:cNvPr>
            <xdr:cNvSpPr txBox="1"/>
          </xdr:nvSpPr>
          <xdr:spPr>
            <a:xfrm>
              <a:off x="44560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8" name="TextBox 347">
              <a:extLst>
                <a:ext uri="{FF2B5EF4-FFF2-40B4-BE49-F238E27FC236}">
                  <a16:creationId xmlns:a16="http://schemas.microsoft.com/office/drawing/2014/main" id="{B8EE1F38-CA83-4DE3-8D91-BC63606865CC}"/>
                </a:ext>
              </a:extLst>
            </xdr:cNvPr>
            <xdr:cNvSpPr txBox="1"/>
          </xdr:nvSpPr>
          <xdr:spPr>
            <a:xfrm>
              <a:off x="53323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8" name="TextBox 347">
              <a:extLst>
                <a:ext uri="{FF2B5EF4-FFF2-40B4-BE49-F238E27FC236}">
                  <a16:creationId xmlns:a16="http://schemas.microsoft.com/office/drawing/2014/main" id="{B8EE1F38-CA83-4DE3-8D91-BC63606865CC}"/>
                </a:ext>
              </a:extLst>
            </xdr:cNvPr>
            <xdr:cNvSpPr txBox="1"/>
          </xdr:nvSpPr>
          <xdr:spPr>
            <a:xfrm>
              <a:off x="53323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9" name="TextBox 348">
              <a:extLst>
                <a:ext uri="{FF2B5EF4-FFF2-40B4-BE49-F238E27FC236}">
                  <a16:creationId xmlns:a16="http://schemas.microsoft.com/office/drawing/2014/main" id="{D8C93190-68BC-41BB-A29C-F788A3C8AB1C}"/>
                </a:ext>
              </a:extLst>
            </xdr:cNvPr>
            <xdr:cNvSpPr txBox="1"/>
          </xdr:nvSpPr>
          <xdr:spPr>
            <a:xfrm>
              <a:off x="62086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9" name="TextBox 348">
              <a:extLst>
                <a:ext uri="{FF2B5EF4-FFF2-40B4-BE49-F238E27FC236}">
                  <a16:creationId xmlns:a16="http://schemas.microsoft.com/office/drawing/2014/main" id="{D8C93190-68BC-41BB-A29C-F788A3C8AB1C}"/>
                </a:ext>
              </a:extLst>
            </xdr:cNvPr>
            <xdr:cNvSpPr txBox="1"/>
          </xdr:nvSpPr>
          <xdr:spPr>
            <a:xfrm>
              <a:off x="62086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0" name="TextBox 349">
              <a:extLst>
                <a:ext uri="{FF2B5EF4-FFF2-40B4-BE49-F238E27FC236}">
                  <a16:creationId xmlns:a16="http://schemas.microsoft.com/office/drawing/2014/main" id="{DCA19F6F-5FCC-41DB-ACD7-561D9BC6C122}"/>
                </a:ext>
              </a:extLst>
            </xdr:cNvPr>
            <xdr:cNvSpPr txBox="1"/>
          </xdr:nvSpPr>
          <xdr:spPr>
            <a:xfrm>
              <a:off x="70849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0" name="TextBox 349">
              <a:extLst>
                <a:ext uri="{FF2B5EF4-FFF2-40B4-BE49-F238E27FC236}">
                  <a16:creationId xmlns:a16="http://schemas.microsoft.com/office/drawing/2014/main" id="{DCA19F6F-5FCC-41DB-ACD7-561D9BC6C122}"/>
                </a:ext>
              </a:extLst>
            </xdr:cNvPr>
            <xdr:cNvSpPr txBox="1"/>
          </xdr:nvSpPr>
          <xdr:spPr>
            <a:xfrm>
              <a:off x="70849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1" name="TextBox 350">
              <a:extLst>
                <a:ext uri="{FF2B5EF4-FFF2-40B4-BE49-F238E27FC236}">
                  <a16:creationId xmlns:a16="http://schemas.microsoft.com/office/drawing/2014/main" id="{A20F5E75-B748-41E3-A256-5348383C8BF6}"/>
                </a:ext>
              </a:extLst>
            </xdr:cNvPr>
            <xdr:cNvSpPr txBox="1"/>
          </xdr:nvSpPr>
          <xdr:spPr>
            <a:xfrm>
              <a:off x="79612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1" name="TextBox 350">
              <a:extLst>
                <a:ext uri="{FF2B5EF4-FFF2-40B4-BE49-F238E27FC236}">
                  <a16:creationId xmlns:a16="http://schemas.microsoft.com/office/drawing/2014/main" id="{A20F5E75-B748-41E3-A256-5348383C8BF6}"/>
                </a:ext>
              </a:extLst>
            </xdr:cNvPr>
            <xdr:cNvSpPr txBox="1"/>
          </xdr:nvSpPr>
          <xdr:spPr>
            <a:xfrm>
              <a:off x="79612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104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2" name="TextBox 351">
              <a:extLst>
                <a:ext uri="{FF2B5EF4-FFF2-40B4-BE49-F238E27FC236}">
                  <a16:creationId xmlns:a16="http://schemas.microsoft.com/office/drawing/2014/main" id="{E26ECA6E-9BC8-4ED6-8AA5-7FA81713907A}"/>
                </a:ext>
              </a:extLst>
            </xdr:cNvPr>
            <xdr:cNvSpPr txBox="1"/>
          </xdr:nvSpPr>
          <xdr:spPr>
            <a:xfrm>
              <a:off x="8837507" y="122902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2" name="TextBox 351">
              <a:extLst>
                <a:ext uri="{FF2B5EF4-FFF2-40B4-BE49-F238E27FC236}">
                  <a16:creationId xmlns:a16="http://schemas.microsoft.com/office/drawing/2014/main" id="{E26ECA6E-9BC8-4ED6-8AA5-7FA81713907A}"/>
                </a:ext>
              </a:extLst>
            </xdr:cNvPr>
            <xdr:cNvSpPr txBox="1"/>
          </xdr:nvSpPr>
          <xdr:spPr>
            <a:xfrm>
              <a:off x="8837507" y="122902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3" name="TextBox 352">
              <a:extLst>
                <a:ext uri="{FF2B5EF4-FFF2-40B4-BE49-F238E27FC236}">
                  <a16:creationId xmlns:a16="http://schemas.microsoft.com/office/drawing/2014/main" id="{183E22B6-06E6-44BE-B905-14EFD8A7EC22}"/>
                </a:ext>
              </a:extLst>
            </xdr:cNvPr>
            <xdr:cNvSpPr txBox="1"/>
          </xdr:nvSpPr>
          <xdr:spPr>
            <a:xfrm>
              <a:off x="9508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3" name="TextBox 352">
              <a:extLst>
                <a:ext uri="{FF2B5EF4-FFF2-40B4-BE49-F238E27FC236}">
                  <a16:creationId xmlns:a16="http://schemas.microsoft.com/office/drawing/2014/main" id="{183E22B6-06E6-44BE-B905-14EFD8A7EC22}"/>
                </a:ext>
              </a:extLst>
            </xdr:cNvPr>
            <xdr:cNvSpPr txBox="1"/>
          </xdr:nvSpPr>
          <xdr:spPr>
            <a:xfrm>
              <a:off x="9508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4" name="TextBox 353">
              <a:extLst>
                <a:ext uri="{FF2B5EF4-FFF2-40B4-BE49-F238E27FC236}">
                  <a16:creationId xmlns:a16="http://schemas.microsoft.com/office/drawing/2014/main" id="{01DB4521-0FAA-4B34-8D3D-87673364A637}"/>
                </a:ext>
              </a:extLst>
            </xdr:cNvPr>
            <xdr:cNvSpPr txBox="1"/>
          </xdr:nvSpPr>
          <xdr:spPr>
            <a:xfrm>
              <a:off x="18271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4" name="TextBox 353">
              <a:extLst>
                <a:ext uri="{FF2B5EF4-FFF2-40B4-BE49-F238E27FC236}">
                  <a16:creationId xmlns:a16="http://schemas.microsoft.com/office/drawing/2014/main" id="{01DB4521-0FAA-4B34-8D3D-87673364A637}"/>
                </a:ext>
              </a:extLst>
            </xdr:cNvPr>
            <xdr:cNvSpPr txBox="1"/>
          </xdr:nvSpPr>
          <xdr:spPr>
            <a:xfrm>
              <a:off x="18271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5" name="TextBox 354">
              <a:extLst>
                <a:ext uri="{FF2B5EF4-FFF2-40B4-BE49-F238E27FC236}">
                  <a16:creationId xmlns:a16="http://schemas.microsoft.com/office/drawing/2014/main" id="{C82C4326-E82B-4B9E-8838-B46FAD3DF728}"/>
                </a:ext>
              </a:extLst>
            </xdr:cNvPr>
            <xdr:cNvSpPr txBox="1"/>
          </xdr:nvSpPr>
          <xdr:spPr>
            <a:xfrm>
              <a:off x="27034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5" name="TextBox 354">
              <a:extLst>
                <a:ext uri="{FF2B5EF4-FFF2-40B4-BE49-F238E27FC236}">
                  <a16:creationId xmlns:a16="http://schemas.microsoft.com/office/drawing/2014/main" id="{C82C4326-E82B-4B9E-8838-B46FAD3DF728}"/>
                </a:ext>
              </a:extLst>
            </xdr:cNvPr>
            <xdr:cNvSpPr txBox="1"/>
          </xdr:nvSpPr>
          <xdr:spPr>
            <a:xfrm>
              <a:off x="27034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6" name="TextBox 355">
              <a:extLst>
                <a:ext uri="{FF2B5EF4-FFF2-40B4-BE49-F238E27FC236}">
                  <a16:creationId xmlns:a16="http://schemas.microsoft.com/office/drawing/2014/main" id="{D594BDC1-E2A0-4013-A9C8-1A4E3BDED1EE}"/>
                </a:ext>
              </a:extLst>
            </xdr:cNvPr>
            <xdr:cNvSpPr txBox="1"/>
          </xdr:nvSpPr>
          <xdr:spPr>
            <a:xfrm>
              <a:off x="35797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6" name="TextBox 355">
              <a:extLst>
                <a:ext uri="{FF2B5EF4-FFF2-40B4-BE49-F238E27FC236}">
                  <a16:creationId xmlns:a16="http://schemas.microsoft.com/office/drawing/2014/main" id="{D594BDC1-E2A0-4013-A9C8-1A4E3BDED1EE}"/>
                </a:ext>
              </a:extLst>
            </xdr:cNvPr>
            <xdr:cNvSpPr txBox="1"/>
          </xdr:nvSpPr>
          <xdr:spPr>
            <a:xfrm>
              <a:off x="35797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7" name="TextBox 356">
              <a:extLst>
                <a:ext uri="{FF2B5EF4-FFF2-40B4-BE49-F238E27FC236}">
                  <a16:creationId xmlns:a16="http://schemas.microsoft.com/office/drawing/2014/main" id="{7D20A0C5-639B-4984-8EED-5BF6D0CEF76E}"/>
                </a:ext>
              </a:extLst>
            </xdr:cNvPr>
            <xdr:cNvSpPr txBox="1"/>
          </xdr:nvSpPr>
          <xdr:spPr>
            <a:xfrm>
              <a:off x="44560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7" name="TextBox 356">
              <a:extLst>
                <a:ext uri="{FF2B5EF4-FFF2-40B4-BE49-F238E27FC236}">
                  <a16:creationId xmlns:a16="http://schemas.microsoft.com/office/drawing/2014/main" id="{7D20A0C5-639B-4984-8EED-5BF6D0CEF76E}"/>
                </a:ext>
              </a:extLst>
            </xdr:cNvPr>
            <xdr:cNvSpPr txBox="1"/>
          </xdr:nvSpPr>
          <xdr:spPr>
            <a:xfrm>
              <a:off x="44560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8" name="TextBox 357">
              <a:extLst>
                <a:ext uri="{FF2B5EF4-FFF2-40B4-BE49-F238E27FC236}">
                  <a16:creationId xmlns:a16="http://schemas.microsoft.com/office/drawing/2014/main" id="{78F1E695-AA32-44EE-9DB7-E2AF5D191B63}"/>
                </a:ext>
              </a:extLst>
            </xdr:cNvPr>
            <xdr:cNvSpPr txBox="1"/>
          </xdr:nvSpPr>
          <xdr:spPr>
            <a:xfrm>
              <a:off x="53323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8" name="TextBox 357">
              <a:extLst>
                <a:ext uri="{FF2B5EF4-FFF2-40B4-BE49-F238E27FC236}">
                  <a16:creationId xmlns:a16="http://schemas.microsoft.com/office/drawing/2014/main" id="{78F1E695-AA32-44EE-9DB7-E2AF5D191B63}"/>
                </a:ext>
              </a:extLst>
            </xdr:cNvPr>
            <xdr:cNvSpPr txBox="1"/>
          </xdr:nvSpPr>
          <xdr:spPr>
            <a:xfrm>
              <a:off x="53323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9" name="TextBox 358">
              <a:extLst>
                <a:ext uri="{FF2B5EF4-FFF2-40B4-BE49-F238E27FC236}">
                  <a16:creationId xmlns:a16="http://schemas.microsoft.com/office/drawing/2014/main" id="{6C9A6B0A-D665-4D64-9CAE-6984B8E51B29}"/>
                </a:ext>
              </a:extLst>
            </xdr:cNvPr>
            <xdr:cNvSpPr txBox="1"/>
          </xdr:nvSpPr>
          <xdr:spPr>
            <a:xfrm>
              <a:off x="62086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9" name="TextBox 358">
              <a:extLst>
                <a:ext uri="{FF2B5EF4-FFF2-40B4-BE49-F238E27FC236}">
                  <a16:creationId xmlns:a16="http://schemas.microsoft.com/office/drawing/2014/main" id="{6C9A6B0A-D665-4D64-9CAE-6984B8E51B29}"/>
                </a:ext>
              </a:extLst>
            </xdr:cNvPr>
            <xdr:cNvSpPr txBox="1"/>
          </xdr:nvSpPr>
          <xdr:spPr>
            <a:xfrm>
              <a:off x="62086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0" name="TextBox 359">
              <a:extLst>
                <a:ext uri="{FF2B5EF4-FFF2-40B4-BE49-F238E27FC236}">
                  <a16:creationId xmlns:a16="http://schemas.microsoft.com/office/drawing/2014/main" id="{034BE289-00D4-4D7B-AAB6-54DDCF10FC5F}"/>
                </a:ext>
              </a:extLst>
            </xdr:cNvPr>
            <xdr:cNvSpPr txBox="1"/>
          </xdr:nvSpPr>
          <xdr:spPr>
            <a:xfrm>
              <a:off x="70849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0" name="TextBox 359">
              <a:extLst>
                <a:ext uri="{FF2B5EF4-FFF2-40B4-BE49-F238E27FC236}">
                  <a16:creationId xmlns:a16="http://schemas.microsoft.com/office/drawing/2014/main" id="{034BE289-00D4-4D7B-AAB6-54DDCF10FC5F}"/>
                </a:ext>
              </a:extLst>
            </xdr:cNvPr>
            <xdr:cNvSpPr txBox="1"/>
          </xdr:nvSpPr>
          <xdr:spPr>
            <a:xfrm>
              <a:off x="70849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1" name="TextBox 360">
              <a:extLst>
                <a:ext uri="{FF2B5EF4-FFF2-40B4-BE49-F238E27FC236}">
                  <a16:creationId xmlns:a16="http://schemas.microsoft.com/office/drawing/2014/main" id="{68758F64-16FF-4A93-AD83-5F77A53C9ACA}"/>
                </a:ext>
              </a:extLst>
            </xdr:cNvPr>
            <xdr:cNvSpPr txBox="1"/>
          </xdr:nvSpPr>
          <xdr:spPr>
            <a:xfrm>
              <a:off x="79612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1" name="TextBox 360">
              <a:extLst>
                <a:ext uri="{FF2B5EF4-FFF2-40B4-BE49-F238E27FC236}">
                  <a16:creationId xmlns:a16="http://schemas.microsoft.com/office/drawing/2014/main" id="{68758F64-16FF-4A93-AD83-5F77A53C9ACA}"/>
                </a:ext>
              </a:extLst>
            </xdr:cNvPr>
            <xdr:cNvSpPr txBox="1"/>
          </xdr:nvSpPr>
          <xdr:spPr>
            <a:xfrm>
              <a:off x="79612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104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2" name="TextBox 361">
              <a:extLst>
                <a:ext uri="{FF2B5EF4-FFF2-40B4-BE49-F238E27FC236}">
                  <a16:creationId xmlns:a16="http://schemas.microsoft.com/office/drawing/2014/main" id="{C5D500FB-835F-4A37-BD5D-C7E2D789887D}"/>
                </a:ext>
              </a:extLst>
            </xdr:cNvPr>
            <xdr:cNvSpPr txBox="1"/>
          </xdr:nvSpPr>
          <xdr:spPr>
            <a:xfrm>
              <a:off x="8837507" y="122902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2" name="TextBox 361">
              <a:extLst>
                <a:ext uri="{FF2B5EF4-FFF2-40B4-BE49-F238E27FC236}">
                  <a16:creationId xmlns:a16="http://schemas.microsoft.com/office/drawing/2014/main" id="{C5D500FB-835F-4A37-BD5D-C7E2D789887D}"/>
                </a:ext>
              </a:extLst>
            </xdr:cNvPr>
            <xdr:cNvSpPr txBox="1"/>
          </xdr:nvSpPr>
          <xdr:spPr>
            <a:xfrm>
              <a:off x="8837507" y="122902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3" name="TextBox 362">
              <a:extLst>
                <a:ext uri="{FF2B5EF4-FFF2-40B4-BE49-F238E27FC236}">
                  <a16:creationId xmlns:a16="http://schemas.microsoft.com/office/drawing/2014/main" id="{58D1437D-FA2E-4FA7-B67A-DB920519F50A}"/>
                </a:ext>
              </a:extLst>
            </xdr:cNvPr>
            <xdr:cNvSpPr txBox="1"/>
          </xdr:nvSpPr>
          <xdr:spPr>
            <a:xfrm>
              <a:off x="9508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3" name="TextBox 362">
              <a:extLst>
                <a:ext uri="{FF2B5EF4-FFF2-40B4-BE49-F238E27FC236}">
                  <a16:creationId xmlns:a16="http://schemas.microsoft.com/office/drawing/2014/main" id="{58D1437D-FA2E-4FA7-B67A-DB920519F50A}"/>
                </a:ext>
              </a:extLst>
            </xdr:cNvPr>
            <xdr:cNvSpPr txBox="1"/>
          </xdr:nvSpPr>
          <xdr:spPr>
            <a:xfrm>
              <a:off x="9508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4" name="TextBox 363">
              <a:extLst>
                <a:ext uri="{FF2B5EF4-FFF2-40B4-BE49-F238E27FC236}">
                  <a16:creationId xmlns:a16="http://schemas.microsoft.com/office/drawing/2014/main" id="{3C27D16C-6DA7-44A7-A95D-BBD4EA96060D}"/>
                </a:ext>
              </a:extLst>
            </xdr:cNvPr>
            <xdr:cNvSpPr txBox="1"/>
          </xdr:nvSpPr>
          <xdr:spPr>
            <a:xfrm>
              <a:off x="18271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4" name="TextBox 363">
              <a:extLst>
                <a:ext uri="{FF2B5EF4-FFF2-40B4-BE49-F238E27FC236}">
                  <a16:creationId xmlns:a16="http://schemas.microsoft.com/office/drawing/2014/main" id="{3C27D16C-6DA7-44A7-A95D-BBD4EA96060D}"/>
                </a:ext>
              </a:extLst>
            </xdr:cNvPr>
            <xdr:cNvSpPr txBox="1"/>
          </xdr:nvSpPr>
          <xdr:spPr>
            <a:xfrm>
              <a:off x="18271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5" name="TextBox 364">
              <a:extLst>
                <a:ext uri="{FF2B5EF4-FFF2-40B4-BE49-F238E27FC236}">
                  <a16:creationId xmlns:a16="http://schemas.microsoft.com/office/drawing/2014/main" id="{3BB3513F-077A-4BBD-A29C-FE47A3C33020}"/>
                </a:ext>
              </a:extLst>
            </xdr:cNvPr>
            <xdr:cNvSpPr txBox="1"/>
          </xdr:nvSpPr>
          <xdr:spPr>
            <a:xfrm>
              <a:off x="27034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5" name="TextBox 364">
              <a:extLst>
                <a:ext uri="{FF2B5EF4-FFF2-40B4-BE49-F238E27FC236}">
                  <a16:creationId xmlns:a16="http://schemas.microsoft.com/office/drawing/2014/main" id="{3BB3513F-077A-4BBD-A29C-FE47A3C33020}"/>
                </a:ext>
              </a:extLst>
            </xdr:cNvPr>
            <xdr:cNvSpPr txBox="1"/>
          </xdr:nvSpPr>
          <xdr:spPr>
            <a:xfrm>
              <a:off x="27034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6" name="TextBox 365">
              <a:extLst>
                <a:ext uri="{FF2B5EF4-FFF2-40B4-BE49-F238E27FC236}">
                  <a16:creationId xmlns:a16="http://schemas.microsoft.com/office/drawing/2014/main" id="{3AE6E0AA-0018-4032-97A6-0A50764DB5E1}"/>
                </a:ext>
              </a:extLst>
            </xdr:cNvPr>
            <xdr:cNvSpPr txBox="1"/>
          </xdr:nvSpPr>
          <xdr:spPr>
            <a:xfrm>
              <a:off x="35797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6" name="TextBox 365">
              <a:extLst>
                <a:ext uri="{FF2B5EF4-FFF2-40B4-BE49-F238E27FC236}">
                  <a16:creationId xmlns:a16="http://schemas.microsoft.com/office/drawing/2014/main" id="{3AE6E0AA-0018-4032-97A6-0A50764DB5E1}"/>
                </a:ext>
              </a:extLst>
            </xdr:cNvPr>
            <xdr:cNvSpPr txBox="1"/>
          </xdr:nvSpPr>
          <xdr:spPr>
            <a:xfrm>
              <a:off x="35797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7" name="TextBox 366">
              <a:extLst>
                <a:ext uri="{FF2B5EF4-FFF2-40B4-BE49-F238E27FC236}">
                  <a16:creationId xmlns:a16="http://schemas.microsoft.com/office/drawing/2014/main" id="{4ED429BF-5BB0-4470-B3DA-647DE8624A31}"/>
                </a:ext>
              </a:extLst>
            </xdr:cNvPr>
            <xdr:cNvSpPr txBox="1"/>
          </xdr:nvSpPr>
          <xdr:spPr>
            <a:xfrm>
              <a:off x="44560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7" name="TextBox 366">
              <a:extLst>
                <a:ext uri="{FF2B5EF4-FFF2-40B4-BE49-F238E27FC236}">
                  <a16:creationId xmlns:a16="http://schemas.microsoft.com/office/drawing/2014/main" id="{4ED429BF-5BB0-4470-B3DA-647DE8624A31}"/>
                </a:ext>
              </a:extLst>
            </xdr:cNvPr>
            <xdr:cNvSpPr txBox="1"/>
          </xdr:nvSpPr>
          <xdr:spPr>
            <a:xfrm>
              <a:off x="44560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8" name="TextBox 367">
              <a:extLst>
                <a:ext uri="{FF2B5EF4-FFF2-40B4-BE49-F238E27FC236}">
                  <a16:creationId xmlns:a16="http://schemas.microsoft.com/office/drawing/2014/main" id="{6F4F1722-ED6B-473F-858E-42E78E5410F5}"/>
                </a:ext>
              </a:extLst>
            </xdr:cNvPr>
            <xdr:cNvSpPr txBox="1"/>
          </xdr:nvSpPr>
          <xdr:spPr>
            <a:xfrm>
              <a:off x="53323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8" name="TextBox 367">
              <a:extLst>
                <a:ext uri="{FF2B5EF4-FFF2-40B4-BE49-F238E27FC236}">
                  <a16:creationId xmlns:a16="http://schemas.microsoft.com/office/drawing/2014/main" id="{6F4F1722-ED6B-473F-858E-42E78E5410F5}"/>
                </a:ext>
              </a:extLst>
            </xdr:cNvPr>
            <xdr:cNvSpPr txBox="1"/>
          </xdr:nvSpPr>
          <xdr:spPr>
            <a:xfrm>
              <a:off x="53323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9" name="TextBox 368">
              <a:extLst>
                <a:ext uri="{FF2B5EF4-FFF2-40B4-BE49-F238E27FC236}">
                  <a16:creationId xmlns:a16="http://schemas.microsoft.com/office/drawing/2014/main" id="{9CF6C8A2-94D2-47AF-BF4A-B498B8819B7C}"/>
                </a:ext>
              </a:extLst>
            </xdr:cNvPr>
            <xdr:cNvSpPr txBox="1"/>
          </xdr:nvSpPr>
          <xdr:spPr>
            <a:xfrm>
              <a:off x="62086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9" name="TextBox 368">
              <a:extLst>
                <a:ext uri="{FF2B5EF4-FFF2-40B4-BE49-F238E27FC236}">
                  <a16:creationId xmlns:a16="http://schemas.microsoft.com/office/drawing/2014/main" id="{9CF6C8A2-94D2-47AF-BF4A-B498B8819B7C}"/>
                </a:ext>
              </a:extLst>
            </xdr:cNvPr>
            <xdr:cNvSpPr txBox="1"/>
          </xdr:nvSpPr>
          <xdr:spPr>
            <a:xfrm>
              <a:off x="62086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0" name="TextBox 369">
              <a:extLst>
                <a:ext uri="{FF2B5EF4-FFF2-40B4-BE49-F238E27FC236}">
                  <a16:creationId xmlns:a16="http://schemas.microsoft.com/office/drawing/2014/main" id="{1B26D31F-F511-4F55-8FC3-9BEDFA8224E1}"/>
                </a:ext>
              </a:extLst>
            </xdr:cNvPr>
            <xdr:cNvSpPr txBox="1"/>
          </xdr:nvSpPr>
          <xdr:spPr>
            <a:xfrm>
              <a:off x="70849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0" name="TextBox 369">
              <a:extLst>
                <a:ext uri="{FF2B5EF4-FFF2-40B4-BE49-F238E27FC236}">
                  <a16:creationId xmlns:a16="http://schemas.microsoft.com/office/drawing/2014/main" id="{1B26D31F-F511-4F55-8FC3-9BEDFA8224E1}"/>
                </a:ext>
              </a:extLst>
            </xdr:cNvPr>
            <xdr:cNvSpPr txBox="1"/>
          </xdr:nvSpPr>
          <xdr:spPr>
            <a:xfrm>
              <a:off x="70849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1" name="TextBox 370">
              <a:extLst>
                <a:ext uri="{FF2B5EF4-FFF2-40B4-BE49-F238E27FC236}">
                  <a16:creationId xmlns:a16="http://schemas.microsoft.com/office/drawing/2014/main" id="{5769370F-0C4F-4B50-8724-AA69576F11D0}"/>
                </a:ext>
              </a:extLst>
            </xdr:cNvPr>
            <xdr:cNvSpPr txBox="1"/>
          </xdr:nvSpPr>
          <xdr:spPr>
            <a:xfrm>
              <a:off x="79612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1" name="TextBox 370">
              <a:extLst>
                <a:ext uri="{FF2B5EF4-FFF2-40B4-BE49-F238E27FC236}">
                  <a16:creationId xmlns:a16="http://schemas.microsoft.com/office/drawing/2014/main" id="{5769370F-0C4F-4B50-8724-AA69576F11D0}"/>
                </a:ext>
              </a:extLst>
            </xdr:cNvPr>
            <xdr:cNvSpPr txBox="1"/>
          </xdr:nvSpPr>
          <xdr:spPr>
            <a:xfrm>
              <a:off x="79612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104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2" name="TextBox 371">
              <a:extLst>
                <a:ext uri="{FF2B5EF4-FFF2-40B4-BE49-F238E27FC236}">
                  <a16:creationId xmlns:a16="http://schemas.microsoft.com/office/drawing/2014/main" id="{44AF4A14-4B70-4497-B48E-B72B5897F15F}"/>
                </a:ext>
              </a:extLst>
            </xdr:cNvPr>
            <xdr:cNvSpPr txBox="1"/>
          </xdr:nvSpPr>
          <xdr:spPr>
            <a:xfrm>
              <a:off x="8837507" y="122902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2" name="TextBox 371">
              <a:extLst>
                <a:ext uri="{FF2B5EF4-FFF2-40B4-BE49-F238E27FC236}">
                  <a16:creationId xmlns:a16="http://schemas.microsoft.com/office/drawing/2014/main" id="{44AF4A14-4B70-4497-B48E-B72B5897F15F}"/>
                </a:ext>
              </a:extLst>
            </xdr:cNvPr>
            <xdr:cNvSpPr txBox="1"/>
          </xdr:nvSpPr>
          <xdr:spPr>
            <a:xfrm>
              <a:off x="8837507" y="122902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3" name="TextBox 372">
              <a:extLst>
                <a:ext uri="{FF2B5EF4-FFF2-40B4-BE49-F238E27FC236}">
                  <a16:creationId xmlns:a16="http://schemas.microsoft.com/office/drawing/2014/main" id="{649CB74D-4806-4696-B07D-92F1CA3057B9}"/>
                </a:ext>
              </a:extLst>
            </xdr:cNvPr>
            <xdr:cNvSpPr txBox="1"/>
          </xdr:nvSpPr>
          <xdr:spPr>
            <a:xfrm>
              <a:off x="9508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3" name="TextBox 372">
              <a:extLst>
                <a:ext uri="{FF2B5EF4-FFF2-40B4-BE49-F238E27FC236}">
                  <a16:creationId xmlns:a16="http://schemas.microsoft.com/office/drawing/2014/main" id="{649CB74D-4806-4696-B07D-92F1CA3057B9}"/>
                </a:ext>
              </a:extLst>
            </xdr:cNvPr>
            <xdr:cNvSpPr txBox="1"/>
          </xdr:nvSpPr>
          <xdr:spPr>
            <a:xfrm>
              <a:off x="9508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4" name="TextBox 373">
              <a:extLst>
                <a:ext uri="{FF2B5EF4-FFF2-40B4-BE49-F238E27FC236}">
                  <a16:creationId xmlns:a16="http://schemas.microsoft.com/office/drawing/2014/main" id="{309FBACF-D8EB-4D8A-A8BA-83DA54D926CA}"/>
                </a:ext>
              </a:extLst>
            </xdr:cNvPr>
            <xdr:cNvSpPr txBox="1"/>
          </xdr:nvSpPr>
          <xdr:spPr>
            <a:xfrm>
              <a:off x="18271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4" name="TextBox 373">
              <a:extLst>
                <a:ext uri="{FF2B5EF4-FFF2-40B4-BE49-F238E27FC236}">
                  <a16:creationId xmlns:a16="http://schemas.microsoft.com/office/drawing/2014/main" id="{309FBACF-D8EB-4D8A-A8BA-83DA54D926CA}"/>
                </a:ext>
              </a:extLst>
            </xdr:cNvPr>
            <xdr:cNvSpPr txBox="1"/>
          </xdr:nvSpPr>
          <xdr:spPr>
            <a:xfrm>
              <a:off x="18271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5" name="TextBox 374">
              <a:extLst>
                <a:ext uri="{FF2B5EF4-FFF2-40B4-BE49-F238E27FC236}">
                  <a16:creationId xmlns:a16="http://schemas.microsoft.com/office/drawing/2014/main" id="{80464A63-0A4C-4C2A-A951-7FCD12029719}"/>
                </a:ext>
              </a:extLst>
            </xdr:cNvPr>
            <xdr:cNvSpPr txBox="1"/>
          </xdr:nvSpPr>
          <xdr:spPr>
            <a:xfrm>
              <a:off x="27034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5" name="TextBox 374">
              <a:extLst>
                <a:ext uri="{FF2B5EF4-FFF2-40B4-BE49-F238E27FC236}">
                  <a16:creationId xmlns:a16="http://schemas.microsoft.com/office/drawing/2014/main" id="{80464A63-0A4C-4C2A-A951-7FCD12029719}"/>
                </a:ext>
              </a:extLst>
            </xdr:cNvPr>
            <xdr:cNvSpPr txBox="1"/>
          </xdr:nvSpPr>
          <xdr:spPr>
            <a:xfrm>
              <a:off x="27034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6" name="TextBox 375">
              <a:extLst>
                <a:ext uri="{FF2B5EF4-FFF2-40B4-BE49-F238E27FC236}">
                  <a16:creationId xmlns:a16="http://schemas.microsoft.com/office/drawing/2014/main" id="{CDF84200-6C11-451E-84A1-3390F130575B}"/>
                </a:ext>
              </a:extLst>
            </xdr:cNvPr>
            <xdr:cNvSpPr txBox="1"/>
          </xdr:nvSpPr>
          <xdr:spPr>
            <a:xfrm>
              <a:off x="35797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6" name="TextBox 375">
              <a:extLst>
                <a:ext uri="{FF2B5EF4-FFF2-40B4-BE49-F238E27FC236}">
                  <a16:creationId xmlns:a16="http://schemas.microsoft.com/office/drawing/2014/main" id="{CDF84200-6C11-451E-84A1-3390F130575B}"/>
                </a:ext>
              </a:extLst>
            </xdr:cNvPr>
            <xdr:cNvSpPr txBox="1"/>
          </xdr:nvSpPr>
          <xdr:spPr>
            <a:xfrm>
              <a:off x="35797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7" name="TextBox 376">
              <a:extLst>
                <a:ext uri="{FF2B5EF4-FFF2-40B4-BE49-F238E27FC236}">
                  <a16:creationId xmlns:a16="http://schemas.microsoft.com/office/drawing/2014/main" id="{F465F80E-6D96-4955-BBB8-432B79255451}"/>
                </a:ext>
              </a:extLst>
            </xdr:cNvPr>
            <xdr:cNvSpPr txBox="1"/>
          </xdr:nvSpPr>
          <xdr:spPr>
            <a:xfrm>
              <a:off x="44560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7" name="TextBox 376">
              <a:extLst>
                <a:ext uri="{FF2B5EF4-FFF2-40B4-BE49-F238E27FC236}">
                  <a16:creationId xmlns:a16="http://schemas.microsoft.com/office/drawing/2014/main" id="{F465F80E-6D96-4955-BBB8-432B79255451}"/>
                </a:ext>
              </a:extLst>
            </xdr:cNvPr>
            <xdr:cNvSpPr txBox="1"/>
          </xdr:nvSpPr>
          <xdr:spPr>
            <a:xfrm>
              <a:off x="44560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8" name="TextBox 377">
              <a:extLst>
                <a:ext uri="{FF2B5EF4-FFF2-40B4-BE49-F238E27FC236}">
                  <a16:creationId xmlns:a16="http://schemas.microsoft.com/office/drawing/2014/main" id="{38F8FE22-83AF-4357-B530-A612988E7D92}"/>
                </a:ext>
              </a:extLst>
            </xdr:cNvPr>
            <xdr:cNvSpPr txBox="1"/>
          </xdr:nvSpPr>
          <xdr:spPr>
            <a:xfrm>
              <a:off x="53323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8" name="TextBox 377">
              <a:extLst>
                <a:ext uri="{FF2B5EF4-FFF2-40B4-BE49-F238E27FC236}">
                  <a16:creationId xmlns:a16="http://schemas.microsoft.com/office/drawing/2014/main" id="{38F8FE22-83AF-4357-B530-A612988E7D92}"/>
                </a:ext>
              </a:extLst>
            </xdr:cNvPr>
            <xdr:cNvSpPr txBox="1"/>
          </xdr:nvSpPr>
          <xdr:spPr>
            <a:xfrm>
              <a:off x="53323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9" name="TextBox 378">
              <a:extLst>
                <a:ext uri="{FF2B5EF4-FFF2-40B4-BE49-F238E27FC236}">
                  <a16:creationId xmlns:a16="http://schemas.microsoft.com/office/drawing/2014/main" id="{7403E9F6-AF5A-4731-BF91-FE9344DC6038}"/>
                </a:ext>
              </a:extLst>
            </xdr:cNvPr>
            <xdr:cNvSpPr txBox="1"/>
          </xdr:nvSpPr>
          <xdr:spPr>
            <a:xfrm>
              <a:off x="62086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9" name="TextBox 378">
              <a:extLst>
                <a:ext uri="{FF2B5EF4-FFF2-40B4-BE49-F238E27FC236}">
                  <a16:creationId xmlns:a16="http://schemas.microsoft.com/office/drawing/2014/main" id="{7403E9F6-AF5A-4731-BF91-FE9344DC6038}"/>
                </a:ext>
              </a:extLst>
            </xdr:cNvPr>
            <xdr:cNvSpPr txBox="1"/>
          </xdr:nvSpPr>
          <xdr:spPr>
            <a:xfrm>
              <a:off x="62086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0" name="TextBox 379">
              <a:extLst>
                <a:ext uri="{FF2B5EF4-FFF2-40B4-BE49-F238E27FC236}">
                  <a16:creationId xmlns:a16="http://schemas.microsoft.com/office/drawing/2014/main" id="{481CE937-9EC0-47F9-AEF0-7AB7C36A6968}"/>
                </a:ext>
              </a:extLst>
            </xdr:cNvPr>
            <xdr:cNvSpPr txBox="1"/>
          </xdr:nvSpPr>
          <xdr:spPr>
            <a:xfrm>
              <a:off x="70849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0" name="TextBox 379">
              <a:extLst>
                <a:ext uri="{FF2B5EF4-FFF2-40B4-BE49-F238E27FC236}">
                  <a16:creationId xmlns:a16="http://schemas.microsoft.com/office/drawing/2014/main" id="{481CE937-9EC0-47F9-AEF0-7AB7C36A6968}"/>
                </a:ext>
              </a:extLst>
            </xdr:cNvPr>
            <xdr:cNvSpPr txBox="1"/>
          </xdr:nvSpPr>
          <xdr:spPr>
            <a:xfrm>
              <a:off x="70849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1" name="TextBox 380">
              <a:extLst>
                <a:ext uri="{FF2B5EF4-FFF2-40B4-BE49-F238E27FC236}">
                  <a16:creationId xmlns:a16="http://schemas.microsoft.com/office/drawing/2014/main" id="{BE59B4A8-1B70-49C6-93F1-AB2C26B1C092}"/>
                </a:ext>
              </a:extLst>
            </xdr:cNvPr>
            <xdr:cNvSpPr txBox="1"/>
          </xdr:nvSpPr>
          <xdr:spPr>
            <a:xfrm>
              <a:off x="79612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1" name="TextBox 380">
              <a:extLst>
                <a:ext uri="{FF2B5EF4-FFF2-40B4-BE49-F238E27FC236}">
                  <a16:creationId xmlns:a16="http://schemas.microsoft.com/office/drawing/2014/main" id="{BE59B4A8-1B70-49C6-93F1-AB2C26B1C092}"/>
                </a:ext>
              </a:extLst>
            </xdr:cNvPr>
            <xdr:cNvSpPr txBox="1"/>
          </xdr:nvSpPr>
          <xdr:spPr>
            <a:xfrm>
              <a:off x="79612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104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2" name="TextBox 381">
              <a:extLst>
                <a:ext uri="{FF2B5EF4-FFF2-40B4-BE49-F238E27FC236}">
                  <a16:creationId xmlns:a16="http://schemas.microsoft.com/office/drawing/2014/main" id="{B543D687-6F4D-4E87-823F-21D1A1803C4B}"/>
                </a:ext>
              </a:extLst>
            </xdr:cNvPr>
            <xdr:cNvSpPr txBox="1"/>
          </xdr:nvSpPr>
          <xdr:spPr>
            <a:xfrm>
              <a:off x="8837507" y="122902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2" name="TextBox 381">
              <a:extLst>
                <a:ext uri="{FF2B5EF4-FFF2-40B4-BE49-F238E27FC236}">
                  <a16:creationId xmlns:a16="http://schemas.microsoft.com/office/drawing/2014/main" id="{B543D687-6F4D-4E87-823F-21D1A1803C4B}"/>
                </a:ext>
              </a:extLst>
            </xdr:cNvPr>
            <xdr:cNvSpPr txBox="1"/>
          </xdr:nvSpPr>
          <xdr:spPr>
            <a:xfrm>
              <a:off x="8837507" y="122902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3" name="TextBox 382">
              <a:extLst>
                <a:ext uri="{FF2B5EF4-FFF2-40B4-BE49-F238E27FC236}">
                  <a16:creationId xmlns:a16="http://schemas.microsoft.com/office/drawing/2014/main" id="{98088347-73D9-4506-998C-BD66006934F6}"/>
                </a:ext>
              </a:extLst>
            </xdr:cNvPr>
            <xdr:cNvSpPr txBox="1"/>
          </xdr:nvSpPr>
          <xdr:spPr>
            <a:xfrm>
              <a:off x="9508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3" name="TextBox 382">
              <a:extLst>
                <a:ext uri="{FF2B5EF4-FFF2-40B4-BE49-F238E27FC236}">
                  <a16:creationId xmlns:a16="http://schemas.microsoft.com/office/drawing/2014/main" id="{98088347-73D9-4506-998C-BD66006934F6}"/>
                </a:ext>
              </a:extLst>
            </xdr:cNvPr>
            <xdr:cNvSpPr txBox="1"/>
          </xdr:nvSpPr>
          <xdr:spPr>
            <a:xfrm>
              <a:off x="9508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4" name="TextBox 383">
              <a:extLst>
                <a:ext uri="{FF2B5EF4-FFF2-40B4-BE49-F238E27FC236}">
                  <a16:creationId xmlns:a16="http://schemas.microsoft.com/office/drawing/2014/main" id="{926E9D12-3431-4345-940E-1CE9BF1553D9}"/>
                </a:ext>
              </a:extLst>
            </xdr:cNvPr>
            <xdr:cNvSpPr txBox="1"/>
          </xdr:nvSpPr>
          <xdr:spPr>
            <a:xfrm>
              <a:off x="18271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4" name="TextBox 383">
              <a:extLst>
                <a:ext uri="{FF2B5EF4-FFF2-40B4-BE49-F238E27FC236}">
                  <a16:creationId xmlns:a16="http://schemas.microsoft.com/office/drawing/2014/main" id="{926E9D12-3431-4345-940E-1CE9BF1553D9}"/>
                </a:ext>
              </a:extLst>
            </xdr:cNvPr>
            <xdr:cNvSpPr txBox="1"/>
          </xdr:nvSpPr>
          <xdr:spPr>
            <a:xfrm>
              <a:off x="18271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5" name="TextBox 384">
              <a:extLst>
                <a:ext uri="{FF2B5EF4-FFF2-40B4-BE49-F238E27FC236}">
                  <a16:creationId xmlns:a16="http://schemas.microsoft.com/office/drawing/2014/main" id="{BD360701-F672-4CCD-8316-8C4FF957E054}"/>
                </a:ext>
              </a:extLst>
            </xdr:cNvPr>
            <xdr:cNvSpPr txBox="1"/>
          </xdr:nvSpPr>
          <xdr:spPr>
            <a:xfrm>
              <a:off x="27034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5" name="TextBox 384">
              <a:extLst>
                <a:ext uri="{FF2B5EF4-FFF2-40B4-BE49-F238E27FC236}">
                  <a16:creationId xmlns:a16="http://schemas.microsoft.com/office/drawing/2014/main" id="{BD360701-F672-4CCD-8316-8C4FF957E054}"/>
                </a:ext>
              </a:extLst>
            </xdr:cNvPr>
            <xdr:cNvSpPr txBox="1"/>
          </xdr:nvSpPr>
          <xdr:spPr>
            <a:xfrm>
              <a:off x="27034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6" name="TextBox 385">
              <a:extLst>
                <a:ext uri="{FF2B5EF4-FFF2-40B4-BE49-F238E27FC236}">
                  <a16:creationId xmlns:a16="http://schemas.microsoft.com/office/drawing/2014/main" id="{111B029D-9B8E-4D4B-81F3-2433554F3C0C}"/>
                </a:ext>
              </a:extLst>
            </xdr:cNvPr>
            <xdr:cNvSpPr txBox="1"/>
          </xdr:nvSpPr>
          <xdr:spPr>
            <a:xfrm>
              <a:off x="35797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6" name="TextBox 385">
              <a:extLst>
                <a:ext uri="{FF2B5EF4-FFF2-40B4-BE49-F238E27FC236}">
                  <a16:creationId xmlns:a16="http://schemas.microsoft.com/office/drawing/2014/main" id="{111B029D-9B8E-4D4B-81F3-2433554F3C0C}"/>
                </a:ext>
              </a:extLst>
            </xdr:cNvPr>
            <xdr:cNvSpPr txBox="1"/>
          </xdr:nvSpPr>
          <xdr:spPr>
            <a:xfrm>
              <a:off x="35797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7" name="TextBox 386">
              <a:extLst>
                <a:ext uri="{FF2B5EF4-FFF2-40B4-BE49-F238E27FC236}">
                  <a16:creationId xmlns:a16="http://schemas.microsoft.com/office/drawing/2014/main" id="{1CE442EA-5084-46F5-A8B6-EC14789B69F1}"/>
                </a:ext>
              </a:extLst>
            </xdr:cNvPr>
            <xdr:cNvSpPr txBox="1"/>
          </xdr:nvSpPr>
          <xdr:spPr>
            <a:xfrm>
              <a:off x="44560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7" name="TextBox 386">
              <a:extLst>
                <a:ext uri="{FF2B5EF4-FFF2-40B4-BE49-F238E27FC236}">
                  <a16:creationId xmlns:a16="http://schemas.microsoft.com/office/drawing/2014/main" id="{1CE442EA-5084-46F5-A8B6-EC14789B69F1}"/>
                </a:ext>
              </a:extLst>
            </xdr:cNvPr>
            <xdr:cNvSpPr txBox="1"/>
          </xdr:nvSpPr>
          <xdr:spPr>
            <a:xfrm>
              <a:off x="44560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8" name="TextBox 387">
              <a:extLst>
                <a:ext uri="{FF2B5EF4-FFF2-40B4-BE49-F238E27FC236}">
                  <a16:creationId xmlns:a16="http://schemas.microsoft.com/office/drawing/2014/main" id="{4C855AFB-00AD-448C-AA00-50AFF85A91E2}"/>
                </a:ext>
              </a:extLst>
            </xdr:cNvPr>
            <xdr:cNvSpPr txBox="1"/>
          </xdr:nvSpPr>
          <xdr:spPr>
            <a:xfrm>
              <a:off x="53323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8" name="TextBox 387">
              <a:extLst>
                <a:ext uri="{FF2B5EF4-FFF2-40B4-BE49-F238E27FC236}">
                  <a16:creationId xmlns:a16="http://schemas.microsoft.com/office/drawing/2014/main" id="{4C855AFB-00AD-448C-AA00-50AFF85A91E2}"/>
                </a:ext>
              </a:extLst>
            </xdr:cNvPr>
            <xdr:cNvSpPr txBox="1"/>
          </xdr:nvSpPr>
          <xdr:spPr>
            <a:xfrm>
              <a:off x="53323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9" name="TextBox 388">
              <a:extLst>
                <a:ext uri="{FF2B5EF4-FFF2-40B4-BE49-F238E27FC236}">
                  <a16:creationId xmlns:a16="http://schemas.microsoft.com/office/drawing/2014/main" id="{00D47223-55F6-4358-A1AD-95F5920D41EA}"/>
                </a:ext>
              </a:extLst>
            </xdr:cNvPr>
            <xdr:cNvSpPr txBox="1"/>
          </xdr:nvSpPr>
          <xdr:spPr>
            <a:xfrm>
              <a:off x="62086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9" name="TextBox 388">
              <a:extLst>
                <a:ext uri="{FF2B5EF4-FFF2-40B4-BE49-F238E27FC236}">
                  <a16:creationId xmlns:a16="http://schemas.microsoft.com/office/drawing/2014/main" id="{00D47223-55F6-4358-A1AD-95F5920D41EA}"/>
                </a:ext>
              </a:extLst>
            </xdr:cNvPr>
            <xdr:cNvSpPr txBox="1"/>
          </xdr:nvSpPr>
          <xdr:spPr>
            <a:xfrm>
              <a:off x="62086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0" name="TextBox 389">
              <a:extLst>
                <a:ext uri="{FF2B5EF4-FFF2-40B4-BE49-F238E27FC236}">
                  <a16:creationId xmlns:a16="http://schemas.microsoft.com/office/drawing/2014/main" id="{A166638E-4FA4-4DAB-AB86-334D1BCD593E}"/>
                </a:ext>
              </a:extLst>
            </xdr:cNvPr>
            <xdr:cNvSpPr txBox="1"/>
          </xdr:nvSpPr>
          <xdr:spPr>
            <a:xfrm>
              <a:off x="70849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0" name="TextBox 389">
              <a:extLst>
                <a:ext uri="{FF2B5EF4-FFF2-40B4-BE49-F238E27FC236}">
                  <a16:creationId xmlns:a16="http://schemas.microsoft.com/office/drawing/2014/main" id="{A166638E-4FA4-4DAB-AB86-334D1BCD593E}"/>
                </a:ext>
              </a:extLst>
            </xdr:cNvPr>
            <xdr:cNvSpPr txBox="1"/>
          </xdr:nvSpPr>
          <xdr:spPr>
            <a:xfrm>
              <a:off x="70849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1" name="TextBox 390">
              <a:extLst>
                <a:ext uri="{FF2B5EF4-FFF2-40B4-BE49-F238E27FC236}">
                  <a16:creationId xmlns:a16="http://schemas.microsoft.com/office/drawing/2014/main" id="{EF28EF28-0FDB-475C-8E84-6A6D858A05D0}"/>
                </a:ext>
              </a:extLst>
            </xdr:cNvPr>
            <xdr:cNvSpPr txBox="1"/>
          </xdr:nvSpPr>
          <xdr:spPr>
            <a:xfrm>
              <a:off x="79612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1" name="TextBox 390">
              <a:extLst>
                <a:ext uri="{FF2B5EF4-FFF2-40B4-BE49-F238E27FC236}">
                  <a16:creationId xmlns:a16="http://schemas.microsoft.com/office/drawing/2014/main" id="{EF28EF28-0FDB-475C-8E84-6A6D858A05D0}"/>
                </a:ext>
              </a:extLst>
            </xdr:cNvPr>
            <xdr:cNvSpPr txBox="1"/>
          </xdr:nvSpPr>
          <xdr:spPr>
            <a:xfrm>
              <a:off x="79612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104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2" name="TextBox 391">
              <a:extLst>
                <a:ext uri="{FF2B5EF4-FFF2-40B4-BE49-F238E27FC236}">
                  <a16:creationId xmlns:a16="http://schemas.microsoft.com/office/drawing/2014/main" id="{8847778E-F181-401D-80C5-B2EC240BF02E}"/>
                </a:ext>
              </a:extLst>
            </xdr:cNvPr>
            <xdr:cNvSpPr txBox="1"/>
          </xdr:nvSpPr>
          <xdr:spPr>
            <a:xfrm>
              <a:off x="8837507" y="122902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2" name="TextBox 391">
              <a:extLst>
                <a:ext uri="{FF2B5EF4-FFF2-40B4-BE49-F238E27FC236}">
                  <a16:creationId xmlns:a16="http://schemas.microsoft.com/office/drawing/2014/main" id="{8847778E-F181-401D-80C5-B2EC240BF02E}"/>
                </a:ext>
              </a:extLst>
            </xdr:cNvPr>
            <xdr:cNvSpPr txBox="1"/>
          </xdr:nvSpPr>
          <xdr:spPr>
            <a:xfrm>
              <a:off x="8837507" y="122902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3" name="TextBox 392">
              <a:extLst>
                <a:ext uri="{FF2B5EF4-FFF2-40B4-BE49-F238E27FC236}">
                  <a16:creationId xmlns:a16="http://schemas.microsoft.com/office/drawing/2014/main" id="{4D594ED3-4F33-498D-BD75-1978A1EDE544}"/>
                </a:ext>
              </a:extLst>
            </xdr:cNvPr>
            <xdr:cNvSpPr txBox="1"/>
          </xdr:nvSpPr>
          <xdr:spPr>
            <a:xfrm>
              <a:off x="9508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3" name="TextBox 392">
              <a:extLst>
                <a:ext uri="{FF2B5EF4-FFF2-40B4-BE49-F238E27FC236}">
                  <a16:creationId xmlns:a16="http://schemas.microsoft.com/office/drawing/2014/main" id="{4D594ED3-4F33-498D-BD75-1978A1EDE544}"/>
                </a:ext>
              </a:extLst>
            </xdr:cNvPr>
            <xdr:cNvSpPr txBox="1"/>
          </xdr:nvSpPr>
          <xdr:spPr>
            <a:xfrm>
              <a:off x="9508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4" name="TextBox 393">
              <a:extLst>
                <a:ext uri="{FF2B5EF4-FFF2-40B4-BE49-F238E27FC236}">
                  <a16:creationId xmlns:a16="http://schemas.microsoft.com/office/drawing/2014/main" id="{34A95A75-F42F-4C99-8E5D-F65F6C721D79}"/>
                </a:ext>
              </a:extLst>
            </xdr:cNvPr>
            <xdr:cNvSpPr txBox="1"/>
          </xdr:nvSpPr>
          <xdr:spPr>
            <a:xfrm>
              <a:off x="18271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4" name="TextBox 393">
              <a:extLst>
                <a:ext uri="{FF2B5EF4-FFF2-40B4-BE49-F238E27FC236}">
                  <a16:creationId xmlns:a16="http://schemas.microsoft.com/office/drawing/2014/main" id="{34A95A75-F42F-4C99-8E5D-F65F6C721D79}"/>
                </a:ext>
              </a:extLst>
            </xdr:cNvPr>
            <xdr:cNvSpPr txBox="1"/>
          </xdr:nvSpPr>
          <xdr:spPr>
            <a:xfrm>
              <a:off x="18271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5" name="TextBox 394">
              <a:extLst>
                <a:ext uri="{FF2B5EF4-FFF2-40B4-BE49-F238E27FC236}">
                  <a16:creationId xmlns:a16="http://schemas.microsoft.com/office/drawing/2014/main" id="{5B227704-06ED-4F08-B172-B7FB9F258F90}"/>
                </a:ext>
              </a:extLst>
            </xdr:cNvPr>
            <xdr:cNvSpPr txBox="1"/>
          </xdr:nvSpPr>
          <xdr:spPr>
            <a:xfrm>
              <a:off x="27034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5" name="TextBox 394">
              <a:extLst>
                <a:ext uri="{FF2B5EF4-FFF2-40B4-BE49-F238E27FC236}">
                  <a16:creationId xmlns:a16="http://schemas.microsoft.com/office/drawing/2014/main" id="{5B227704-06ED-4F08-B172-B7FB9F258F90}"/>
                </a:ext>
              </a:extLst>
            </xdr:cNvPr>
            <xdr:cNvSpPr txBox="1"/>
          </xdr:nvSpPr>
          <xdr:spPr>
            <a:xfrm>
              <a:off x="27034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6" name="TextBox 395">
              <a:extLst>
                <a:ext uri="{FF2B5EF4-FFF2-40B4-BE49-F238E27FC236}">
                  <a16:creationId xmlns:a16="http://schemas.microsoft.com/office/drawing/2014/main" id="{5745B437-C12B-48EF-B535-34403C958E24}"/>
                </a:ext>
              </a:extLst>
            </xdr:cNvPr>
            <xdr:cNvSpPr txBox="1"/>
          </xdr:nvSpPr>
          <xdr:spPr>
            <a:xfrm>
              <a:off x="35797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6" name="TextBox 395">
              <a:extLst>
                <a:ext uri="{FF2B5EF4-FFF2-40B4-BE49-F238E27FC236}">
                  <a16:creationId xmlns:a16="http://schemas.microsoft.com/office/drawing/2014/main" id="{5745B437-C12B-48EF-B535-34403C958E24}"/>
                </a:ext>
              </a:extLst>
            </xdr:cNvPr>
            <xdr:cNvSpPr txBox="1"/>
          </xdr:nvSpPr>
          <xdr:spPr>
            <a:xfrm>
              <a:off x="35797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7" name="TextBox 396">
              <a:extLst>
                <a:ext uri="{FF2B5EF4-FFF2-40B4-BE49-F238E27FC236}">
                  <a16:creationId xmlns:a16="http://schemas.microsoft.com/office/drawing/2014/main" id="{3E8029CF-68F2-4912-967A-64DA75B9D75A}"/>
                </a:ext>
              </a:extLst>
            </xdr:cNvPr>
            <xdr:cNvSpPr txBox="1"/>
          </xdr:nvSpPr>
          <xdr:spPr>
            <a:xfrm>
              <a:off x="44560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7" name="TextBox 396">
              <a:extLst>
                <a:ext uri="{FF2B5EF4-FFF2-40B4-BE49-F238E27FC236}">
                  <a16:creationId xmlns:a16="http://schemas.microsoft.com/office/drawing/2014/main" id="{3E8029CF-68F2-4912-967A-64DA75B9D75A}"/>
                </a:ext>
              </a:extLst>
            </xdr:cNvPr>
            <xdr:cNvSpPr txBox="1"/>
          </xdr:nvSpPr>
          <xdr:spPr>
            <a:xfrm>
              <a:off x="44560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8" name="TextBox 397">
              <a:extLst>
                <a:ext uri="{FF2B5EF4-FFF2-40B4-BE49-F238E27FC236}">
                  <a16:creationId xmlns:a16="http://schemas.microsoft.com/office/drawing/2014/main" id="{CA50E572-91E3-429D-9580-93153F034810}"/>
                </a:ext>
              </a:extLst>
            </xdr:cNvPr>
            <xdr:cNvSpPr txBox="1"/>
          </xdr:nvSpPr>
          <xdr:spPr>
            <a:xfrm>
              <a:off x="53323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8" name="TextBox 397">
              <a:extLst>
                <a:ext uri="{FF2B5EF4-FFF2-40B4-BE49-F238E27FC236}">
                  <a16:creationId xmlns:a16="http://schemas.microsoft.com/office/drawing/2014/main" id="{CA50E572-91E3-429D-9580-93153F034810}"/>
                </a:ext>
              </a:extLst>
            </xdr:cNvPr>
            <xdr:cNvSpPr txBox="1"/>
          </xdr:nvSpPr>
          <xdr:spPr>
            <a:xfrm>
              <a:off x="53323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9" name="TextBox 398">
              <a:extLst>
                <a:ext uri="{FF2B5EF4-FFF2-40B4-BE49-F238E27FC236}">
                  <a16:creationId xmlns:a16="http://schemas.microsoft.com/office/drawing/2014/main" id="{A4DE0C01-E6A3-4685-A0B2-C3C8442DE0E5}"/>
                </a:ext>
              </a:extLst>
            </xdr:cNvPr>
            <xdr:cNvSpPr txBox="1"/>
          </xdr:nvSpPr>
          <xdr:spPr>
            <a:xfrm>
              <a:off x="62086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9" name="TextBox 398">
              <a:extLst>
                <a:ext uri="{FF2B5EF4-FFF2-40B4-BE49-F238E27FC236}">
                  <a16:creationId xmlns:a16="http://schemas.microsoft.com/office/drawing/2014/main" id="{A4DE0C01-E6A3-4685-A0B2-C3C8442DE0E5}"/>
                </a:ext>
              </a:extLst>
            </xdr:cNvPr>
            <xdr:cNvSpPr txBox="1"/>
          </xdr:nvSpPr>
          <xdr:spPr>
            <a:xfrm>
              <a:off x="62086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0" name="TextBox 399">
              <a:extLst>
                <a:ext uri="{FF2B5EF4-FFF2-40B4-BE49-F238E27FC236}">
                  <a16:creationId xmlns:a16="http://schemas.microsoft.com/office/drawing/2014/main" id="{8460E643-F78A-4066-86CE-73AAF4EB62D6}"/>
                </a:ext>
              </a:extLst>
            </xdr:cNvPr>
            <xdr:cNvSpPr txBox="1"/>
          </xdr:nvSpPr>
          <xdr:spPr>
            <a:xfrm>
              <a:off x="70849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0" name="TextBox 399">
              <a:extLst>
                <a:ext uri="{FF2B5EF4-FFF2-40B4-BE49-F238E27FC236}">
                  <a16:creationId xmlns:a16="http://schemas.microsoft.com/office/drawing/2014/main" id="{8460E643-F78A-4066-86CE-73AAF4EB62D6}"/>
                </a:ext>
              </a:extLst>
            </xdr:cNvPr>
            <xdr:cNvSpPr txBox="1"/>
          </xdr:nvSpPr>
          <xdr:spPr>
            <a:xfrm>
              <a:off x="70849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1" name="TextBox 400">
              <a:extLst>
                <a:ext uri="{FF2B5EF4-FFF2-40B4-BE49-F238E27FC236}">
                  <a16:creationId xmlns:a16="http://schemas.microsoft.com/office/drawing/2014/main" id="{C84FCE1E-6A4A-4868-A0A9-A145D698669F}"/>
                </a:ext>
              </a:extLst>
            </xdr:cNvPr>
            <xdr:cNvSpPr txBox="1"/>
          </xdr:nvSpPr>
          <xdr:spPr>
            <a:xfrm>
              <a:off x="79612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1" name="TextBox 400">
              <a:extLst>
                <a:ext uri="{FF2B5EF4-FFF2-40B4-BE49-F238E27FC236}">
                  <a16:creationId xmlns:a16="http://schemas.microsoft.com/office/drawing/2014/main" id="{C84FCE1E-6A4A-4868-A0A9-A145D698669F}"/>
                </a:ext>
              </a:extLst>
            </xdr:cNvPr>
            <xdr:cNvSpPr txBox="1"/>
          </xdr:nvSpPr>
          <xdr:spPr>
            <a:xfrm>
              <a:off x="79612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104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2" name="TextBox 401">
              <a:extLst>
                <a:ext uri="{FF2B5EF4-FFF2-40B4-BE49-F238E27FC236}">
                  <a16:creationId xmlns:a16="http://schemas.microsoft.com/office/drawing/2014/main" id="{80FC30FA-839C-4247-A013-0CF276EF1411}"/>
                </a:ext>
              </a:extLst>
            </xdr:cNvPr>
            <xdr:cNvSpPr txBox="1"/>
          </xdr:nvSpPr>
          <xdr:spPr>
            <a:xfrm>
              <a:off x="8837507" y="122902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2" name="TextBox 401">
              <a:extLst>
                <a:ext uri="{FF2B5EF4-FFF2-40B4-BE49-F238E27FC236}">
                  <a16:creationId xmlns:a16="http://schemas.microsoft.com/office/drawing/2014/main" id="{80FC30FA-839C-4247-A013-0CF276EF1411}"/>
                </a:ext>
              </a:extLst>
            </xdr:cNvPr>
            <xdr:cNvSpPr txBox="1"/>
          </xdr:nvSpPr>
          <xdr:spPr>
            <a:xfrm>
              <a:off x="8837507" y="122902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3" name="TextBox 402">
              <a:extLst>
                <a:ext uri="{FF2B5EF4-FFF2-40B4-BE49-F238E27FC236}">
                  <a16:creationId xmlns:a16="http://schemas.microsoft.com/office/drawing/2014/main" id="{EB8544C8-4E20-4A2D-BEA7-A74452F65E63}"/>
                </a:ext>
              </a:extLst>
            </xdr:cNvPr>
            <xdr:cNvSpPr txBox="1"/>
          </xdr:nvSpPr>
          <xdr:spPr>
            <a:xfrm>
              <a:off x="9508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3" name="TextBox 402">
              <a:extLst>
                <a:ext uri="{FF2B5EF4-FFF2-40B4-BE49-F238E27FC236}">
                  <a16:creationId xmlns:a16="http://schemas.microsoft.com/office/drawing/2014/main" id="{EB8544C8-4E20-4A2D-BEA7-A74452F65E63}"/>
                </a:ext>
              </a:extLst>
            </xdr:cNvPr>
            <xdr:cNvSpPr txBox="1"/>
          </xdr:nvSpPr>
          <xdr:spPr>
            <a:xfrm>
              <a:off x="9508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4" name="TextBox 403">
              <a:extLst>
                <a:ext uri="{FF2B5EF4-FFF2-40B4-BE49-F238E27FC236}">
                  <a16:creationId xmlns:a16="http://schemas.microsoft.com/office/drawing/2014/main" id="{D6772A18-C18B-4159-B5A5-D6A57F70C157}"/>
                </a:ext>
              </a:extLst>
            </xdr:cNvPr>
            <xdr:cNvSpPr txBox="1"/>
          </xdr:nvSpPr>
          <xdr:spPr>
            <a:xfrm>
              <a:off x="18271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4" name="TextBox 403">
              <a:extLst>
                <a:ext uri="{FF2B5EF4-FFF2-40B4-BE49-F238E27FC236}">
                  <a16:creationId xmlns:a16="http://schemas.microsoft.com/office/drawing/2014/main" id="{D6772A18-C18B-4159-B5A5-D6A57F70C157}"/>
                </a:ext>
              </a:extLst>
            </xdr:cNvPr>
            <xdr:cNvSpPr txBox="1"/>
          </xdr:nvSpPr>
          <xdr:spPr>
            <a:xfrm>
              <a:off x="18271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5" name="TextBox 404">
              <a:extLst>
                <a:ext uri="{FF2B5EF4-FFF2-40B4-BE49-F238E27FC236}">
                  <a16:creationId xmlns:a16="http://schemas.microsoft.com/office/drawing/2014/main" id="{D530F12B-251B-4E9E-A564-7BFAFF577771}"/>
                </a:ext>
              </a:extLst>
            </xdr:cNvPr>
            <xdr:cNvSpPr txBox="1"/>
          </xdr:nvSpPr>
          <xdr:spPr>
            <a:xfrm>
              <a:off x="27034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5" name="TextBox 404">
              <a:extLst>
                <a:ext uri="{FF2B5EF4-FFF2-40B4-BE49-F238E27FC236}">
                  <a16:creationId xmlns:a16="http://schemas.microsoft.com/office/drawing/2014/main" id="{D530F12B-251B-4E9E-A564-7BFAFF577771}"/>
                </a:ext>
              </a:extLst>
            </xdr:cNvPr>
            <xdr:cNvSpPr txBox="1"/>
          </xdr:nvSpPr>
          <xdr:spPr>
            <a:xfrm>
              <a:off x="27034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6" name="TextBox 405">
              <a:extLst>
                <a:ext uri="{FF2B5EF4-FFF2-40B4-BE49-F238E27FC236}">
                  <a16:creationId xmlns:a16="http://schemas.microsoft.com/office/drawing/2014/main" id="{CB8D492E-3A13-4BDF-BE93-4EDEC7CC7181}"/>
                </a:ext>
              </a:extLst>
            </xdr:cNvPr>
            <xdr:cNvSpPr txBox="1"/>
          </xdr:nvSpPr>
          <xdr:spPr>
            <a:xfrm>
              <a:off x="35797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6" name="TextBox 405">
              <a:extLst>
                <a:ext uri="{FF2B5EF4-FFF2-40B4-BE49-F238E27FC236}">
                  <a16:creationId xmlns:a16="http://schemas.microsoft.com/office/drawing/2014/main" id="{CB8D492E-3A13-4BDF-BE93-4EDEC7CC7181}"/>
                </a:ext>
              </a:extLst>
            </xdr:cNvPr>
            <xdr:cNvSpPr txBox="1"/>
          </xdr:nvSpPr>
          <xdr:spPr>
            <a:xfrm>
              <a:off x="35797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7" name="TextBox 406">
              <a:extLst>
                <a:ext uri="{FF2B5EF4-FFF2-40B4-BE49-F238E27FC236}">
                  <a16:creationId xmlns:a16="http://schemas.microsoft.com/office/drawing/2014/main" id="{A376D87C-0A00-4558-9E4F-1C1761913FFA}"/>
                </a:ext>
              </a:extLst>
            </xdr:cNvPr>
            <xdr:cNvSpPr txBox="1"/>
          </xdr:nvSpPr>
          <xdr:spPr>
            <a:xfrm>
              <a:off x="44560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7" name="TextBox 406">
              <a:extLst>
                <a:ext uri="{FF2B5EF4-FFF2-40B4-BE49-F238E27FC236}">
                  <a16:creationId xmlns:a16="http://schemas.microsoft.com/office/drawing/2014/main" id="{A376D87C-0A00-4558-9E4F-1C1761913FFA}"/>
                </a:ext>
              </a:extLst>
            </xdr:cNvPr>
            <xdr:cNvSpPr txBox="1"/>
          </xdr:nvSpPr>
          <xdr:spPr>
            <a:xfrm>
              <a:off x="44560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8" name="TextBox 407">
              <a:extLst>
                <a:ext uri="{FF2B5EF4-FFF2-40B4-BE49-F238E27FC236}">
                  <a16:creationId xmlns:a16="http://schemas.microsoft.com/office/drawing/2014/main" id="{E7E86EDB-EF7E-4296-9393-40568B8E87A3}"/>
                </a:ext>
              </a:extLst>
            </xdr:cNvPr>
            <xdr:cNvSpPr txBox="1"/>
          </xdr:nvSpPr>
          <xdr:spPr>
            <a:xfrm>
              <a:off x="53323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8" name="TextBox 407">
              <a:extLst>
                <a:ext uri="{FF2B5EF4-FFF2-40B4-BE49-F238E27FC236}">
                  <a16:creationId xmlns:a16="http://schemas.microsoft.com/office/drawing/2014/main" id="{E7E86EDB-EF7E-4296-9393-40568B8E87A3}"/>
                </a:ext>
              </a:extLst>
            </xdr:cNvPr>
            <xdr:cNvSpPr txBox="1"/>
          </xdr:nvSpPr>
          <xdr:spPr>
            <a:xfrm>
              <a:off x="53323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9" name="TextBox 408">
              <a:extLst>
                <a:ext uri="{FF2B5EF4-FFF2-40B4-BE49-F238E27FC236}">
                  <a16:creationId xmlns:a16="http://schemas.microsoft.com/office/drawing/2014/main" id="{85F394D9-56ED-4974-B9EB-DC88AF195483}"/>
                </a:ext>
              </a:extLst>
            </xdr:cNvPr>
            <xdr:cNvSpPr txBox="1"/>
          </xdr:nvSpPr>
          <xdr:spPr>
            <a:xfrm>
              <a:off x="62086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9" name="TextBox 408">
              <a:extLst>
                <a:ext uri="{FF2B5EF4-FFF2-40B4-BE49-F238E27FC236}">
                  <a16:creationId xmlns:a16="http://schemas.microsoft.com/office/drawing/2014/main" id="{85F394D9-56ED-4974-B9EB-DC88AF195483}"/>
                </a:ext>
              </a:extLst>
            </xdr:cNvPr>
            <xdr:cNvSpPr txBox="1"/>
          </xdr:nvSpPr>
          <xdr:spPr>
            <a:xfrm>
              <a:off x="62086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0" name="TextBox 409">
              <a:extLst>
                <a:ext uri="{FF2B5EF4-FFF2-40B4-BE49-F238E27FC236}">
                  <a16:creationId xmlns:a16="http://schemas.microsoft.com/office/drawing/2014/main" id="{C2411881-A692-44DE-9A06-E3D0B7C25C4D}"/>
                </a:ext>
              </a:extLst>
            </xdr:cNvPr>
            <xdr:cNvSpPr txBox="1"/>
          </xdr:nvSpPr>
          <xdr:spPr>
            <a:xfrm>
              <a:off x="70849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0" name="TextBox 409">
              <a:extLst>
                <a:ext uri="{FF2B5EF4-FFF2-40B4-BE49-F238E27FC236}">
                  <a16:creationId xmlns:a16="http://schemas.microsoft.com/office/drawing/2014/main" id="{C2411881-A692-44DE-9A06-E3D0B7C25C4D}"/>
                </a:ext>
              </a:extLst>
            </xdr:cNvPr>
            <xdr:cNvSpPr txBox="1"/>
          </xdr:nvSpPr>
          <xdr:spPr>
            <a:xfrm>
              <a:off x="70849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1" name="TextBox 410">
              <a:extLst>
                <a:ext uri="{FF2B5EF4-FFF2-40B4-BE49-F238E27FC236}">
                  <a16:creationId xmlns:a16="http://schemas.microsoft.com/office/drawing/2014/main" id="{12BB8A8B-3E06-4DE4-AA85-32D1FF449AE2}"/>
                </a:ext>
              </a:extLst>
            </xdr:cNvPr>
            <xdr:cNvSpPr txBox="1"/>
          </xdr:nvSpPr>
          <xdr:spPr>
            <a:xfrm>
              <a:off x="79612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1" name="TextBox 410">
              <a:extLst>
                <a:ext uri="{FF2B5EF4-FFF2-40B4-BE49-F238E27FC236}">
                  <a16:creationId xmlns:a16="http://schemas.microsoft.com/office/drawing/2014/main" id="{12BB8A8B-3E06-4DE4-AA85-32D1FF449AE2}"/>
                </a:ext>
              </a:extLst>
            </xdr:cNvPr>
            <xdr:cNvSpPr txBox="1"/>
          </xdr:nvSpPr>
          <xdr:spPr>
            <a:xfrm>
              <a:off x="79612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104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2" name="TextBox 411">
              <a:extLst>
                <a:ext uri="{FF2B5EF4-FFF2-40B4-BE49-F238E27FC236}">
                  <a16:creationId xmlns:a16="http://schemas.microsoft.com/office/drawing/2014/main" id="{84CBF97E-1EC9-41DC-B50A-1D253BD4FF0A}"/>
                </a:ext>
              </a:extLst>
            </xdr:cNvPr>
            <xdr:cNvSpPr txBox="1"/>
          </xdr:nvSpPr>
          <xdr:spPr>
            <a:xfrm>
              <a:off x="8837507" y="122902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2" name="TextBox 411">
              <a:extLst>
                <a:ext uri="{FF2B5EF4-FFF2-40B4-BE49-F238E27FC236}">
                  <a16:creationId xmlns:a16="http://schemas.microsoft.com/office/drawing/2014/main" id="{84CBF97E-1EC9-41DC-B50A-1D253BD4FF0A}"/>
                </a:ext>
              </a:extLst>
            </xdr:cNvPr>
            <xdr:cNvSpPr txBox="1"/>
          </xdr:nvSpPr>
          <xdr:spPr>
            <a:xfrm>
              <a:off x="8837507" y="122902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3" name="TextBox 412">
              <a:extLst>
                <a:ext uri="{FF2B5EF4-FFF2-40B4-BE49-F238E27FC236}">
                  <a16:creationId xmlns:a16="http://schemas.microsoft.com/office/drawing/2014/main" id="{0B1FE76A-0F10-4B3D-8358-15C24F9B7CBF}"/>
                </a:ext>
              </a:extLst>
            </xdr:cNvPr>
            <xdr:cNvSpPr txBox="1"/>
          </xdr:nvSpPr>
          <xdr:spPr>
            <a:xfrm>
              <a:off x="9508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3" name="TextBox 412">
              <a:extLst>
                <a:ext uri="{FF2B5EF4-FFF2-40B4-BE49-F238E27FC236}">
                  <a16:creationId xmlns:a16="http://schemas.microsoft.com/office/drawing/2014/main" id="{0B1FE76A-0F10-4B3D-8358-15C24F9B7CBF}"/>
                </a:ext>
              </a:extLst>
            </xdr:cNvPr>
            <xdr:cNvSpPr txBox="1"/>
          </xdr:nvSpPr>
          <xdr:spPr>
            <a:xfrm>
              <a:off x="9508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4" name="TextBox 413">
              <a:extLst>
                <a:ext uri="{FF2B5EF4-FFF2-40B4-BE49-F238E27FC236}">
                  <a16:creationId xmlns:a16="http://schemas.microsoft.com/office/drawing/2014/main" id="{DCFEA53D-BD3E-4E1F-A410-B8181CC0DDC6}"/>
                </a:ext>
              </a:extLst>
            </xdr:cNvPr>
            <xdr:cNvSpPr txBox="1"/>
          </xdr:nvSpPr>
          <xdr:spPr>
            <a:xfrm>
              <a:off x="18271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4" name="TextBox 413">
              <a:extLst>
                <a:ext uri="{FF2B5EF4-FFF2-40B4-BE49-F238E27FC236}">
                  <a16:creationId xmlns:a16="http://schemas.microsoft.com/office/drawing/2014/main" id="{DCFEA53D-BD3E-4E1F-A410-B8181CC0DDC6}"/>
                </a:ext>
              </a:extLst>
            </xdr:cNvPr>
            <xdr:cNvSpPr txBox="1"/>
          </xdr:nvSpPr>
          <xdr:spPr>
            <a:xfrm>
              <a:off x="18271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5" name="TextBox 414">
              <a:extLst>
                <a:ext uri="{FF2B5EF4-FFF2-40B4-BE49-F238E27FC236}">
                  <a16:creationId xmlns:a16="http://schemas.microsoft.com/office/drawing/2014/main" id="{968F703A-EDB3-4548-8B3D-5ADCF32BEF0B}"/>
                </a:ext>
              </a:extLst>
            </xdr:cNvPr>
            <xdr:cNvSpPr txBox="1"/>
          </xdr:nvSpPr>
          <xdr:spPr>
            <a:xfrm>
              <a:off x="27034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5" name="TextBox 414">
              <a:extLst>
                <a:ext uri="{FF2B5EF4-FFF2-40B4-BE49-F238E27FC236}">
                  <a16:creationId xmlns:a16="http://schemas.microsoft.com/office/drawing/2014/main" id="{968F703A-EDB3-4548-8B3D-5ADCF32BEF0B}"/>
                </a:ext>
              </a:extLst>
            </xdr:cNvPr>
            <xdr:cNvSpPr txBox="1"/>
          </xdr:nvSpPr>
          <xdr:spPr>
            <a:xfrm>
              <a:off x="27034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6" name="TextBox 415">
              <a:extLst>
                <a:ext uri="{FF2B5EF4-FFF2-40B4-BE49-F238E27FC236}">
                  <a16:creationId xmlns:a16="http://schemas.microsoft.com/office/drawing/2014/main" id="{1A83D8DA-7EB3-40C1-BC18-5FA04ED17EC7}"/>
                </a:ext>
              </a:extLst>
            </xdr:cNvPr>
            <xdr:cNvSpPr txBox="1"/>
          </xdr:nvSpPr>
          <xdr:spPr>
            <a:xfrm>
              <a:off x="35797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6" name="TextBox 415">
              <a:extLst>
                <a:ext uri="{FF2B5EF4-FFF2-40B4-BE49-F238E27FC236}">
                  <a16:creationId xmlns:a16="http://schemas.microsoft.com/office/drawing/2014/main" id="{1A83D8DA-7EB3-40C1-BC18-5FA04ED17EC7}"/>
                </a:ext>
              </a:extLst>
            </xdr:cNvPr>
            <xdr:cNvSpPr txBox="1"/>
          </xdr:nvSpPr>
          <xdr:spPr>
            <a:xfrm>
              <a:off x="35797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7" name="TextBox 416">
              <a:extLst>
                <a:ext uri="{FF2B5EF4-FFF2-40B4-BE49-F238E27FC236}">
                  <a16:creationId xmlns:a16="http://schemas.microsoft.com/office/drawing/2014/main" id="{55C38E11-9AD1-4894-B046-15DE05B23212}"/>
                </a:ext>
              </a:extLst>
            </xdr:cNvPr>
            <xdr:cNvSpPr txBox="1"/>
          </xdr:nvSpPr>
          <xdr:spPr>
            <a:xfrm>
              <a:off x="44560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7" name="TextBox 416">
              <a:extLst>
                <a:ext uri="{FF2B5EF4-FFF2-40B4-BE49-F238E27FC236}">
                  <a16:creationId xmlns:a16="http://schemas.microsoft.com/office/drawing/2014/main" id="{55C38E11-9AD1-4894-B046-15DE05B23212}"/>
                </a:ext>
              </a:extLst>
            </xdr:cNvPr>
            <xdr:cNvSpPr txBox="1"/>
          </xdr:nvSpPr>
          <xdr:spPr>
            <a:xfrm>
              <a:off x="44560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8" name="TextBox 417">
              <a:extLst>
                <a:ext uri="{FF2B5EF4-FFF2-40B4-BE49-F238E27FC236}">
                  <a16:creationId xmlns:a16="http://schemas.microsoft.com/office/drawing/2014/main" id="{7ABE3D82-E38F-45D3-8BE6-406543403338}"/>
                </a:ext>
              </a:extLst>
            </xdr:cNvPr>
            <xdr:cNvSpPr txBox="1"/>
          </xdr:nvSpPr>
          <xdr:spPr>
            <a:xfrm>
              <a:off x="53323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8" name="TextBox 417">
              <a:extLst>
                <a:ext uri="{FF2B5EF4-FFF2-40B4-BE49-F238E27FC236}">
                  <a16:creationId xmlns:a16="http://schemas.microsoft.com/office/drawing/2014/main" id="{7ABE3D82-E38F-45D3-8BE6-406543403338}"/>
                </a:ext>
              </a:extLst>
            </xdr:cNvPr>
            <xdr:cNvSpPr txBox="1"/>
          </xdr:nvSpPr>
          <xdr:spPr>
            <a:xfrm>
              <a:off x="53323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9" name="TextBox 418">
              <a:extLst>
                <a:ext uri="{FF2B5EF4-FFF2-40B4-BE49-F238E27FC236}">
                  <a16:creationId xmlns:a16="http://schemas.microsoft.com/office/drawing/2014/main" id="{F6AF8F17-5C87-4886-8AAB-8703D3ED0AA8}"/>
                </a:ext>
              </a:extLst>
            </xdr:cNvPr>
            <xdr:cNvSpPr txBox="1"/>
          </xdr:nvSpPr>
          <xdr:spPr>
            <a:xfrm>
              <a:off x="62086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9" name="TextBox 418">
              <a:extLst>
                <a:ext uri="{FF2B5EF4-FFF2-40B4-BE49-F238E27FC236}">
                  <a16:creationId xmlns:a16="http://schemas.microsoft.com/office/drawing/2014/main" id="{F6AF8F17-5C87-4886-8AAB-8703D3ED0AA8}"/>
                </a:ext>
              </a:extLst>
            </xdr:cNvPr>
            <xdr:cNvSpPr txBox="1"/>
          </xdr:nvSpPr>
          <xdr:spPr>
            <a:xfrm>
              <a:off x="62086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0" name="TextBox 419">
              <a:extLst>
                <a:ext uri="{FF2B5EF4-FFF2-40B4-BE49-F238E27FC236}">
                  <a16:creationId xmlns:a16="http://schemas.microsoft.com/office/drawing/2014/main" id="{D3093736-7BC5-4DD9-96AD-C244314FBCB0}"/>
                </a:ext>
              </a:extLst>
            </xdr:cNvPr>
            <xdr:cNvSpPr txBox="1"/>
          </xdr:nvSpPr>
          <xdr:spPr>
            <a:xfrm>
              <a:off x="70849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20" name="TextBox 419">
              <a:extLst>
                <a:ext uri="{FF2B5EF4-FFF2-40B4-BE49-F238E27FC236}">
                  <a16:creationId xmlns:a16="http://schemas.microsoft.com/office/drawing/2014/main" id="{D3093736-7BC5-4DD9-96AD-C244314FBCB0}"/>
                </a:ext>
              </a:extLst>
            </xdr:cNvPr>
            <xdr:cNvSpPr txBox="1"/>
          </xdr:nvSpPr>
          <xdr:spPr>
            <a:xfrm>
              <a:off x="70849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104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1" name="TextBox 420">
              <a:extLst>
                <a:ext uri="{FF2B5EF4-FFF2-40B4-BE49-F238E27FC236}">
                  <a16:creationId xmlns:a16="http://schemas.microsoft.com/office/drawing/2014/main" id="{10D7CB04-85A9-4B0A-AE35-067D54F60869}"/>
                </a:ext>
              </a:extLst>
            </xdr:cNvPr>
            <xdr:cNvSpPr txBox="1"/>
          </xdr:nvSpPr>
          <xdr:spPr>
            <a:xfrm>
              <a:off x="79612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21" name="TextBox 420">
              <a:extLst>
                <a:ext uri="{FF2B5EF4-FFF2-40B4-BE49-F238E27FC236}">
                  <a16:creationId xmlns:a16="http://schemas.microsoft.com/office/drawing/2014/main" id="{10D7CB04-85A9-4B0A-AE35-067D54F60869}"/>
                </a:ext>
              </a:extLst>
            </xdr:cNvPr>
            <xdr:cNvSpPr txBox="1"/>
          </xdr:nvSpPr>
          <xdr:spPr>
            <a:xfrm>
              <a:off x="7961207" y="122902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104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2" name="TextBox 421">
              <a:extLst>
                <a:ext uri="{FF2B5EF4-FFF2-40B4-BE49-F238E27FC236}">
                  <a16:creationId xmlns:a16="http://schemas.microsoft.com/office/drawing/2014/main" id="{723C0961-4886-4B1D-ABDA-A13F620D0673}"/>
                </a:ext>
              </a:extLst>
            </xdr:cNvPr>
            <xdr:cNvSpPr txBox="1"/>
          </xdr:nvSpPr>
          <xdr:spPr>
            <a:xfrm>
              <a:off x="8837507" y="122902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22" name="TextBox 421">
              <a:extLst>
                <a:ext uri="{FF2B5EF4-FFF2-40B4-BE49-F238E27FC236}">
                  <a16:creationId xmlns:a16="http://schemas.microsoft.com/office/drawing/2014/main" id="{723C0961-4886-4B1D-ABDA-A13F620D0673}"/>
                </a:ext>
              </a:extLst>
            </xdr:cNvPr>
            <xdr:cNvSpPr txBox="1"/>
          </xdr:nvSpPr>
          <xdr:spPr>
            <a:xfrm>
              <a:off x="8837507" y="122902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3" name="TextBox 422">
              <a:extLst>
                <a:ext uri="{FF2B5EF4-FFF2-40B4-BE49-F238E27FC236}">
                  <a16:creationId xmlns:a16="http://schemas.microsoft.com/office/drawing/2014/main" id="{0B076F97-216D-4B22-AF8E-3C71AFE79B12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23" name="TextBox 422">
              <a:extLst>
                <a:ext uri="{FF2B5EF4-FFF2-40B4-BE49-F238E27FC236}">
                  <a16:creationId xmlns:a16="http://schemas.microsoft.com/office/drawing/2014/main" id="{0B076F97-216D-4B22-AF8E-3C71AFE79B12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4" name="TextBox 423">
              <a:extLst>
                <a:ext uri="{FF2B5EF4-FFF2-40B4-BE49-F238E27FC236}">
                  <a16:creationId xmlns:a16="http://schemas.microsoft.com/office/drawing/2014/main" id="{37F60B1A-FF70-4B8D-926E-B72A3AF6E97F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24" name="TextBox 423">
              <a:extLst>
                <a:ext uri="{FF2B5EF4-FFF2-40B4-BE49-F238E27FC236}">
                  <a16:creationId xmlns:a16="http://schemas.microsoft.com/office/drawing/2014/main" id="{37F60B1A-FF70-4B8D-926E-B72A3AF6E97F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5" name="TextBox 424">
              <a:extLst>
                <a:ext uri="{FF2B5EF4-FFF2-40B4-BE49-F238E27FC236}">
                  <a16:creationId xmlns:a16="http://schemas.microsoft.com/office/drawing/2014/main" id="{378AB3F1-A563-4F86-A0E7-441725C90025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25" name="TextBox 424">
              <a:extLst>
                <a:ext uri="{FF2B5EF4-FFF2-40B4-BE49-F238E27FC236}">
                  <a16:creationId xmlns:a16="http://schemas.microsoft.com/office/drawing/2014/main" id="{378AB3F1-A563-4F86-A0E7-441725C90025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6" name="TextBox 425">
              <a:extLst>
                <a:ext uri="{FF2B5EF4-FFF2-40B4-BE49-F238E27FC236}">
                  <a16:creationId xmlns:a16="http://schemas.microsoft.com/office/drawing/2014/main" id="{FC3B9742-4CF3-47DF-B4F5-122570BAD74E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26" name="TextBox 425">
              <a:extLst>
                <a:ext uri="{FF2B5EF4-FFF2-40B4-BE49-F238E27FC236}">
                  <a16:creationId xmlns:a16="http://schemas.microsoft.com/office/drawing/2014/main" id="{FC3B9742-4CF3-47DF-B4F5-122570BAD74E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7" name="TextBox 426">
              <a:extLst>
                <a:ext uri="{FF2B5EF4-FFF2-40B4-BE49-F238E27FC236}">
                  <a16:creationId xmlns:a16="http://schemas.microsoft.com/office/drawing/2014/main" id="{5F78559C-C9B2-469F-97B3-A4438CEF36D9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27" name="TextBox 426">
              <a:extLst>
                <a:ext uri="{FF2B5EF4-FFF2-40B4-BE49-F238E27FC236}">
                  <a16:creationId xmlns:a16="http://schemas.microsoft.com/office/drawing/2014/main" id="{5F78559C-C9B2-469F-97B3-A4438CEF36D9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8" name="TextBox 427">
              <a:extLst>
                <a:ext uri="{FF2B5EF4-FFF2-40B4-BE49-F238E27FC236}">
                  <a16:creationId xmlns:a16="http://schemas.microsoft.com/office/drawing/2014/main" id="{31DCFE25-83CD-4659-BCC8-35AB05A9CC1E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28" name="TextBox 427">
              <a:extLst>
                <a:ext uri="{FF2B5EF4-FFF2-40B4-BE49-F238E27FC236}">
                  <a16:creationId xmlns:a16="http://schemas.microsoft.com/office/drawing/2014/main" id="{31DCFE25-83CD-4659-BCC8-35AB05A9CC1E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9" name="TextBox 428">
              <a:extLst>
                <a:ext uri="{FF2B5EF4-FFF2-40B4-BE49-F238E27FC236}">
                  <a16:creationId xmlns:a16="http://schemas.microsoft.com/office/drawing/2014/main" id="{65C06C32-5532-419F-B0C3-A4683D0A651A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29" name="TextBox 428">
              <a:extLst>
                <a:ext uri="{FF2B5EF4-FFF2-40B4-BE49-F238E27FC236}">
                  <a16:creationId xmlns:a16="http://schemas.microsoft.com/office/drawing/2014/main" id="{65C06C32-5532-419F-B0C3-A4683D0A651A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0" name="TextBox 429">
              <a:extLst>
                <a:ext uri="{FF2B5EF4-FFF2-40B4-BE49-F238E27FC236}">
                  <a16:creationId xmlns:a16="http://schemas.microsoft.com/office/drawing/2014/main" id="{BC2B7B93-9960-4CC3-8E18-BC8F6B635E9C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30" name="TextBox 429">
              <a:extLst>
                <a:ext uri="{FF2B5EF4-FFF2-40B4-BE49-F238E27FC236}">
                  <a16:creationId xmlns:a16="http://schemas.microsoft.com/office/drawing/2014/main" id="{BC2B7B93-9960-4CC3-8E18-BC8F6B635E9C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1" name="TextBox 430">
              <a:extLst>
                <a:ext uri="{FF2B5EF4-FFF2-40B4-BE49-F238E27FC236}">
                  <a16:creationId xmlns:a16="http://schemas.microsoft.com/office/drawing/2014/main" id="{AF791B33-769D-4F4F-AE0B-763D0F5EF43B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31" name="TextBox 430">
              <a:extLst>
                <a:ext uri="{FF2B5EF4-FFF2-40B4-BE49-F238E27FC236}">
                  <a16:creationId xmlns:a16="http://schemas.microsoft.com/office/drawing/2014/main" id="{AF791B33-769D-4F4F-AE0B-763D0F5EF43B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124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2" name="TextBox 431">
              <a:extLst>
                <a:ext uri="{FF2B5EF4-FFF2-40B4-BE49-F238E27FC236}">
                  <a16:creationId xmlns:a16="http://schemas.microsoft.com/office/drawing/2014/main" id="{21A8D10F-2268-4AB5-9254-59B35DA881D2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32" name="TextBox 431">
              <a:extLst>
                <a:ext uri="{FF2B5EF4-FFF2-40B4-BE49-F238E27FC236}">
                  <a16:creationId xmlns:a16="http://schemas.microsoft.com/office/drawing/2014/main" id="{21A8D10F-2268-4AB5-9254-59B35DA881D2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3" name="TextBox 432">
              <a:extLst>
                <a:ext uri="{FF2B5EF4-FFF2-40B4-BE49-F238E27FC236}">
                  <a16:creationId xmlns:a16="http://schemas.microsoft.com/office/drawing/2014/main" id="{1CF388DD-DE25-4519-9126-BAC0BBEB676A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33" name="TextBox 432">
              <a:extLst>
                <a:ext uri="{FF2B5EF4-FFF2-40B4-BE49-F238E27FC236}">
                  <a16:creationId xmlns:a16="http://schemas.microsoft.com/office/drawing/2014/main" id="{1CF388DD-DE25-4519-9126-BAC0BBEB676A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4" name="TextBox 433">
              <a:extLst>
                <a:ext uri="{FF2B5EF4-FFF2-40B4-BE49-F238E27FC236}">
                  <a16:creationId xmlns:a16="http://schemas.microsoft.com/office/drawing/2014/main" id="{F321980C-7DA4-4EC8-B3B7-330BE106FA54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34" name="TextBox 433">
              <a:extLst>
                <a:ext uri="{FF2B5EF4-FFF2-40B4-BE49-F238E27FC236}">
                  <a16:creationId xmlns:a16="http://schemas.microsoft.com/office/drawing/2014/main" id="{F321980C-7DA4-4EC8-B3B7-330BE106FA54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5" name="TextBox 434">
              <a:extLst>
                <a:ext uri="{FF2B5EF4-FFF2-40B4-BE49-F238E27FC236}">
                  <a16:creationId xmlns:a16="http://schemas.microsoft.com/office/drawing/2014/main" id="{14AB598A-66D2-4E0A-890E-E3674535CD20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35" name="TextBox 434">
              <a:extLst>
                <a:ext uri="{FF2B5EF4-FFF2-40B4-BE49-F238E27FC236}">
                  <a16:creationId xmlns:a16="http://schemas.microsoft.com/office/drawing/2014/main" id="{14AB598A-66D2-4E0A-890E-E3674535CD20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6" name="TextBox 435">
              <a:extLst>
                <a:ext uri="{FF2B5EF4-FFF2-40B4-BE49-F238E27FC236}">
                  <a16:creationId xmlns:a16="http://schemas.microsoft.com/office/drawing/2014/main" id="{CF4210C6-B7F0-4F88-AA26-3B74F25A61CF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36" name="TextBox 435">
              <a:extLst>
                <a:ext uri="{FF2B5EF4-FFF2-40B4-BE49-F238E27FC236}">
                  <a16:creationId xmlns:a16="http://schemas.microsoft.com/office/drawing/2014/main" id="{CF4210C6-B7F0-4F88-AA26-3B74F25A61CF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7" name="TextBox 436">
              <a:extLst>
                <a:ext uri="{FF2B5EF4-FFF2-40B4-BE49-F238E27FC236}">
                  <a16:creationId xmlns:a16="http://schemas.microsoft.com/office/drawing/2014/main" id="{0C4881F6-DE7E-468B-BAAD-0C89E95879ED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37" name="TextBox 436">
              <a:extLst>
                <a:ext uri="{FF2B5EF4-FFF2-40B4-BE49-F238E27FC236}">
                  <a16:creationId xmlns:a16="http://schemas.microsoft.com/office/drawing/2014/main" id="{0C4881F6-DE7E-468B-BAAD-0C89E95879ED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8" name="TextBox 437">
              <a:extLst>
                <a:ext uri="{FF2B5EF4-FFF2-40B4-BE49-F238E27FC236}">
                  <a16:creationId xmlns:a16="http://schemas.microsoft.com/office/drawing/2014/main" id="{EEA336DE-71A6-4A11-AF40-DC2CD195D851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38" name="TextBox 437">
              <a:extLst>
                <a:ext uri="{FF2B5EF4-FFF2-40B4-BE49-F238E27FC236}">
                  <a16:creationId xmlns:a16="http://schemas.microsoft.com/office/drawing/2014/main" id="{EEA336DE-71A6-4A11-AF40-DC2CD195D851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9" name="TextBox 438">
              <a:extLst>
                <a:ext uri="{FF2B5EF4-FFF2-40B4-BE49-F238E27FC236}">
                  <a16:creationId xmlns:a16="http://schemas.microsoft.com/office/drawing/2014/main" id="{20A9D109-B211-4D9B-9FFD-2AF0E28F568F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39" name="TextBox 438">
              <a:extLst>
                <a:ext uri="{FF2B5EF4-FFF2-40B4-BE49-F238E27FC236}">
                  <a16:creationId xmlns:a16="http://schemas.microsoft.com/office/drawing/2014/main" id="{20A9D109-B211-4D9B-9FFD-2AF0E28F568F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0" name="TextBox 439">
              <a:extLst>
                <a:ext uri="{FF2B5EF4-FFF2-40B4-BE49-F238E27FC236}">
                  <a16:creationId xmlns:a16="http://schemas.microsoft.com/office/drawing/2014/main" id="{38C24364-57AA-4FE0-A165-98BD90FB93F1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40" name="TextBox 439">
              <a:extLst>
                <a:ext uri="{FF2B5EF4-FFF2-40B4-BE49-F238E27FC236}">
                  <a16:creationId xmlns:a16="http://schemas.microsoft.com/office/drawing/2014/main" id="{38C24364-57AA-4FE0-A165-98BD90FB93F1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1" name="TextBox 440">
              <a:extLst>
                <a:ext uri="{FF2B5EF4-FFF2-40B4-BE49-F238E27FC236}">
                  <a16:creationId xmlns:a16="http://schemas.microsoft.com/office/drawing/2014/main" id="{813297C8-752B-4D92-90CD-6E50FD26CEDE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41" name="TextBox 440">
              <a:extLst>
                <a:ext uri="{FF2B5EF4-FFF2-40B4-BE49-F238E27FC236}">
                  <a16:creationId xmlns:a16="http://schemas.microsoft.com/office/drawing/2014/main" id="{813297C8-752B-4D92-90CD-6E50FD26CEDE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124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2" name="TextBox 441">
              <a:extLst>
                <a:ext uri="{FF2B5EF4-FFF2-40B4-BE49-F238E27FC236}">
                  <a16:creationId xmlns:a16="http://schemas.microsoft.com/office/drawing/2014/main" id="{9E7D0CE6-F934-4060-B36F-ACE9030E9A47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42" name="TextBox 441">
              <a:extLst>
                <a:ext uri="{FF2B5EF4-FFF2-40B4-BE49-F238E27FC236}">
                  <a16:creationId xmlns:a16="http://schemas.microsoft.com/office/drawing/2014/main" id="{9E7D0CE6-F934-4060-B36F-ACE9030E9A47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3" name="TextBox 442">
              <a:extLst>
                <a:ext uri="{FF2B5EF4-FFF2-40B4-BE49-F238E27FC236}">
                  <a16:creationId xmlns:a16="http://schemas.microsoft.com/office/drawing/2014/main" id="{EBB7C926-5CFD-4648-BF15-F69E2248EDCB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43" name="TextBox 442">
              <a:extLst>
                <a:ext uri="{FF2B5EF4-FFF2-40B4-BE49-F238E27FC236}">
                  <a16:creationId xmlns:a16="http://schemas.microsoft.com/office/drawing/2014/main" id="{EBB7C926-5CFD-4648-BF15-F69E2248EDCB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4" name="TextBox 443">
              <a:extLst>
                <a:ext uri="{FF2B5EF4-FFF2-40B4-BE49-F238E27FC236}">
                  <a16:creationId xmlns:a16="http://schemas.microsoft.com/office/drawing/2014/main" id="{1CAAF48E-4CDD-4943-ADAD-863FA19CD374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44" name="TextBox 443">
              <a:extLst>
                <a:ext uri="{FF2B5EF4-FFF2-40B4-BE49-F238E27FC236}">
                  <a16:creationId xmlns:a16="http://schemas.microsoft.com/office/drawing/2014/main" id="{1CAAF48E-4CDD-4943-ADAD-863FA19CD374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5" name="TextBox 444">
              <a:extLst>
                <a:ext uri="{FF2B5EF4-FFF2-40B4-BE49-F238E27FC236}">
                  <a16:creationId xmlns:a16="http://schemas.microsoft.com/office/drawing/2014/main" id="{CC973DEF-A51B-44D2-A18A-B3CECC8F121F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45" name="TextBox 444">
              <a:extLst>
                <a:ext uri="{FF2B5EF4-FFF2-40B4-BE49-F238E27FC236}">
                  <a16:creationId xmlns:a16="http://schemas.microsoft.com/office/drawing/2014/main" id="{CC973DEF-A51B-44D2-A18A-B3CECC8F121F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6" name="TextBox 445">
              <a:extLst>
                <a:ext uri="{FF2B5EF4-FFF2-40B4-BE49-F238E27FC236}">
                  <a16:creationId xmlns:a16="http://schemas.microsoft.com/office/drawing/2014/main" id="{AAF70E85-407D-467C-9D7F-D16143A4AF2B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46" name="TextBox 445">
              <a:extLst>
                <a:ext uri="{FF2B5EF4-FFF2-40B4-BE49-F238E27FC236}">
                  <a16:creationId xmlns:a16="http://schemas.microsoft.com/office/drawing/2014/main" id="{AAF70E85-407D-467C-9D7F-D16143A4AF2B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7" name="TextBox 446">
              <a:extLst>
                <a:ext uri="{FF2B5EF4-FFF2-40B4-BE49-F238E27FC236}">
                  <a16:creationId xmlns:a16="http://schemas.microsoft.com/office/drawing/2014/main" id="{877A218C-7284-47D1-B779-E0F816259AAB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47" name="TextBox 446">
              <a:extLst>
                <a:ext uri="{FF2B5EF4-FFF2-40B4-BE49-F238E27FC236}">
                  <a16:creationId xmlns:a16="http://schemas.microsoft.com/office/drawing/2014/main" id="{877A218C-7284-47D1-B779-E0F816259AAB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8" name="TextBox 447">
              <a:extLst>
                <a:ext uri="{FF2B5EF4-FFF2-40B4-BE49-F238E27FC236}">
                  <a16:creationId xmlns:a16="http://schemas.microsoft.com/office/drawing/2014/main" id="{136904E1-F26E-45A0-A129-FD77E0A112B0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48" name="TextBox 447">
              <a:extLst>
                <a:ext uri="{FF2B5EF4-FFF2-40B4-BE49-F238E27FC236}">
                  <a16:creationId xmlns:a16="http://schemas.microsoft.com/office/drawing/2014/main" id="{136904E1-F26E-45A0-A129-FD77E0A112B0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9" name="TextBox 448">
              <a:extLst>
                <a:ext uri="{FF2B5EF4-FFF2-40B4-BE49-F238E27FC236}">
                  <a16:creationId xmlns:a16="http://schemas.microsoft.com/office/drawing/2014/main" id="{E6A03820-EB05-4495-99A3-4DFA0B700709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49" name="TextBox 448">
              <a:extLst>
                <a:ext uri="{FF2B5EF4-FFF2-40B4-BE49-F238E27FC236}">
                  <a16:creationId xmlns:a16="http://schemas.microsoft.com/office/drawing/2014/main" id="{E6A03820-EB05-4495-99A3-4DFA0B700709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0" name="TextBox 449">
              <a:extLst>
                <a:ext uri="{FF2B5EF4-FFF2-40B4-BE49-F238E27FC236}">
                  <a16:creationId xmlns:a16="http://schemas.microsoft.com/office/drawing/2014/main" id="{D76ED9D6-4735-4DCB-8E55-D4674475CB5D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50" name="TextBox 449">
              <a:extLst>
                <a:ext uri="{FF2B5EF4-FFF2-40B4-BE49-F238E27FC236}">
                  <a16:creationId xmlns:a16="http://schemas.microsoft.com/office/drawing/2014/main" id="{D76ED9D6-4735-4DCB-8E55-D4674475CB5D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1" name="TextBox 450">
              <a:extLst>
                <a:ext uri="{FF2B5EF4-FFF2-40B4-BE49-F238E27FC236}">
                  <a16:creationId xmlns:a16="http://schemas.microsoft.com/office/drawing/2014/main" id="{7CE078A9-A189-46FA-ACD7-6607A0653363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51" name="TextBox 450">
              <a:extLst>
                <a:ext uri="{FF2B5EF4-FFF2-40B4-BE49-F238E27FC236}">
                  <a16:creationId xmlns:a16="http://schemas.microsoft.com/office/drawing/2014/main" id="{7CE078A9-A189-46FA-ACD7-6607A0653363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124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2" name="TextBox 451">
              <a:extLst>
                <a:ext uri="{FF2B5EF4-FFF2-40B4-BE49-F238E27FC236}">
                  <a16:creationId xmlns:a16="http://schemas.microsoft.com/office/drawing/2014/main" id="{44A91446-D431-47D2-AC29-4237D32CC92F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52" name="TextBox 451">
              <a:extLst>
                <a:ext uri="{FF2B5EF4-FFF2-40B4-BE49-F238E27FC236}">
                  <a16:creationId xmlns:a16="http://schemas.microsoft.com/office/drawing/2014/main" id="{44A91446-D431-47D2-AC29-4237D32CC92F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3" name="TextBox 452">
              <a:extLst>
                <a:ext uri="{FF2B5EF4-FFF2-40B4-BE49-F238E27FC236}">
                  <a16:creationId xmlns:a16="http://schemas.microsoft.com/office/drawing/2014/main" id="{26E5D26C-601E-4D96-A4AE-334FCB7D1A89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53" name="TextBox 452">
              <a:extLst>
                <a:ext uri="{FF2B5EF4-FFF2-40B4-BE49-F238E27FC236}">
                  <a16:creationId xmlns:a16="http://schemas.microsoft.com/office/drawing/2014/main" id="{26E5D26C-601E-4D96-A4AE-334FCB7D1A89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4" name="TextBox 453">
              <a:extLst>
                <a:ext uri="{FF2B5EF4-FFF2-40B4-BE49-F238E27FC236}">
                  <a16:creationId xmlns:a16="http://schemas.microsoft.com/office/drawing/2014/main" id="{0A9E3911-B0CC-467B-9D69-A653AB030E23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54" name="TextBox 453">
              <a:extLst>
                <a:ext uri="{FF2B5EF4-FFF2-40B4-BE49-F238E27FC236}">
                  <a16:creationId xmlns:a16="http://schemas.microsoft.com/office/drawing/2014/main" id="{0A9E3911-B0CC-467B-9D69-A653AB030E23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5" name="TextBox 454">
              <a:extLst>
                <a:ext uri="{FF2B5EF4-FFF2-40B4-BE49-F238E27FC236}">
                  <a16:creationId xmlns:a16="http://schemas.microsoft.com/office/drawing/2014/main" id="{C1341AB6-7331-4FB6-AD1A-14B241137361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55" name="TextBox 454">
              <a:extLst>
                <a:ext uri="{FF2B5EF4-FFF2-40B4-BE49-F238E27FC236}">
                  <a16:creationId xmlns:a16="http://schemas.microsoft.com/office/drawing/2014/main" id="{C1341AB6-7331-4FB6-AD1A-14B241137361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6" name="TextBox 455">
              <a:extLst>
                <a:ext uri="{FF2B5EF4-FFF2-40B4-BE49-F238E27FC236}">
                  <a16:creationId xmlns:a16="http://schemas.microsoft.com/office/drawing/2014/main" id="{E8C2DB4B-0D13-44BF-ADAE-D71666027AB1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56" name="TextBox 455">
              <a:extLst>
                <a:ext uri="{FF2B5EF4-FFF2-40B4-BE49-F238E27FC236}">
                  <a16:creationId xmlns:a16="http://schemas.microsoft.com/office/drawing/2014/main" id="{E8C2DB4B-0D13-44BF-ADAE-D71666027AB1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7" name="TextBox 456">
              <a:extLst>
                <a:ext uri="{FF2B5EF4-FFF2-40B4-BE49-F238E27FC236}">
                  <a16:creationId xmlns:a16="http://schemas.microsoft.com/office/drawing/2014/main" id="{5F776048-027E-4D10-9173-8D827396EF62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57" name="TextBox 456">
              <a:extLst>
                <a:ext uri="{FF2B5EF4-FFF2-40B4-BE49-F238E27FC236}">
                  <a16:creationId xmlns:a16="http://schemas.microsoft.com/office/drawing/2014/main" id="{5F776048-027E-4D10-9173-8D827396EF62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8" name="TextBox 457">
              <a:extLst>
                <a:ext uri="{FF2B5EF4-FFF2-40B4-BE49-F238E27FC236}">
                  <a16:creationId xmlns:a16="http://schemas.microsoft.com/office/drawing/2014/main" id="{6BF45515-67FA-4B21-A2F1-1A0B39120582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58" name="TextBox 457">
              <a:extLst>
                <a:ext uri="{FF2B5EF4-FFF2-40B4-BE49-F238E27FC236}">
                  <a16:creationId xmlns:a16="http://schemas.microsoft.com/office/drawing/2014/main" id="{6BF45515-67FA-4B21-A2F1-1A0B39120582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9" name="TextBox 458">
              <a:extLst>
                <a:ext uri="{FF2B5EF4-FFF2-40B4-BE49-F238E27FC236}">
                  <a16:creationId xmlns:a16="http://schemas.microsoft.com/office/drawing/2014/main" id="{D1C2B1DA-761B-4CAC-8AEE-AACC9A02D8A2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59" name="TextBox 458">
              <a:extLst>
                <a:ext uri="{FF2B5EF4-FFF2-40B4-BE49-F238E27FC236}">
                  <a16:creationId xmlns:a16="http://schemas.microsoft.com/office/drawing/2014/main" id="{D1C2B1DA-761B-4CAC-8AEE-AACC9A02D8A2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0" name="TextBox 459">
              <a:extLst>
                <a:ext uri="{FF2B5EF4-FFF2-40B4-BE49-F238E27FC236}">
                  <a16:creationId xmlns:a16="http://schemas.microsoft.com/office/drawing/2014/main" id="{8493E2F9-A489-4349-87E7-0E63A2BF5CA6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60" name="TextBox 459">
              <a:extLst>
                <a:ext uri="{FF2B5EF4-FFF2-40B4-BE49-F238E27FC236}">
                  <a16:creationId xmlns:a16="http://schemas.microsoft.com/office/drawing/2014/main" id="{8493E2F9-A489-4349-87E7-0E63A2BF5CA6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1" name="TextBox 460">
              <a:extLst>
                <a:ext uri="{FF2B5EF4-FFF2-40B4-BE49-F238E27FC236}">
                  <a16:creationId xmlns:a16="http://schemas.microsoft.com/office/drawing/2014/main" id="{1788D8F6-21BC-452A-85B2-85FCBE3E798E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61" name="TextBox 460">
              <a:extLst>
                <a:ext uri="{FF2B5EF4-FFF2-40B4-BE49-F238E27FC236}">
                  <a16:creationId xmlns:a16="http://schemas.microsoft.com/office/drawing/2014/main" id="{1788D8F6-21BC-452A-85B2-85FCBE3E798E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124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2" name="TextBox 461">
              <a:extLst>
                <a:ext uri="{FF2B5EF4-FFF2-40B4-BE49-F238E27FC236}">
                  <a16:creationId xmlns:a16="http://schemas.microsoft.com/office/drawing/2014/main" id="{8F67492A-D751-4D1E-9D78-4638E8FA10E0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62" name="TextBox 461">
              <a:extLst>
                <a:ext uri="{FF2B5EF4-FFF2-40B4-BE49-F238E27FC236}">
                  <a16:creationId xmlns:a16="http://schemas.microsoft.com/office/drawing/2014/main" id="{8F67492A-D751-4D1E-9D78-4638E8FA10E0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3" name="TextBox 462">
              <a:extLst>
                <a:ext uri="{FF2B5EF4-FFF2-40B4-BE49-F238E27FC236}">
                  <a16:creationId xmlns:a16="http://schemas.microsoft.com/office/drawing/2014/main" id="{35EF699D-FB02-412D-9538-E88E0791A686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63" name="TextBox 462">
              <a:extLst>
                <a:ext uri="{FF2B5EF4-FFF2-40B4-BE49-F238E27FC236}">
                  <a16:creationId xmlns:a16="http://schemas.microsoft.com/office/drawing/2014/main" id="{35EF699D-FB02-412D-9538-E88E0791A686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4" name="TextBox 463">
              <a:extLst>
                <a:ext uri="{FF2B5EF4-FFF2-40B4-BE49-F238E27FC236}">
                  <a16:creationId xmlns:a16="http://schemas.microsoft.com/office/drawing/2014/main" id="{C4CA15DF-4C15-49EC-AA59-FA5434CFB510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64" name="TextBox 463">
              <a:extLst>
                <a:ext uri="{FF2B5EF4-FFF2-40B4-BE49-F238E27FC236}">
                  <a16:creationId xmlns:a16="http://schemas.microsoft.com/office/drawing/2014/main" id="{C4CA15DF-4C15-49EC-AA59-FA5434CFB510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5" name="TextBox 464">
              <a:extLst>
                <a:ext uri="{FF2B5EF4-FFF2-40B4-BE49-F238E27FC236}">
                  <a16:creationId xmlns:a16="http://schemas.microsoft.com/office/drawing/2014/main" id="{CE19C627-B0C3-416F-B064-836517274986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65" name="TextBox 464">
              <a:extLst>
                <a:ext uri="{FF2B5EF4-FFF2-40B4-BE49-F238E27FC236}">
                  <a16:creationId xmlns:a16="http://schemas.microsoft.com/office/drawing/2014/main" id="{CE19C627-B0C3-416F-B064-836517274986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6" name="TextBox 465">
              <a:extLst>
                <a:ext uri="{FF2B5EF4-FFF2-40B4-BE49-F238E27FC236}">
                  <a16:creationId xmlns:a16="http://schemas.microsoft.com/office/drawing/2014/main" id="{565DD90F-9878-44AC-AA58-2CAF33699D0A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66" name="TextBox 465">
              <a:extLst>
                <a:ext uri="{FF2B5EF4-FFF2-40B4-BE49-F238E27FC236}">
                  <a16:creationId xmlns:a16="http://schemas.microsoft.com/office/drawing/2014/main" id="{565DD90F-9878-44AC-AA58-2CAF33699D0A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7" name="TextBox 466">
              <a:extLst>
                <a:ext uri="{FF2B5EF4-FFF2-40B4-BE49-F238E27FC236}">
                  <a16:creationId xmlns:a16="http://schemas.microsoft.com/office/drawing/2014/main" id="{F0F6BFF4-C576-4BC2-9564-42AE64AA64E7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67" name="TextBox 466">
              <a:extLst>
                <a:ext uri="{FF2B5EF4-FFF2-40B4-BE49-F238E27FC236}">
                  <a16:creationId xmlns:a16="http://schemas.microsoft.com/office/drawing/2014/main" id="{F0F6BFF4-C576-4BC2-9564-42AE64AA64E7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8" name="TextBox 467">
              <a:extLst>
                <a:ext uri="{FF2B5EF4-FFF2-40B4-BE49-F238E27FC236}">
                  <a16:creationId xmlns:a16="http://schemas.microsoft.com/office/drawing/2014/main" id="{8480D764-DF15-4499-97DC-08F31DBD3F13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68" name="TextBox 467">
              <a:extLst>
                <a:ext uri="{FF2B5EF4-FFF2-40B4-BE49-F238E27FC236}">
                  <a16:creationId xmlns:a16="http://schemas.microsoft.com/office/drawing/2014/main" id="{8480D764-DF15-4499-97DC-08F31DBD3F13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9" name="TextBox 468">
              <a:extLst>
                <a:ext uri="{FF2B5EF4-FFF2-40B4-BE49-F238E27FC236}">
                  <a16:creationId xmlns:a16="http://schemas.microsoft.com/office/drawing/2014/main" id="{953F40F3-F003-4B5F-9ABF-DBB33FDDE0C9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69" name="TextBox 468">
              <a:extLst>
                <a:ext uri="{FF2B5EF4-FFF2-40B4-BE49-F238E27FC236}">
                  <a16:creationId xmlns:a16="http://schemas.microsoft.com/office/drawing/2014/main" id="{953F40F3-F003-4B5F-9ABF-DBB33FDDE0C9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0" name="TextBox 469">
              <a:extLst>
                <a:ext uri="{FF2B5EF4-FFF2-40B4-BE49-F238E27FC236}">
                  <a16:creationId xmlns:a16="http://schemas.microsoft.com/office/drawing/2014/main" id="{876CCB16-08EF-4B59-86AC-3A3954FB1956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70" name="TextBox 469">
              <a:extLst>
                <a:ext uri="{FF2B5EF4-FFF2-40B4-BE49-F238E27FC236}">
                  <a16:creationId xmlns:a16="http://schemas.microsoft.com/office/drawing/2014/main" id="{876CCB16-08EF-4B59-86AC-3A3954FB1956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1" name="TextBox 470">
              <a:extLst>
                <a:ext uri="{FF2B5EF4-FFF2-40B4-BE49-F238E27FC236}">
                  <a16:creationId xmlns:a16="http://schemas.microsoft.com/office/drawing/2014/main" id="{AD5F9570-08A4-4FBE-A455-EF4F72FD454F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71" name="TextBox 470">
              <a:extLst>
                <a:ext uri="{FF2B5EF4-FFF2-40B4-BE49-F238E27FC236}">
                  <a16:creationId xmlns:a16="http://schemas.microsoft.com/office/drawing/2014/main" id="{AD5F9570-08A4-4FBE-A455-EF4F72FD454F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124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2" name="TextBox 471">
              <a:extLst>
                <a:ext uri="{FF2B5EF4-FFF2-40B4-BE49-F238E27FC236}">
                  <a16:creationId xmlns:a16="http://schemas.microsoft.com/office/drawing/2014/main" id="{AB31827F-29BE-482F-A874-84528F5467B7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72" name="TextBox 471">
              <a:extLst>
                <a:ext uri="{FF2B5EF4-FFF2-40B4-BE49-F238E27FC236}">
                  <a16:creationId xmlns:a16="http://schemas.microsoft.com/office/drawing/2014/main" id="{AB31827F-29BE-482F-A874-84528F5467B7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3" name="TextBox 472">
              <a:extLst>
                <a:ext uri="{FF2B5EF4-FFF2-40B4-BE49-F238E27FC236}">
                  <a16:creationId xmlns:a16="http://schemas.microsoft.com/office/drawing/2014/main" id="{288E7727-7130-4ECB-90F5-713C4715234E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73" name="TextBox 472">
              <a:extLst>
                <a:ext uri="{FF2B5EF4-FFF2-40B4-BE49-F238E27FC236}">
                  <a16:creationId xmlns:a16="http://schemas.microsoft.com/office/drawing/2014/main" id="{288E7727-7130-4ECB-90F5-713C4715234E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4" name="TextBox 473">
              <a:extLst>
                <a:ext uri="{FF2B5EF4-FFF2-40B4-BE49-F238E27FC236}">
                  <a16:creationId xmlns:a16="http://schemas.microsoft.com/office/drawing/2014/main" id="{5AB1AB68-48CE-4332-A927-7647ACFB1905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74" name="TextBox 473">
              <a:extLst>
                <a:ext uri="{FF2B5EF4-FFF2-40B4-BE49-F238E27FC236}">
                  <a16:creationId xmlns:a16="http://schemas.microsoft.com/office/drawing/2014/main" id="{5AB1AB68-48CE-4332-A927-7647ACFB1905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5" name="TextBox 474">
              <a:extLst>
                <a:ext uri="{FF2B5EF4-FFF2-40B4-BE49-F238E27FC236}">
                  <a16:creationId xmlns:a16="http://schemas.microsoft.com/office/drawing/2014/main" id="{2D971F67-AEFB-435E-9C89-C66C05D86676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75" name="TextBox 474">
              <a:extLst>
                <a:ext uri="{FF2B5EF4-FFF2-40B4-BE49-F238E27FC236}">
                  <a16:creationId xmlns:a16="http://schemas.microsoft.com/office/drawing/2014/main" id="{2D971F67-AEFB-435E-9C89-C66C05D86676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6" name="TextBox 475">
              <a:extLst>
                <a:ext uri="{FF2B5EF4-FFF2-40B4-BE49-F238E27FC236}">
                  <a16:creationId xmlns:a16="http://schemas.microsoft.com/office/drawing/2014/main" id="{CEA7D07B-E6AC-4430-A89D-A92AC4AAE655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76" name="TextBox 475">
              <a:extLst>
                <a:ext uri="{FF2B5EF4-FFF2-40B4-BE49-F238E27FC236}">
                  <a16:creationId xmlns:a16="http://schemas.microsoft.com/office/drawing/2014/main" id="{CEA7D07B-E6AC-4430-A89D-A92AC4AAE655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7" name="TextBox 476">
              <a:extLst>
                <a:ext uri="{FF2B5EF4-FFF2-40B4-BE49-F238E27FC236}">
                  <a16:creationId xmlns:a16="http://schemas.microsoft.com/office/drawing/2014/main" id="{082D8D31-DD87-4D53-98CE-DD38453D79AC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77" name="TextBox 476">
              <a:extLst>
                <a:ext uri="{FF2B5EF4-FFF2-40B4-BE49-F238E27FC236}">
                  <a16:creationId xmlns:a16="http://schemas.microsoft.com/office/drawing/2014/main" id="{082D8D31-DD87-4D53-98CE-DD38453D79AC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8" name="TextBox 477">
              <a:extLst>
                <a:ext uri="{FF2B5EF4-FFF2-40B4-BE49-F238E27FC236}">
                  <a16:creationId xmlns:a16="http://schemas.microsoft.com/office/drawing/2014/main" id="{E151D4FA-80CC-4064-9102-EAA499622D7B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78" name="TextBox 477">
              <a:extLst>
                <a:ext uri="{FF2B5EF4-FFF2-40B4-BE49-F238E27FC236}">
                  <a16:creationId xmlns:a16="http://schemas.microsoft.com/office/drawing/2014/main" id="{E151D4FA-80CC-4064-9102-EAA499622D7B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9" name="TextBox 478">
              <a:extLst>
                <a:ext uri="{FF2B5EF4-FFF2-40B4-BE49-F238E27FC236}">
                  <a16:creationId xmlns:a16="http://schemas.microsoft.com/office/drawing/2014/main" id="{03E0B48E-4C15-4177-B4A8-6BC2A30C0DBC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79" name="TextBox 478">
              <a:extLst>
                <a:ext uri="{FF2B5EF4-FFF2-40B4-BE49-F238E27FC236}">
                  <a16:creationId xmlns:a16="http://schemas.microsoft.com/office/drawing/2014/main" id="{03E0B48E-4C15-4177-B4A8-6BC2A30C0DBC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0" name="TextBox 479">
              <a:extLst>
                <a:ext uri="{FF2B5EF4-FFF2-40B4-BE49-F238E27FC236}">
                  <a16:creationId xmlns:a16="http://schemas.microsoft.com/office/drawing/2014/main" id="{6C0ECC9A-5CE2-4E83-8DA7-8277C6889485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80" name="TextBox 479">
              <a:extLst>
                <a:ext uri="{FF2B5EF4-FFF2-40B4-BE49-F238E27FC236}">
                  <a16:creationId xmlns:a16="http://schemas.microsoft.com/office/drawing/2014/main" id="{6C0ECC9A-5CE2-4E83-8DA7-8277C6889485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1" name="TextBox 480">
              <a:extLst>
                <a:ext uri="{FF2B5EF4-FFF2-40B4-BE49-F238E27FC236}">
                  <a16:creationId xmlns:a16="http://schemas.microsoft.com/office/drawing/2014/main" id="{3B9F6436-6219-4418-A707-43A37B15421A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81" name="TextBox 480">
              <a:extLst>
                <a:ext uri="{FF2B5EF4-FFF2-40B4-BE49-F238E27FC236}">
                  <a16:creationId xmlns:a16="http://schemas.microsoft.com/office/drawing/2014/main" id="{3B9F6436-6219-4418-A707-43A37B15421A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124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2" name="TextBox 481">
              <a:extLst>
                <a:ext uri="{FF2B5EF4-FFF2-40B4-BE49-F238E27FC236}">
                  <a16:creationId xmlns:a16="http://schemas.microsoft.com/office/drawing/2014/main" id="{C7372FDB-1B7F-46F7-9701-BAAF1103F9B9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82" name="TextBox 481">
              <a:extLst>
                <a:ext uri="{FF2B5EF4-FFF2-40B4-BE49-F238E27FC236}">
                  <a16:creationId xmlns:a16="http://schemas.microsoft.com/office/drawing/2014/main" id="{C7372FDB-1B7F-46F7-9701-BAAF1103F9B9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3" name="TextBox 482">
              <a:extLst>
                <a:ext uri="{FF2B5EF4-FFF2-40B4-BE49-F238E27FC236}">
                  <a16:creationId xmlns:a16="http://schemas.microsoft.com/office/drawing/2014/main" id="{2A3DC037-343D-482F-B0E3-2A0194709C9D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83" name="TextBox 482">
              <a:extLst>
                <a:ext uri="{FF2B5EF4-FFF2-40B4-BE49-F238E27FC236}">
                  <a16:creationId xmlns:a16="http://schemas.microsoft.com/office/drawing/2014/main" id="{2A3DC037-343D-482F-B0E3-2A0194709C9D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4" name="TextBox 483">
              <a:extLst>
                <a:ext uri="{FF2B5EF4-FFF2-40B4-BE49-F238E27FC236}">
                  <a16:creationId xmlns:a16="http://schemas.microsoft.com/office/drawing/2014/main" id="{8598AAC7-9FEA-41A1-A0B7-79F872C1AB64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84" name="TextBox 483">
              <a:extLst>
                <a:ext uri="{FF2B5EF4-FFF2-40B4-BE49-F238E27FC236}">
                  <a16:creationId xmlns:a16="http://schemas.microsoft.com/office/drawing/2014/main" id="{8598AAC7-9FEA-41A1-A0B7-79F872C1AB64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5" name="TextBox 484">
              <a:extLst>
                <a:ext uri="{FF2B5EF4-FFF2-40B4-BE49-F238E27FC236}">
                  <a16:creationId xmlns:a16="http://schemas.microsoft.com/office/drawing/2014/main" id="{BE478193-87B4-4DA4-B877-A1CDB62F9186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85" name="TextBox 484">
              <a:extLst>
                <a:ext uri="{FF2B5EF4-FFF2-40B4-BE49-F238E27FC236}">
                  <a16:creationId xmlns:a16="http://schemas.microsoft.com/office/drawing/2014/main" id="{BE478193-87B4-4DA4-B877-A1CDB62F9186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6" name="TextBox 485">
              <a:extLst>
                <a:ext uri="{FF2B5EF4-FFF2-40B4-BE49-F238E27FC236}">
                  <a16:creationId xmlns:a16="http://schemas.microsoft.com/office/drawing/2014/main" id="{A01549F3-6194-4662-A7FB-FD4F0D5B86F5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86" name="TextBox 485">
              <a:extLst>
                <a:ext uri="{FF2B5EF4-FFF2-40B4-BE49-F238E27FC236}">
                  <a16:creationId xmlns:a16="http://schemas.microsoft.com/office/drawing/2014/main" id="{A01549F3-6194-4662-A7FB-FD4F0D5B86F5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7" name="TextBox 486">
              <a:extLst>
                <a:ext uri="{FF2B5EF4-FFF2-40B4-BE49-F238E27FC236}">
                  <a16:creationId xmlns:a16="http://schemas.microsoft.com/office/drawing/2014/main" id="{E9A22618-9CC5-4DA1-BC4C-2BC509BB11FA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87" name="TextBox 486">
              <a:extLst>
                <a:ext uri="{FF2B5EF4-FFF2-40B4-BE49-F238E27FC236}">
                  <a16:creationId xmlns:a16="http://schemas.microsoft.com/office/drawing/2014/main" id="{E9A22618-9CC5-4DA1-BC4C-2BC509BB11FA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8" name="TextBox 487">
              <a:extLst>
                <a:ext uri="{FF2B5EF4-FFF2-40B4-BE49-F238E27FC236}">
                  <a16:creationId xmlns:a16="http://schemas.microsoft.com/office/drawing/2014/main" id="{C0C2C813-DEDE-4AE0-9CD6-17A0896FD1BF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88" name="TextBox 487">
              <a:extLst>
                <a:ext uri="{FF2B5EF4-FFF2-40B4-BE49-F238E27FC236}">
                  <a16:creationId xmlns:a16="http://schemas.microsoft.com/office/drawing/2014/main" id="{C0C2C813-DEDE-4AE0-9CD6-17A0896FD1BF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9" name="TextBox 488">
              <a:extLst>
                <a:ext uri="{FF2B5EF4-FFF2-40B4-BE49-F238E27FC236}">
                  <a16:creationId xmlns:a16="http://schemas.microsoft.com/office/drawing/2014/main" id="{B2604BBE-DBCB-43BE-8494-388408994689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89" name="TextBox 488">
              <a:extLst>
                <a:ext uri="{FF2B5EF4-FFF2-40B4-BE49-F238E27FC236}">
                  <a16:creationId xmlns:a16="http://schemas.microsoft.com/office/drawing/2014/main" id="{B2604BBE-DBCB-43BE-8494-388408994689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0" name="TextBox 489">
              <a:extLst>
                <a:ext uri="{FF2B5EF4-FFF2-40B4-BE49-F238E27FC236}">
                  <a16:creationId xmlns:a16="http://schemas.microsoft.com/office/drawing/2014/main" id="{EA1949DF-4E06-4854-BB01-707F802E8F34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90" name="TextBox 489">
              <a:extLst>
                <a:ext uri="{FF2B5EF4-FFF2-40B4-BE49-F238E27FC236}">
                  <a16:creationId xmlns:a16="http://schemas.microsoft.com/office/drawing/2014/main" id="{EA1949DF-4E06-4854-BB01-707F802E8F34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1" name="TextBox 490">
              <a:extLst>
                <a:ext uri="{FF2B5EF4-FFF2-40B4-BE49-F238E27FC236}">
                  <a16:creationId xmlns:a16="http://schemas.microsoft.com/office/drawing/2014/main" id="{FB1DE69B-4C64-4BDD-B1B3-4A65CC12F5B1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91" name="TextBox 490">
              <a:extLst>
                <a:ext uri="{FF2B5EF4-FFF2-40B4-BE49-F238E27FC236}">
                  <a16:creationId xmlns:a16="http://schemas.microsoft.com/office/drawing/2014/main" id="{FB1DE69B-4C64-4BDD-B1B3-4A65CC12F5B1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124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2" name="TextBox 491">
              <a:extLst>
                <a:ext uri="{FF2B5EF4-FFF2-40B4-BE49-F238E27FC236}">
                  <a16:creationId xmlns:a16="http://schemas.microsoft.com/office/drawing/2014/main" id="{2C907C25-B0B3-4FD2-8658-0A88017E71D5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92" name="TextBox 491">
              <a:extLst>
                <a:ext uri="{FF2B5EF4-FFF2-40B4-BE49-F238E27FC236}">
                  <a16:creationId xmlns:a16="http://schemas.microsoft.com/office/drawing/2014/main" id="{2C907C25-B0B3-4FD2-8658-0A88017E71D5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3" name="TextBox 492">
              <a:extLst>
                <a:ext uri="{FF2B5EF4-FFF2-40B4-BE49-F238E27FC236}">
                  <a16:creationId xmlns:a16="http://schemas.microsoft.com/office/drawing/2014/main" id="{E305C277-C413-43FF-9CA9-7C8247377A88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93" name="TextBox 492">
              <a:extLst>
                <a:ext uri="{FF2B5EF4-FFF2-40B4-BE49-F238E27FC236}">
                  <a16:creationId xmlns:a16="http://schemas.microsoft.com/office/drawing/2014/main" id="{E305C277-C413-43FF-9CA9-7C8247377A88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4" name="TextBox 493">
              <a:extLst>
                <a:ext uri="{FF2B5EF4-FFF2-40B4-BE49-F238E27FC236}">
                  <a16:creationId xmlns:a16="http://schemas.microsoft.com/office/drawing/2014/main" id="{A60272EF-A14A-4A06-9E78-5BB29A2F94CE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94" name="TextBox 493">
              <a:extLst>
                <a:ext uri="{FF2B5EF4-FFF2-40B4-BE49-F238E27FC236}">
                  <a16:creationId xmlns:a16="http://schemas.microsoft.com/office/drawing/2014/main" id="{A60272EF-A14A-4A06-9E78-5BB29A2F94CE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5" name="TextBox 494">
              <a:extLst>
                <a:ext uri="{FF2B5EF4-FFF2-40B4-BE49-F238E27FC236}">
                  <a16:creationId xmlns:a16="http://schemas.microsoft.com/office/drawing/2014/main" id="{815FBBEF-9E0F-4159-B841-E647EDDCA6D8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95" name="TextBox 494">
              <a:extLst>
                <a:ext uri="{FF2B5EF4-FFF2-40B4-BE49-F238E27FC236}">
                  <a16:creationId xmlns:a16="http://schemas.microsoft.com/office/drawing/2014/main" id="{815FBBEF-9E0F-4159-B841-E647EDDCA6D8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6" name="TextBox 495">
              <a:extLst>
                <a:ext uri="{FF2B5EF4-FFF2-40B4-BE49-F238E27FC236}">
                  <a16:creationId xmlns:a16="http://schemas.microsoft.com/office/drawing/2014/main" id="{F3F94BA4-7F29-44A3-96BF-275D7752A42E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96" name="TextBox 495">
              <a:extLst>
                <a:ext uri="{FF2B5EF4-FFF2-40B4-BE49-F238E27FC236}">
                  <a16:creationId xmlns:a16="http://schemas.microsoft.com/office/drawing/2014/main" id="{F3F94BA4-7F29-44A3-96BF-275D7752A42E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7" name="TextBox 496">
              <a:extLst>
                <a:ext uri="{FF2B5EF4-FFF2-40B4-BE49-F238E27FC236}">
                  <a16:creationId xmlns:a16="http://schemas.microsoft.com/office/drawing/2014/main" id="{825C009C-84A4-475B-9C1E-721A8E6EF527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97" name="TextBox 496">
              <a:extLst>
                <a:ext uri="{FF2B5EF4-FFF2-40B4-BE49-F238E27FC236}">
                  <a16:creationId xmlns:a16="http://schemas.microsoft.com/office/drawing/2014/main" id="{825C009C-84A4-475B-9C1E-721A8E6EF527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8" name="TextBox 497">
              <a:extLst>
                <a:ext uri="{FF2B5EF4-FFF2-40B4-BE49-F238E27FC236}">
                  <a16:creationId xmlns:a16="http://schemas.microsoft.com/office/drawing/2014/main" id="{7B779BDD-7223-4B76-B722-F2EF24F70491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98" name="TextBox 497">
              <a:extLst>
                <a:ext uri="{FF2B5EF4-FFF2-40B4-BE49-F238E27FC236}">
                  <a16:creationId xmlns:a16="http://schemas.microsoft.com/office/drawing/2014/main" id="{7B779BDD-7223-4B76-B722-F2EF24F70491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9" name="TextBox 498">
              <a:extLst>
                <a:ext uri="{FF2B5EF4-FFF2-40B4-BE49-F238E27FC236}">
                  <a16:creationId xmlns:a16="http://schemas.microsoft.com/office/drawing/2014/main" id="{EA3AD779-94D3-45CE-876F-08C4D5A55576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99" name="TextBox 498">
              <a:extLst>
                <a:ext uri="{FF2B5EF4-FFF2-40B4-BE49-F238E27FC236}">
                  <a16:creationId xmlns:a16="http://schemas.microsoft.com/office/drawing/2014/main" id="{EA3AD779-94D3-45CE-876F-08C4D5A55576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0" name="TextBox 499">
              <a:extLst>
                <a:ext uri="{FF2B5EF4-FFF2-40B4-BE49-F238E27FC236}">
                  <a16:creationId xmlns:a16="http://schemas.microsoft.com/office/drawing/2014/main" id="{2789C936-55EF-4835-9AD9-97CB8AC8A8DC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00" name="TextBox 499">
              <a:extLst>
                <a:ext uri="{FF2B5EF4-FFF2-40B4-BE49-F238E27FC236}">
                  <a16:creationId xmlns:a16="http://schemas.microsoft.com/office/drawing/2014/main" id="{2789C936-55EF-4835-9AD9-97CB8AC8A8DC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1" name="TextBox 500">
              <a:extLst>
                <a:ext uri="{FF2B5EF4-FFF2-40B4-BE49-F238E27FC236}">
                  <a16:creationId xmlns:a16="http://schemas.microsoft.com/office/drawing/2014/main" id="{0A5BC93F-46A3-4300-ADBF-1FE5F7F16464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01" name="TextBox 500">
              <a:extLst>
                <a:ext uri="{FF2B5EF4-FFF2-40B4-BE49-F238E27FC236}">
                  <a16:creationId xmlns:a16="http://schemas.microsoft.com/office/drawing/2014/main" id="{0A5BC93F-46A3-4300-ADBF-1FE5F7F16464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124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2" name="TextBox 501">
              <a:extLst>
                <a:ext uri="{FF2B5EF4-FFF2-40B4-BE49-F238E27FC236}">
                  <a16:creationId xmlns:a16="http://schemas.microsoft.com/office/drawing/2014/main" id="{8BA3D014-D31A-46F6-A431-F390D0751C81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02" name="TextBox 501">
              <a:extLst>
                <a:ext uri="{FF2B5EF4-FFF2-40B4-BE49-F238E27FC236}">
                  <a16:creationId xmlns:a16="http://schemas.microsoft.com/office/drawing/2014/main" id="{8BA3D014-D31A-46F6-A431-F390D0751C81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3" name="TextBox 502">
              <a:extLst>
                <a:ext uri="{FF2B5EF4-FFF2-40B4-BE49-F238E27FC236}">
                  <a16:creationId xmlns:a16="http://schemas.microsoft.com/office/drawing/2014/main" id="{46AA73CA-7A2D-4726-B58E-1E829D5EC11A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03" name="TextBox 502">
              <a:extLst>
                <a:ext uri="{FF2B5EF4-FFF2-40B4-BE49-F238E27FC236}">
                  <a16:creationId xmlns:a16="http://schemas.microsoft.com/office/drawing/2014/main" id="{46AA73CA-7A2D-4726-B58E-1E829D5EC11A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4" name="TextBox 503">
              <a:extLst>
                <a:ext uri="{FF2B5EF4-FFF2-40B4-BE49-F238E27FC236}">
                  <a16:creationId xmlns:a16="http://schemas.microsoft.com/office/drawing/2014/main" id="{44632B54-3489-4BA6-BAA2-F1D278A532D1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04" name="TextBox 503">
              <a:extLst>
                <a:ext uri="{FF2B5EF4-FFF2-40B4-BE49-F238E27FC236}">
                  <a16:creationId xmlns:a16="http://schemas.microsoft.com/office/drawing/2014/main" id="{44632B54-3489-4BA6-BAA2-F1D278A532D1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5" name="TextBox 504">
              <a:extLst>
                <a:ext uri="{FF2B5EF4-FFF2-40B4-BE49-F238E27FC236}">
                  <a16:creationId xmlns:a16="http://schemas.microsoft.com/office/drawing/2014/main" id="{20D0ED58-30F6-4C81-97AC-9C6471DAADAB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05" name="TextBox 504">
              <a:extLst>
                <a:ext uri="{FF2B5EF4-FFF2-40B4-BE49-F238E27FC236}">
                  <a16:creationId xmlns:a16="http://schemas.microsoft.com/office/drawing/2014/main" id="{20D0ED58-30F6-4C81-97AC-9C6471DAADAB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6" name="TextBox 505">
              <a:extLst>
                <a:ext uri="{FF2B5EF4-FFF2-40B4-BE49-F238E27FC236}">
                  <a16:creationId xmlns:a16="http://schemas.microsoft.com/office/drawing/2014/main" id="{DE271804-8272-4DF6-B8A1-29F2893F6BAE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06" name="TextBox 505">
              <a:extLst>
                <a:ext uri="{FF2B5EF4-FFF2-40B4-BE49-F238E27FC236}">
                  <a16:creationId xmlns:a16="http://schemas.microsoft.com/office/drawing/2014/main" id="{DE271804-8272-4DF6-B8A1-29F2893F6BAE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7" name="TextBox 506">
              <a:extLst>
                <a:ext uri="{FF2B5EF4-FFF2-40B4-BE49-F238E27FC236}">
                  <a16:creationId xmlns:a16="http://schemas.microsoft.com/office/drawing/2014/main" id="{0A5250C6-D357-4467-BF00-E750CA4F82B2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07" name="TextBox 506">
              <a:extLst>
                <a:ext uri="{FF2B5EF4-FFF2-40B4-BE49-F238E27FC236}">
                  <a16:creationId xmlns:a16="http://schemas.microsoft.com/office/drawing/2014/main" id="{0A5250C6-D357-4467-BF00-E750CA4F82B2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8" name="TextBox 507">
              <a:extLst>
                <a:ext uri="{FF2B5EF4-FFF2-40B4-BE49-F238E27FC236}">
                  <a16:creationId xmlns:a16="http://schemas.microsoft.com/office/drawing/2014/main" id="{0832D4CE-E80C-43DF-A4E4-4F37EDEC6B6D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08" name="TextBox 507">
              <a:extLst>
                <a:ext uri="{FF2B5EF4-FFF2-40B4-BE49-F238E27FC236}">
                  <a16:creationId xmlns:a16="http://schemas.microsoft.com/office/drawing/2014/main" id="{0832D4CE-E80C-43DF-A4E4-4F37EDEC6B6D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9" name="TextBox 508">
              <a:extLst>
                <a:ext uri="{FF2B5EF4-FFF2-40B4-BE49-F238E27FC236}">
                  <a16:creationId xmlns:a16="http://schemas.microsoft.com/office/drawing/2014/main" id="{CCF8F20E-BCEA-4C33-BA3E-A869BAF0C79E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09" name="TextBox 508">
              <a:extLst>
                <a:ext uri="{FF2B5EF4-FFF2-40B4-BE49-F238E27FC236}">
                  <a16:creationId xmlns:a16="http://schemas.microsoft.com/office/drawing/2014/main" id="{CCF8F20E-BCEA-4C33-BA3E-A869BAF0C79E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0" name="TextBox 509">
              <a:extLst>
                <a:ext uri="{FF2B5EF4-FFF2-40B4-BE49-F238E27FC236}">
                  <a16:creationId xmlns:a16="http://schemas.microsoft.com/office/drawing/2014/main" id="{5891BA20-A6D4-4C9F-96E1-A3DFF57556EE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10" name="TextBox 509">
              <a:extLst>
                <a:ext uri="{FF2B5EF4-FFF2-40B4-BE49-F238E27FC236}">
                  <a16:creationId xmlns:a16="http://schemas.microsoft.com/office/drawing/2014/main" id="{5891BA20-A6D4-4C9F-96E1-A3DFF57556EE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1" name="TextBox 510">
              <a:extLst>
                <a:ext uri="{FF2B5EF4-FFF2-40B4-BE49-F238E27FC236}">
                  <a16:creationId xmlns:a16="http://schemas.microsoft.com/office/drawing/2014/main" id="{2B055A33-9B19-46B2-AA06-7677F8492345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11" name="TextBox 510">
              <a:extLst>
                <a:ext uri="{FF2B5EF4-FFF2-40B4-BE49-F238E27FC236}">
                  <a16:creationId xmlns:a16="http://schemas.microsoft.com/office/drawing/2014/main" id="{2B055A33-9B19-46B2-AA06-7677F8492345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124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2" name="TextBox 511">
              <a:extLst>
                <a:ext uri="{FF2B5EF4-FFF2-40B4-BE49-F238E27FC236}">
                  <a16:creationId xmlns:a16="http://schemas.microsoft.com/office/drawing/2014/main" id="{E335C948-64D8-4CBA-8366-D2D178853EA3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12" name="TextBox 511">
              <a:extLst>
                <a:ext uri="{FF2B5EF4-FFF2-40B4-BE49-F238E27FC236}">
                  <a16:creationId xmlns:a16="http://schemas.microsoft.com/office/drawing/2014/main" id="{E335C948-64D8-4CBA-8366-D2D178853EA3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3" name="TextBox 512">
              <a:extLst>
                <a:ext uri="{FF2B5EF4-FFF2-40B4-BE49-F238E27FC236}">
                  <a16:creationId xmlns:a16="http://schemas.microsoft.com/office/drawing/2014/main" id="{53EF7750-6CEE-4CCC-855D-0CFE66B58A10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13" name="TextBox 512">
              <a:extLst>
                <a:ext uri="{FF2B5EF4-FFF2-40B4-BE49-F238E27FC236}">
                  <a16:creationId xmlns:a16="http://schemas.microsoft.com/office/drawing/2014/main" id="{53EF7750-6CEE-4CCC-855D-0CFE66B58A10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4" name="TextBox 513">
              <a:extLst>
                <a:ext uri="{FF2B5EF4-FFF2-40B4-BE49-F238E27FC236}">
                  <a16:creationId xmlns:a16="http://schemas.microsoft.com/office/drawing/2014/main" id="{2AA67B20-E577-42FD-AD22-BDC08FBC2DF8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14" name="TextBox 513">
              <a:extLst>
                <a:ext uri="{FF2B5EF4-FFF2-40B4-BE49-F238E27FC236}">
                  <a16:creationId xmlns:a16="http://schemas.microsoft.com/office/drawing/2014/main" id="{2AA67B20-E577-42FD-AD22-BDC08FBC2DF8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5" name="TextBox 514">
              <a:extLst>
                <a:ext uri="{FF2B5EF4-FFF2-40B4-BE49-F238E27FC236}">
                  <a16:creationId xmlns:a16="http://schemas.microsoft.com/office/drawing/2014/main" id="{2AC13CFD-007F-440F-9CA9-CC2269785FB5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15" name="TextBox 514">
              <a:extLst>
                <a:ext uri="{FF2B5EF4-FFF2-40B4-BE49-F238E27FC236}">
                  <a16:creationId xmlns:a16="http://schemas.microsoft.com/office/drawing/2014/main" id="{2AC13CFD-007F-440F-9CA9-CC2269785FB5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6" name="TextBox 515">
              <a:extLst>
                <a:ext uri="{FF2B5EF4-FFF2-40B4-BE49-F238E27FC236}">
                  <a16:creationId xmlns:a16="http://schemas.microsoft.com/office/drawing/2014/main" id="{41D8B0C5-E97F-41B3-BDCF-015C68397B81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16" name="TextBox 515">
              <a:extLst>
                <a:ext uri="{FF2B5EF4-FFF2-40B4-BE49-F238E27FC236}">
                  <a16:creationId xmlns:a16="http://schemas.microsoft.com/office/drawing/2014/main" id="{41D8B0C5-E97F-41B3-BDCF-015C68397B81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7" name="TextBox 516">
              <a:extLst>
                <a:ext uri="{FF2B5EF4-FFF2-40B4-BE49-F238E27FC236}">
                  <a16:creationId xmlns:a16="http://schemas.microsoft.com/office/drawing/2014/main" id="{335D2AAD-5A1A-4218-BB6C-D7F45022C740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17" name="TextBox 516">
              <a:extLst>
                <a:ext uri="{FF2B5EF4-FFF2-40B4-BE49-F238E27FC236}">
                  <a16:creationId xmlns:a16="http://schemas.microsoft.com/office/drawing/2014/main" id="{335D2AAD-5A1A-4218-BB6C-D7F45022C740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8" name="TextBox 517">
              <a:extLst>
                <a:ext uri="{FF2B5EF4-FFF2-40B4-BE49-F238E27FC236}">
                  <a16:creationId xmlns:a16="http://schemas.microsoft.com/office/drawing/2014/main" id="{E5E54A1A-0471-4DE6-8939-8B7D3C12B7D8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18" name="TextBox 517">
              <a:extLst>
                <a:ext uri="{FF2B5EF4-FFF2-40B4-BE49-F238E27FC236}">
                  <a16:creationId xmlns:a16="http://schemas.microsoft.com/office/drawing/2014/main" id="{E5E54A1A-0471-4DE6-8939-8B7D3C12B7D8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9" name="TextBox 518">
              <a:extLst>
                <a:ext uri="{FF2B5EF4-FFF2-40B4-BE49-F238E27FC236}">
                  <a16:creationId xmlns:a16="http://schemas.microsoft.com/office/drawing/2014/main" id="{D406D0F9-15F4-418F-8BB8-089917A65AF1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19" name="TextBox 518">
              <a:extLst>
                <a:ext uri="{FF2B5EF4-FFF2-40B4-BE49-F238E27FC236}">
                  <a16:creationId xmlns:a16="http://schemas.microsoft.com/office/drawing/2014/main" id="{D406D0F9-15F4-418F-8BB8-089917A65AF1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0" name="TextBox 519">
              <a:extLst>
                <a:ext uri="{FF2B5EF4-FFF2-40B4-BE49-F238E27FC236}">
                  <a16:creationId xmlns:a16="http://schemas.microsoft.com/office/drawing/2014/main" id="{FDFA9578-FED2-4511-AAB9-197005AE8B2E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20" name="TextBox 519">
              <a:extLst>
                <a:ext uri="{FF2B5EF4-FFF2-40B4-BE49-F238E27FC236}">
                  <a16:creationId xmlns:a16="http://schemas.microsoft.com/office/drawing/2014/main" id="{FDFA9578-FED2-4511-AAB9-197005AE8B2E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1" name="TextBox 520">
              <a:extLst>
                <a:ext uri="{FF2B5EF4-FFF2-40B4-BE49-F238E27FC236}">
                  <a16:creationId xmlns:a16="http://schemas.microsoft.com/office/drawing/2014/main" id="{E17B474E-623E-49E0-8ACF-3CF7D32D585D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21" name="TextBox 520">
              <a:extLst>
                <a:ext uri="{FF2B5EF4-FFF2-40B4-BE49-F238E27FC236}">
                  <a16:creationId xmlns:a16="http://schemas.microsoft.com/office/drawing/2014/main" id="{E17B474E-623E-49E0-8ACF-3CF7D32D585D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124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2" name="TextBox 521">
              <a:extLst>
                <a:ext uri="{FF2B5EF4-FFF2-40B4-BE49-F238E27FC236}">
                  <a16:creationId xmlns:a16="http://schemas.microsoft.com/office/drawing/2014/main" id="{019B7631-5EF8-4A28-9F33-83D943B0BC04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22" name="TextBox 521">
              <a:extLst>
                <a:ext uri="{FF2B5EF4-FFF2-40B4-BE49-F238E27FC236}">
                  <a16:creationId xmlns:a16="http://schemas.microsoft.com/office/drawing/2014/main" id="{019B7631-5EF8-4A28-9F33-83D943B0BC04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3" name="TextBox 522">
              <a:extLst>
                <a:ext uri="{FF2B5EF4-FFF2-40B4-BE49-F238E27FC236}">
                  <a16:creationId xmlns:a16="http://schemas.microsoft.com/office/drawing/2014/main" id="{4BE516F0-5E4A-4743-994C-C242886D3047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23" name="TextBox 522">
              <a:extLst>
                <a:ext uri="{FF2B5EF4-FFF2-40B4-BE49-F238E27FC236}">
                  <a16:creationId xmlns:a16="http://schemas.microsoft.com/office/drawing/2014/main" id="{4BE516F0-5E4A-4743-994C-C242886D3047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4" name="TextBox 523">
              <a:extLst>
                <a:ext uri="{FF2B5EF4-FFF2-40B4-BE49-F238E27FC236}">
                  <a16:creationId xmlns:a16="http://schemas.microsoft.com/office/drawing/2014/main" id="{A37A9FC5-87A0-4529-B06D-908AB847B638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24" name="TextBox 523">
              <a:extLst>
                <a:ext uri="{FF2B5EF4-FFF2-40B4-BE49-F238E27FC236}">
                  <a16:creationId xmlns:a16="http://schemas.microsoft.com/office/drawing/2014/main" id="{A37A9FC5-87A0-4529-B06D-908AB847B638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5" name="TextBox 524">
              <a:extLst>
                <a:ext uri="{FF2B5EF4-FFF2-40B4-BE49-F238E27FC236}">
                  <a16:creationId xmlns:a16="http://schemas.microsoft.com/office/drawing/2014/main" id="{47F4CBF7-417E-4B69-AC88-CDB7F18607AE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25" name="TextBox 524">
              <a:extLst>
                <a:ext uri="{FF2B5EF4-FFF2-40B4-BE49-F238E27FC236}">
                  <a16:creationId xmlns:a16="http://schemas.microsoft.com/office/drawing/2014/main" id="{47F4CBF7-417E-4B69-AC88-CDB7F18607AE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6" name="TextBox 525">
              <a:extLst>
                <a:ext uri="{FF2B5EF4-FFF2-40B4-BE49-F238E27FC236}">
                  <a16:creationId xmlns:a16="http://schemas.microsoft.com/office/drawing/2014/main" id="{9F72BA85-CC3C-4C56-8ABA-6C801DD14F10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26" name="TextBox 525">
              <a:extLst>
                <a:ext uri="{FF2B5EF4-FFF2-40B4-BE49-F238E27FC236}">
                  <a16:creationId xmlns:a16="http://schemas.microsoft.com/office/drawing/2014/main" id="{9F72BA85-CC3C-4C56-8ABA-6C801DD14F10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7" name="TextBox 526">
              <a:extLst>
                <a:ext uri="{FF2B5EF4-FFF2-40B4-BE49-F238E27FC236}">
                  <a16:creationId xmlns:a16="http://schemas.microsoft.com/office/drawing/2014/main" id="{F20D71FC-491F-4F9B-9B36-C04A0F1996E8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27" name="TextBox 526">
              <a:extLst>
                <a:ext uri="{FF2B5EF4-FFF2-40B4-BE49-F238E27FC236}">
                  <a16:creationId xmlns:a16="http://schemas.microsoft.com/office/drawing/2014/main" id="{F20D71FC-491F-4F9B-9B36-C04A0F1996E8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8" name="TextBox 527">
              <a:extLst>
                <a:ext uri="{FF2B5EF4-FFF2-40B4-BE49-F238E27FC236}">
                  <a16:creationId xmlns:a16="http://schemas.microsoft.com/office/drawing/2014/main" id="{EB1EE195-C9ED-4441-B4D6-C610DB743EDB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28" name="TextBox 527">
              <a:extLst>
                <a:ext uri="{FF2B5EF4-FFF2-40B4-BE49-F238E27FC236}">
                  <a16:creationId xmlns:a16="http://schemas.microsoft.com/office/drawing/2014/main" id="{EB1EE195-C9ED-4441-B4D6-C610DB743EDB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9" name="TextBox 528">
              <a:extLst>
                <a:ext uri="{FF2B5EF4-FFF2-40B4-BE49-F238E27FC236}">
                  <a16:creationId xmlns:a16="http://schemas.microsoft.com/office/drawing/2014/main" id="{D24B1461-6BBE-40F6-A1BF-A7FBC1931B17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29" name="TextBox 528">
              <a:extLst>
                <a:ext uri="{FF2B5EF4-FFF2-40B4-BE49-F238E27FC236}">
                  <a16:creationId xmlns:a16="http://schemas.microsoft.com/office/drawing/2014/main" id="{D24B1461-6BBE-40F6-A1BF-A7FBC1931B17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0" name="TextBox 529">
              <a:extLst>
                <a:ext uri="{FF2B5EF4-FFF2-40B4-BE49-F238E27FC236}">
                  <a16:creationId xmlns:a16="http://schemas.microsoft.com/office/drawing/2014/main" id="{27C2227F-CA65-4EB4-A410-70D09D4B64A1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30" name="TextBox 529">
              <a:extLst>
                <a:ext uri="{FF2B5EF4-FFF2-40B4-BE49-F238E27FC236}">
                  <a16:creationId xmlns:a16="http://schemas.microsoft.com/office/drawing/2014/main" id="{27C2227F-CA65-4EB4-A410-70D09D4B64A1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1" name="TextBox 530">
              <a:extLst>
                <a:ext uri="{FF2B5EF4-FFF2-40B4-BE49-F238E27FC236}">
                  <a16:creationId xmlns:a16="http://schemas.microsoft.com/office/drawing/2014/main" id="{530E5386-8420-462A-9912-6B76737D2A55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31" name="TextBox 530">
              <a:extLst>
                <a:ext uri="{FF2B5EF4-FFF2-40B4-BE49-F238E27FC236}">
                  <a16:creationId xmlns:a16="http://schemas.microsoft.com/office/drawing/2014/main" id="{530E5386-8420-462A-9912-6B76737D2A55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124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2" name="TextBox 531">
              <a:extLst>
                <a:ext uri="{FF2B5EF4-FFF2-40B4-BE49-F238E27FC236}">
                  <a16:creationId xmlns:a16="http://schemas.microsoft.com/office/drawing/2014/main" id="{B51D2C26-1AA0-460C-8C1F-F5EFF2FA9AC0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32" name="TextBox 531">
              <a:extLst>
                <a:ext uri="{FF2B5EF4-FFF2-40B4-BE49-F238E27FC236}">
                  <a16:creationId xmlns:a16="http://schemas.microsoft.com/office/drawing/2014/main" id="{B51D2C26-1AA0-460C-8C1F-F5EFF2FA9AC0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3" name="TextBox 532">
              <a:extLst>
                <a:ext uri="{FF2B5EF4-FFF2-40B4-BE49-F238E27FC236}">
                  <a16:creationId xmlns:a16="http://schemas.microsoft.com/office/drawing/2014/main" id="{FFBE7BF8-3490-4991-B7A8-21F0D7F07106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33" name="TextBox 532">
              <a:extLst>
                <a:ext uri="{FF2B5EF4-FFF2-40B4-BE49-F238E27FC236}">
                  <a16:creationId xmlns:a16="http://schemas.microsoft.com/office/drawing/2014/main" id="{FFBE7BF8-3490-4991-B7A8-21F0D7F07106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4" name="TextBox 533">
              <a:extLst>
                <a:ext uri="{FF2B5EF4-FFF2-40B4-BE49-F238E27FC236}">
                  <a16:creationId xmlns:a16="http://schemas.microsoft.com/office/drawing/2014/main" id="{69389DDD-4166-4AAC-AC6E-E896A52D7F46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34" name="TextBox 533">
              <a:extLst>
                <a:ext uri="{FF2B5EF4-FFF2-40B4-BE49-F238E27FC236}">
                  <a16:creationId xmlns:a16="http://schemas.microsoft.com/office/drawing/2014/main" id="{69389DDD-4166-4AAC-AC6E-E896A52D7F46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5" name="TextBox 534">
              <a:extLst>
                <a:ext uri="{FF2B5EF4-FFF2-40B4-BE49-F238E27FC236}">
                  <a16:creationId xmlns:a16="http://schemas.microsoft.com/office/drawing/2014/main" id="{3EC57C30-60A8-4347-BA26-1C962D4F81D5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35" name="TextBox 534">
              <a:extLst>
                <a:ext uri="{FF2B5EF4-FFF2-40B4-BE49-F238E27FC236}">
                  <a16:creationId xmlns:a16="http://schemas.microsoft.com/office/drawing/2014/main" id="{3EC57C30-60A8-4347-BA26-1C962D4F81D5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6" name="TextBox 535">
              <a:extLst>
                <a:ext uri="{FF2B5EF4-FFF2-40B4-BE49-F238E27FC236}">
                  <a16:creationId xmlns:a16="http://schemas.microsoft.com/office/drawing/2014/main" id="{1136BD9D-EE26-4E48-9948-06B3B0254220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36" name="TextBox 535">
              <a:extLst>
                <a:ext uri="{FF2B5EF4-FFF2-40B4-BE49-F238E27FC236}">
                  <a16:creationId xmlns:a16="http://schemas.microsoft.com/office/drawing/2014/main" id="{1136BD9D-EE26-4E48-9948-06B3B0254220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7" name="TextBox 536">
              <a:extLst>
                <a:ext uri="{FF2B5EF4-FFF2-40B4-BE49-F238E27FC236}">
                  <a16:creationId xmlns:a16="http://schemas.microsoft.com/office/drawing/2014/main" id="{D6F382DF-ABA5-426A-BB8E-EB43E4B39D0E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37" name="TextBox 536">
              <a:extLst>
                <a:ext uri="{FF2B5EF4-FFF2-40B4-BE49-F238E27FC236}">
                  <a16:creationId xmlns:a16="http://schemas.microsoft.com/office/drawing/2014/main" id="{D6F382DF-ABA5-426A-BB8E-EB43E4B39D0E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8" name="TextBox 537">
              <a:extLst>
                <a:ext uri="{FF2B5EF4-FFF2-40B4-BE49-F238E27FC236}">
                  <a16:creationId xmlns:a16="http://schemas.microsoft.com/office/drawing/2014/main" id="{D1CA0487-3636-47AF-9D3D-22062574160F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38" name="TextBox 537">
              <a:extLst>
                <a:ext uri="{FF2B5EF4-FFF2-40B4-BE49-F238E27FC236}">
                  <a16:creationId xmlns:a16="http://schemas.microsoft.com/office/drawing/2014/main" id="{D1CA0487-3636-47AF-9D3D-22062574160F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9" name="TextBox 538">
              <a:extLst>
                <a:ext uri="{FF2B5EF4-FFF2-40B4-BE49-F238E27FC236}">
                  <a16:creationId xmlns:a16="http://schemas.microsoft.com/office/drawing/2014/main" id="{0A48F84A-69A1-4822-B226-D88A81FE6B32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39" name="TextBox 538">
              <a:extLst>
                <a:ext uri="{FF2B5EF4-FFF2-40B4-BE49-F238E27FC236}">
                  <a16:creationId xmlns:a16="http://schemas.microsoft.com/office/drawing/2014/main" id="{0A48F84A-69A1-4822-B226-D88A81FE6B32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0" name="TextBox 539">
              <a:extLst>
                <a:ext uri="{FF2B5EF4-FFF2-40B4-BE49-F238E27FC236}">
                  <a16:creationId xmlns:a16="http://schemas.microsoft.com/office/drawing/2014/main" id="{7A315D56-FCF4-480F-A2D7-D3119A6EAC28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40" name="TextBox 539">
              <a:extLst>
                <a:ext uri="{FF2B5EF4-FFF2-40B4-BE49-F238E27FC236}">
                  <a16:creationId xmlns:a16="http://schemas.microsoft.com/office/drawing/2014/main" id="{7A315D56-FCF4-480F-A2D7-D3119A6EAC28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1" name="TextBox 540">
              <a:extLst>
                <a:ext uri="{FF2B5EF4-FFF2-40B4-BE49-F238E27FC236}">
                  <a16:creationId xmlns:a16="http://schemas.microsoft.com/office/drawing/2014/main" id="{04D4C813-20E7-4403-9674-305EA96BF18C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41" name="TextBox 540">
              <a:extLst>
                <a:ext uri="{FF2B5EF4-FFF2-40B4-BE49-F238E27FC236}">
                  <a16:creationId xmlns:a16="http://schemas.microsoft.com/office/drawing/2014/main" id="{04D4C813-20E7-4403-9674-305EA96BF18C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124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2" name="TextBox 541">
              <a:extLst>
                <a:ext uri="{FF2B5EF4-FFF2-40B4-BE49-F238E27FC236}">
                  <a16:creationId xmlns:a16="http://schemas.microsoft.com/office/drawing/2014/main" id="{9DDB0205-1424-4BE6-9EB7-453EE6C0829A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42" name="TextBox 541">
              <a:extLst>
                <a:ext uri="{FF2B5EF4-FFF2-40B4-BE49-F238E27FC236}">
                  <a16:creationId xmlns:a16="http://schemas.microsoft.com/office/drawing/2014/main" id="{9DDB0205-1424-4BE6-9EB7-453EE6C0829A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3" name="TextBox 542">
              <a:extLst>
                <a:ext uri="{FF2B5EF4-FFF2-40B4-BE49-F238E27FC236}">
                  <a16:creationId xmlns:a16="http://schemas.microsoft.com/office/drawing/2014/main" id="{8EF2C2E9-BD91-480F-8B79-C336FB28FD72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43" name="TextBox 542">
              <a:extLst>
                <a:ext uri="{FF2B5EF4-FFF2-40B4-BE49-F238E27FC236}">
                  <a16:creationId xmlns:a16="http://schemas.microsoft.com/office/drawing/2014/main" id="{8EF2C2E9-BD91-480F-8B79-C336FB28FD72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4" name="TextBox 543">
              <a:extLst>
                <a:ext uri="{FF2B5EF4-FFF2-40B4-BE49-F238E27FC236}">
                  <a16:creationId xmlns:a16="http://schemas.microsoft.com/office/drawing/2014/main" id="{6D401D4B-A660-433A-896F-9F77D2163A49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44" name="TextBox 543">
              <a:extLst>
                <a:ext uri="{FF2B5EF4-FFF2-40B4-BE49-F238E27FC236}">
                  <a16:creationId xmlns:a16="http://schemas.microsoft.com/office/drawing/2014/main" id="{6D401D4B-A660-433A-896F-9F77D2163A49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5" name="TextBox 544">
              <a:extLst>
                <a:ext uri="{FF2B5EF4-FFF2-40B4-BE49-F238E27FC236}">
                  <a16:creationId xmlns:a16="http://schemas.microsoft.com/office/drawing/2014/main" id="{C3A76D9C-01AE-4058-B589-6D946C00F0AA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45" name="TextBox 544">
              <a:extLst>
                <a:ext uri="{FF2B5EF4-FFF2-40B4-BE49-F238E27FC236}">
                  <a16:creationId xmlns:a16="http://schemas.microsoft.com/office/drawing/2014/main" id="{C3A76D9C-01AE-4058-B589-6D946C00F0AA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6" name="TextBox 545">
              <a:extLst>
                <a:ext uri="{FF2B5EF4-FFF2-40B4-BE49-F238E27FC236}">
                  <a16:creationId xmlns:a16="http://schemas.microsoft.com/office/drawing/2014/main" id="{783919A2-9ED4-43C6-939E-50EADE8797C1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46" name="TextBox 545">
              <a:extLst>
                <a:ext uri="{FF2B5EF4-FFF2-40B4-BE49-F238E27FC236}">
                  <a16:creationId xmlns:a16="http://schemas.microsoft.com/office/drawing/2014/main" id="{783919A2-9ED4-43C6-939E-50EADE8797C1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7" name="TextBox 546">
              <a:extLst>
                <a:ext uri="{FF2B5EF4-FFF2-40B4-BE49-F238E27FC236}">
                  <a16:creationId xmlns:a16="http://schemas.microsoft.com/office/drawing/2014/main" id="{A7F5D120-16DE-4F27-8917-99D453A49267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47" name="TextBox 546">
              <a:extLst>
                <a:ext uri="{FF2B5EF4-FFF2-40B4-BE49-F238E27FC236}">
                  <a16:creationId xmlns:a16="http://schemas.microsoft.com/office/drawing/2014/main" id="{A7F5D120-16DE-4F27-8917-99D453A49267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8" name="TextBox 547">
              <a:extLst>
                <a:ext uri="{FF2B5EF4-FFF2-40B4-BE49-F238E27FC236}">
                  <a16:creationId xmlns:a16="http://schemas.microsoft.com/office/drawing/2014/main" id="{433FAFCA-7B92-492E-95B8-53D3D109D3E9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48" name="TextBox 547">
              <a:extLst>
                <a:ext uri="{FF2B5EF4-FFF2-40B4-BE49-F238E27FC236}">
                  <a16:creationId xmlns:a16="http://schemas.microsoft.com/office/drawing/2014/main" id="{433FAFCA-7B92-492E-95B8-53D3D109D3E9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9" name="TextBox 548">
              <a:extLst>
                <a:ext uri="{FF2B5EF4-FFF2-40B4-BE49-F238E27FC236}">
                  <a16:creationId xmlns:a16="http://schemas.microsoft.com/office/drawing/2014/main" id="{4F8C01A2-FE6D-4A23-9342-786213B9C2D7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49" name="TextBox 548">
              <a:extLst>
                <a:ext uri="{FF2B5EF4-FFF2-40B4-BE49-F238E27FC236}">
                  <a16:creationId xmlns:a16="http://schemas.microsoft.com/office/drawing/2014/main" id="{4F8C01A2-FE6D-4A23-9342-786213B9C2D7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0" name="TextBox 549">
              <a:extLst>
                <a:ext uri="{FF2B5EF4-FFF2-40B4-BE49-F238E27FC236}">
                  <a16:creationId xmlns:a16="http://schemas.microsoft.com/office/drawing/2014/main" id="{A7E32062-8F86-4DC9-86A8-133570FA5370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50" name="TextBox 549">
              <a:extLst>
                <a:ext uri="{FF2B5EF4-FFF2-40B4-BE49-F238E27FC236}">
                  <a16:creationId xmlns:a16="http://schemas.microsoft.com/office/drawing/2014/main" id="{A7E32062-8F86-4DC9-86A8-133570FA5370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1" name="TextBox 550">
              <a:extLst>
                <a:ext uri="{FF2B5EF4-FFF2-40B4-BE49-F238E27FC236}">
                  <a16:creationId xmlns:a16="http://schemas.microsoft.com/office/drawing/2014/main" id="{113CB31B-0FBB-44B1-AF44-0E30D21B855A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51" name="TextBox 550">
              <a:extLst>
                <a:ext uri="{FF2B5EF4-FFF2-40B4-BE49-F238E27FC236}">
                  <a16:creationId xmlns:a16="http://schemas.microsoft.com/office/drawing/2014/main" id="{113CB31B-0FBB-44B1-AF44-0E30D21B855A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124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2" name="TextBox 551">
              <a:extLst>
                <a:ext uri="{FF2B5EF4-FFF2-40B4-BE49-F238E27FC236}">
                  <a16:creationId xmlns:a16="http://schemas.microsoft.com/office/drawing/2014/main" id="{82B6FECD-0E83-4195-B95B-169A879A7DF6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52" name="TextBox 551">
              <a:extLst>
                <a:ext uri="{FF2B5EF4-FFF2-40B4-BE49-F238E27FC236}">
                  <a16:creationId xmlns:a16="http://schemas.microsoft.com/office/drawing/2014/main" id="{82B6FECD-0E83-4195-B95B-169A879A7DF6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3" name="TextBox 552">
              <a:extLst>
                <a:ext uri="{FF2B5EF4-FFF2-40B4-BE49-F238E27FC236}">
                  <a16:creationId xmlns:a16="http://schemas.microsoft.com/office/drawing/2014/main" id="{1946501B-6CBC-4010-A4FA-84840724A8CF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53" name="TextBox 552">
              <a:extLst>
                <a:ext uri="{FF2B5EF4-FFF2-40B4-BE49-F238E27FC236}">
                  <a16:creationId xmlns:a16="http://schemas.microsoft.com/office/drawing/2014/main" id="{1946501B-6CBC-4010-A4FA-84840724A8CF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4" name="TextBox 553">
              <a:extLst>
                <a:ext uri="{FF2B5EF4-FFF2-40B4-BE49-F238E27FC236}">
                  <a16:creationId xmlns:a16="http://schemas.microsoft.com/office/drawing/2014/main" id="{1398C5BE-6728-4B8F-A632-16B6AE22184C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54" name="TextBox 553">
              <a:extLst>
                <a:ext uri="{FF2B5EF4-FFF2-40B4-BE49-F238E27FC236}">
                  <a16:creationId xmlns:a16="http://schemas.microsoft.com/office/drawing/2014/main" id="{1398C5BE-6728-4B8F-A632-16B6AE22184C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5" name="TextBox 554">
              <a:extLst>
                <a:ext uri="{FF2B5EF4-FFF2-40B4-BE49-F238E27FC236}">
                  <a16:creationId xmlns:a16="http://schemas.microsoft.com/office/drawing/2014/main" id="{495966F2-ABF6-41B5-B291-83ECD6EDBEAD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55" name="TextBox 554">
              <a:extLst>
                <a:ext uri="{FF2B5EF4-FFF2-40B4-BE49-F238E27FC236}">
                  <a16:creationId xmlns:a16="http://schemas.microsoft.com/office/drawing/2014/main" id="{495966F2-ABF6-41B5-B291-83ECD6EDBEAD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6" name="TextBox 555">
              <a:extLst>
                <a:ext uri="{FF2B5EF4-FFF2-40B4-BE49-F238E27FC236}">
                  <a16:creationId xmlns:a16="http://schemas.microsoft.com/office/drawing/2014/main" id="{61B9C4F7-4DA5-4F60-A3D2-F6AE38370E95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56" name="TextBox 555">
              <a:extLst>
                <a:ext uri="{FF2B5EF4-FFF2-40B4-BE49-F238E27FC236}">
                  <a16:creationId xmlns:a16="http://schemas.microsoft.com/office/drawing/2014/main" id="{61B9C4F7-4DA5-4F60-A3D2-F6AE38370E95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7" name="TextBox 556">
              <a:extLst>
                <a:ext uri="{FF2B5EF4-FFF2-40B4-BE49-F238E27FC236}">
                  <a16:creationId xmlns:a16="http://schemas.microsoft.com/office/drawing/2014/main" id="{7EBFEBFE-2CDA-4160-9438-1B774651E5FE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57" name="TextBox 556">
              <a:extLst>
                <a:ext uri="{FF2B5EF4-FFF2-40B4-BE49-F238E27FC236}">
                  <a16:creationId xmlns:a16="http://schemas.microsoft.com/office/drawing/2014/main" id="{7EBFEBFE-2CDA-4160-9438-1B774651E5FE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8" name="TextBox 557">
              <a:extLst>
                <a:ext uri="{FF2B5EF4-FFF2-40B4-BE49-F238E27FC236}">
                  <a16:creationId xmlns:a16="http://schemas.microsoft.com/office/drawing/2014/main" id="{92485041-2599-44A0-9BA2-751228B3EE8B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58" name="TextBox 557">
              <a:extLst>
                <a:ext uri="{FF2B5EF4-FFF2-40B4-BE49-F238E27FC236}">
                  <a16:creationId xmlns:a16="http://schemas.microsoft.com/office/drawing/2014/main" id="{92485041-2599-44A0-9BA2-751228B3EE8B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9" name="TextBox 558">
              <a:extLst>
                <a:ext uri="{FF2B5EF4-FFF2-40B4-BE49-F238E27FC236}">
                  <a16:creationId xmlns:a16="http://schemas.microsoft.com/office/drawing/2014/main" id="{DAD38E6F-46D2-480F-9E9D-A7D978660748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59" name="TextBox 558">
              <a:extLst>
                <a:ext uri="{FF2B5EF4-FFF2-40B4-BE49-F238E27FC236}">
                  <a16:creationId xmlns:a16="http://schemas.microsoft.com/office/drawing/2014/main" id="{DAD38E6F-46D2-480F-9E9D-A7D978660748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0" name="TextBox 559">
              <a:extLst>
                <a:ext uri="{FF2B5EF4-FFF2-40B4-BE49-F238E27FC236}">
                  <a16:creationId xmlns:a16="http://schemas.microsoft.com/office/drawing/2014/main" id="{BEA4EF7C-0828-41DB-A7B8-4B70A4C10998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60" name="TextBox 559">
              <a:extLst>
                <a:ext uri="{FF2B5EF4-FFF2-40B4-BE49-F238E27FC236}">
                  <a16:creationId xmlns:a16="http://schemas.microsoft.com/office/drawing/2014/main" id="{BEA4EF7C-0828-41DB-A7B8-4B70A4C10998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1" name="TextBox 560">
              <a:extLst>
                <a:ext uri="{FF2B5EF4-FFF2-40B4-BE49-F238E27FC236}">
                  <a16:creationId xmlns:a16="http://schemas.microsoft.com/office/drawing/2014/main" id="{B53D88EF-6920-43FA-80F5-52E4D9307167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61" name="TextBox 560">
              <a:extLst>
                <a:ext uri="{FF2B5EF4-FFF2-40B4-BE49-F238E27FC236}">
                  <a16:creationId xmlns:a16="http://schemas.microsoft.com/office/drawing/2014/main" id="{B53D88EF-6920-43FA-80F5-52E4D9307167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124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2" name="TextBox 561">
              <a:extLst>
                <a:ext uri="{FF2B5EF4-FFF2-40B4-BE49-F238E27FC236}">
                  <a16:creationId xmlns:a16="http://schemas.microsoft.com/office/drawing/2014/main" id="{44385DED-2A75-497E-8F8C-DBA5E9DE2184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62" name="TextBox 561">
              <a:extLst>
                <a:ext uri="{FF2B5EF4-FFF2-40B4-BE49-F238E27FC236}">
                  <a16:creationId xmlns:a16="http://schemas.microsoft.com/office/drawing/2014/main" id="{44385DED-2A75-497E-8F8C-DBA5E9DE2184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3" name="TextBox 562">
              <a:extLst>
                <a:ext uri="{FF2B5EF4-FFF2-40B4-BE49-F238E27FC236}">
                  <a16:creationId xmlns:a16="http://schemas.microsoft.com/office/drawing/2014/main" id="{3712CFB6-B606-4A78-8948-9768CC391087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63" name="TextBox 562">
              <a:extLst>
                <a:ext uri="{FF2B5EF4-FFF2-40B4-BE49-F238E27FC236}">
                  <a16:creationId xmlns:a16="http://schemas.microsoft.com/office/drawing/2014/main" id="{3712CFB6-B606-4A78-8948-9768CC391087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4" name="TextBox 563">
              <a:extLst>
                <a:ext uri="{FF2B5EF4-FFF2-40B4-BE49-F238E27FC236}">
                  <a16:creationId xmlns:a16="http://schemas.microsoft.com/office/drawing/2014/main" id="{4514E8EE-4942-4DD4-8976-A6B86A98F91D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64" name="TextBox 563">
              <a:extLst>
                <a:ext uri="{FF2B5EF4-FFF2-40B4-BE49-F238E27FC236}">
                  <a16:creationId xmlns:a16="http://schemas.microsoft.com/office/drawing/2014/main" id="{4514E8EE-4942-4DD4-8976-A6B86A98F91D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5" name="TextBox 564">
              <a:extLst>
                <a:ext uri="{FF2B5EF4-FFF2-40B4-BE49-F238E27FC236}">
                  <a16:creationId xmlns:a16="http://schemas.microsoft.com/office/drawing/2014/main" id="{34494A19-4C82-4A14-AEE1-E9588360C8F4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65" name="TextBox 564">
              <a:extLst>
                <a:ext uri="{FF2B5EF4-FFF2-40B4-BE49-F238E27FC236}">
                  <a16:creationId xmlns:a16="http://schemas.microsoft.com/office/drawing/2014/main" id="{34494A19-4C82-4A14-AEE1-E9588360C8F4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6" name="TextBox 565">
              <a:extLst>
                <a:ext uri="{FF2B5EF4-FFF2-40B4-BE49-F238E27FC236}">
                  <a16:creationId xmlns:a16="http://schemas.microsoft.com/office/drawing/2014/main" id="{BF73DC13-A015-4356-92D9-BCF927C41313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66" name="TextBox 565">
              <a:extLst>
                <a:ext uri="{FF2B5EF4-FFF2-40B4-BE49-F238E27FC236}">
                  <a16:creationId xmlns:a16="http://schemas.microsoft.com/office/drawing/2014/main" id="{BF73DC13-A015-4356-92D9-BCF927C41313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7" name="TextBox 566">
              <a:extLst>
                <a:ext uri="{FF2B5EF4-FFF2-40B4-BE49-F238E27FC236}">
                  <a16:creationId xmlns:a16="http://schemas.microsoft.com/office/drawing/2014/main" id="{92553941-FCAD-445E-8273-0D8B4AA71F1C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67" name="TextBox 566">
              <a:extLst>
                <a:ext uri="{FF2B5EF4-FFF2-40B4-BE49-F238E27FC236}">
                  <a16:creationId xmlns:a16="http://schemas.microsoft.com/office/drawing/2014/main" id="{92553941-FCAD-445E-8273-0D8B4AA71F1C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8" name="TextBox 567">
              <a:extLst>
                <a:ext uri="{FF2B5EF4-FFF2-40B4-BE49-F238E27FC236}">
                  <a16:creationId xmlns:a16="http://schemas.microsoft.com/office/drawing/2014/main" id="{A3791951-2B79-4E99-8B63-0D72CE313BEA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68" name="TextBox 567">
              <a:extLst>
                <a:ext uri="{FF2B5EF4-FFF2-40B4-BE49-F238E27FC236}">
                  <a16:creationId xmlns:a16="http://schemas.microsoft.com/office/drawing/2014/main" id="{A3791951-2B79-4E99-8B63-0D72CE313BEA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9" name="TextBox 568">
              <a:extLst>
                <a:ext uri="{FF2B5EF4-FFF2-40B4-BE49-F238E27FC236}">
                  <a16:creationId xmlns:a16="http://schemas.microsoft.com/office/drawing/2014/main" id="{10E8A097-FAA3-4258-9DB2-CF2BB1BDB21B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69" name="TextBox 568">
              <a:extLst>
                <a:ext uri="{FF2B5EF4-FFF2-40B4-BE49-F238E27FC236}">
                  <a16:creationId xmlns:a16="http://schemas.microsoft.com/office/drawing/2014/main" id="{10E8A097-FAA3-4258-9DB2-CF2BB1BDB21B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0" name="TextBox 569">
              <a:extLst>
                <a:ext uri="{FF2B5EF4-FFF2-40B4-BE49-F238E27FC236}">
                  <a16:creationId xmlns:a16="http://schemas.microsoft.com/office/drawing/2014/main" id="{1995CA05-D45C-4785-B2B6-FF6F3AB65647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70" name="TextBox 569">
              <a:extLst>
                <a:ext uri="{FF2B5EF4-FFF2-40B4-BE49-F238E27FC236}">
                  <a16:creationId xmlns:a16="http://schemas.microsoft.com/office/drawing/2014/main" id="{1995CA05-D45C-4785-B2B6-FF6F3AB65647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1" name="TextBox 570">
              <a:extLst>
                <a:ext uri="{FF2B5EF4-FFF2-40B4-BE49-F238E27FC236}">
                  <a16:creationId xmlns:a16="http://schemas.microsoft.com/office/drawing/2014/main" id="{1123A32B-9E9C-42B2-83F1-A04652B0886A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71" name="TextBox 570">
              <a:extLst>
                <a:ext uri="{FF2B5EF4-FFF2-40B4-BE49-F238E27FC236}">
                  <a16:creationId xmlns:a16="http://schemas.microsoft.com/office/drawing/2014/main" id="{1123A32B-9E9C-42B2-83F1-A04652B0886A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124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2" name="TextBox 571">
              <a:extLst>
                <a:ext uri="{FF2B5EF4-FFF2-40B4-BE49-F238E27FC236}">
                  <a16:creationId xmlns:a16="http://schemas.microsoft.com/office/drawing/2014/main" id="{765D7CFF-1551-42EF-8830-AB1A4E71098D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72" name="TextBox 571">
              <a:extLst>
                <a:ext uri="{FF2B5EF4-FFF2-40B4-BE49-F238E27FC236}">
                  <a16:creationId xmlns:a16="http://schemas.microsoft.com/office/drawing/2014/main" id="{765D7CFF-1551-42EF-8830-AB1A4E71098D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3" name="TextBox 572">
              <a:extLst>
                <a:ext uri="{FF2B5EF4-FFF2-40B4-BE49-F238E27FC236}">
                  <a16:creationId xmlns:a16="http://schemas.microsoft.com/office/drawing/2014/main" id="{E38A9109-E582-433C-BC89-88DD8BAFD9F8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73" name="TextBox 572">
              <a:extLst>
                <a:ext uri="{FF2B5EF4-FFF2-40B4-BE49-F238E27FC236}">
                  <a16:creationId xmlns:a16="http://schemas.microsoft.com/office/drawing/2014/main" id="{E38A9109-E582-433C-BC89-88DD8BAFD9F8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4" name="TextBox 573">
              <a:extLst>
                <a:ext uri="{FF2B5EF4-FFF2-40B4-BE49-F238E27FC236}">
                  <a16:creationId xmlns:a16="http://schemas.microsoft.com/office/drawing/2014/main" id="{F64A8B9D-9969-4D3E-B0D1-F9A1F8C0D41B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74" name="TextBox 573">
              <a:extLst>
                <a:ext uri="{FF2B5EF4-FFF2-40B4-BE49-F238E27FC236}">
                  <a16:creationId xmlns:a16="http://schemas.microsoft.com/office/drawing/2014/main" id="{F64A8B9D-9969-4D3E-B0D1-F9A1F8C0D41B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5" name="TextBox 574">
              <a:extLst>
                <a:ext uri="{FF2B5EF4-FFF2-40B4-BE49-F238E27FC236}">
                  <a16:creationId xmlns:a16="http://schemas.microsoft.com/office/drawing/2014/main" id="{7EA711F0-B83E-4B34-89E2-675EE5B2F944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75" name="TextBox 574">
              <a:extLst>
                <a:ext uri="{FF2B5EF4-FFF2-40B4-BE49-F238E27FC236}">
                  <a16:creationId xmlns:a16="http://schemas.microsoft.com/office/drawing/2014/main" id="{7EA711F0-B83E-4B34-89E2-675EE5B2F944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6" name="TextBox 575">
              <a:extLst>
                <a:ext uri="{FF2B5EF4-FFF2-40B4-BE49-F238E27FC236}">
                  <a16:creationId xmlns:a16="http://schemas.microsoft.com/office/drawing/2014/main" id="{21816408-D900-4779-A094-8E9167629F06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76" name="TextBox 575">
              <a:extLst>
                <a:ext uri="{FF2B5EF4-FFF2-40B4-BE49-F238E27FC236}">
                  <a16:creationId xmlns:a16="http://schemas.microsoft.com/office/drawing/2014/main" id="{21816408-D900-4779-A094-8E9167629F06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7" name="TextBox 576">
              <a:extLst>
                <a:ext uri="{FF2B5EF4-FFF2-40B4-BE49-F238E27FC236}">
                  <a16:creationId xmlns:a16="http://schemas.microsoft.com/office/drawing/2014/main" id="{788821B1-D131-4813-B429-AF803DFE0E59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77" name="TextBox 576">
              <a:extLst>
                <a:ext uri="{FF2B5EF4-FFF2-40B4-BE49-F238E27FC236}">
                  <a16:creationId xmlns:a16="http://schemas.microsoft.com/office/drawing/2014/main" id="{788821B1-D131-4813-B429-AF803DFE0E59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8" name="TextBox 577">
              <a:extLst>
                <a:ext uri="{FF2B5EF4-FFF2-40B4-BE49-F238E27FC236}">
                  <a16:creationId xmlns:a16="http://schemas.microsoft.com/office/drawing/2014/main" id="{17757987-09D8-440F-920D-415A79A2F840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78" name="TextBox 577">
              <a:extLst>
                <a:ext uri="{FF2B5EF4-FFF2-40B4-BE49-F238E27FC236}">
                  <a16:creationId xmlns:a16="http://schemas.microsoft.com/office/drawing/2014/main" id="{17757987-09D8-440F-920D-415A79A2F840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9" name="TextBox 578">
              <a:extLst>
                <a:ext uri="{FF2B5EF4-FFF2-40B4-BE49-F238E27FC236}">
                  <a16:creationId xmlns:a16="http://schemas.microsoft.com/office/drawing/2014/main" id="{B82422A3-F5D1-4470-AF9C-4317D037E365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79" name="TextBox 578">
              <a:extLst>
                <a:ext uri="{FF2B5EF4-FFF2-40B4-BE49-F238E27FC236}">
                  <a16:creationId xmlns:a16="http://schemas.microsoft.com/office/drawing/2014/main" id="{B82422A3-F5D1-4470-AF9C-4317D037E365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0" name="TextBox 579">
              <a:extLst>
                <a:ext uri="{FF2B5EF4-FFF2-40B4-BE49-F238E27FC236}">
                  <a16:creationId xmlns:a16="http://schemas.microsoft.com/office/drawing/2014/main" id="{C9192E4A-9F00-47F9-8A40-CD847D2E3B95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80" name="TextBox 579">
              <a:extLst>
                <a:ext uri="{FF2B5EF4-FFF2-40B4-BE49-F238E27FC236}">
                  <a16:creationId xmlns:a16="http://schemas.microsoft.com/office/drawing/2014/main" id="{C9192E4A-9F00-47F9-8A40-CD847D2E3B95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1" name="TextBox 580">
              <a:extLst>
                <a:ext uri="{FF2B5EF4-FFF2-40B4-BE49-F238E27FC236}">
                  <a16:creationId xmlns:a16="http://schemas.microsoft.com/office/drawing/2014/main" id="{6C87B5FE-840D-4AE4-8517-076667466348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81" name="TextBox 580">
              <a:extLst>
                <a:ext uri="{FF2B5EF4-FFF2-40B4-BE49-F238E27FC236}">
                  <a16:creationId xmlns:a16="http://schemas.microsoft.com/office/drawing/2014/main" id="{6C87B5FE-840D-4AE4-8517-076667466348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124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2" name="TextBox 581">
              <a:extLst>
                <a:ext uri="{FF2B5EF4-FFF2-40B4-BE49-F238E27FC236}">
                  <a16:creationId xmlns:a16="http://schemas.microsoft.com/office/drawing/2014/main" id="{70516374-1136-48BB-B433-FDCDB1055DA2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82" name="TextBox 581">
              <a:extLst>
                <a:ext uri="{FF2B5EF4-FFF2-40B4-BE49-F238E27FC236}">
                  <a16:creationId xmlns:a16="http://schemas.microsoft.com/office/drawing/2014/main" id="{70516374-1136-48BB-B433-FDCDB1055DA2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3" name="TextBox 582">
              <a:extLst>
                <a:ext uri="{FF2B5EF4-FFF2-40B4-BE49-F238E27FC236}">
                  <a16:creationId xmlns:a16="http://schemas.microsoft.com/office/drawing/2014/main" id="{39BB28D7-0452-4539-8971-58A40DBD480C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83" name="TextBox 582">
              <a:extLst>
                <a:ext uri="{FF2B5EF4-FFF2-40B4-BE49-F238E27FC236}">
                  <a16:creationId xmlns:a16="http://schemas.microsoft.com/office/drawing/2014/main" id="{39BB28D7-0452-4539-8971-58A40DBD480C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4" name="TextBox 583">
              <a:extLst>
                <a:ext uri="{FF2B5EF4-FFF2-40B4-BE49-F238E27FC236}">
                  <a16:creationId xmlns:a16="http://schemas.microsoft.com/office/drawing/2014/main" id="{B1F8F1BE-E80D-41B0-99AA-C6FC4988D261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84" name="TextBox 583">
              <a:extLst>
                <a:ext uri="{FF2B5EF4-FFF2-40B4-BE49-F238E27FC236}">
                  <a16:creationId xmlns:a16="http://schemas.microsoft.com/office/drawing/2014/main" id="{B1F8F1BE-E80D-41B0-99AA-C6FC4988D261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5" name="TextBox 584">
              <a:extLst>
                <a:ext uri="{FF2B5EF4-FFF2-40B4-BE49-F238E27FC236}">
                  <a16:creationId xmlns:a16="http://schemas.microsoft.com/office/drawing/2014/main" id="{C21209FC-144F-4DEB-8D9A-23528D84AF6F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85" name="TextBox 584">
              <a:extLst>
                <a:ext uri="{FF2B5EF4-FFF2-40B4-BE49-F238E27FC236}">
                  <a16:creationId xmlns:a16="http://schemas.microsoft.com/office/drawing/2014/main" id="{C21209FC-144F-4DEB-8D9A-23528D84AF6F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6" name="TextBox 585">
              <a:extLst>
                <a:ext uri="{FF2B5EF4-FFF2-40B4-BE49-F238E27FC236}">
                  <a16:creationId xmlns:a16="http://schemas.microsoft.com/office/drawing/2014/main" id="{4EBEF7A2-32E8-4801-BAA1-473BF13EC96A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86" name="TextBox 585">
              <a:extLst>
                <a:ext uri="{FF2B5EF4-FFF2-40B4-BE49-F238E27FC236}">
                  <a16:creationId xmlns:a16="http://schemas.microsoft.com/office/drawing/2014/main" id="{4EBEF7A2-32E8-4801-BAA1-473BF13EC96A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7" name="TextBox 586">
              <a:extLst>
                <a:ext uri="{FF2B5EF4-FFF2-40B4-BE49-F238E27FC236}">
                  <a16:creationId xmlns:a16="http://schemas.microsoft.com/office/drawing/2014/main" id="{E72141C0-5371-4B1E-8C53-604BFB7D2729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87" name="TextBox 586">
              <a:extLst>
                <a:ext uri="{FF2B5EF4-FFF2-40B4-BE49-F238E27FC236}">
                  <a16:creationId xmlns:a16="http://schemas.microsoft.com/office/drawing/2014/main" id="{E72141C0-5371-4B1E-8C53-604BFB7D2729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8" name="TextBox 587">
              <a:extLst>
                <a:ext uri="{FF2B5EF4-FFF2-40B4-BE49-F238E27FC236}">
                  <a16:creationId xmlns:a16="http://schemas.microsoft.com/office/drawing/2014/main" id="{BCA5E5C1-7946-4D41-9D57-BC0240F9A1E9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88" name="TextBox 587">
              <a:extLst>
                <a:ext uri="{FF2B5EF4-FFF2-40B4-BE49-F238E27FC236}">
                  <a16:creationId xmlns:a16="http://schemas.microsoft.com/office/drawing/2014/main" id="{BCA5E5C1-7946-4D41-9D57-BC0240F9A1E9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9" name="TextBox 588">
              <a:extLst>
                <a:ext uri="{FF2B5EF4-FFF2-40B4-BE49-F238E27FC236}">
                  <a16:creationId xmlns:a16="http://schemas.microsoft.com/office/drawing/2014/main" id="{40BEC1B8-55B2-4506-979C-6AB003DB01DA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89" name="TextBox 588">
              <a:extLst>
                <a:ext uri="{FF2B5EF4-FFF2-40B4-BE49-F238E27FC236}">
                  <a16:creationId xmlns:a16="http://schemas.microsoft.com/office/drawing/2014/main" id="{40BEC1B8-55B2-4506-979C-6AB003DB01DA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0" name="TextBox 589">
              <a:extLst>
                <a:ext uri="{FF2B5EF4-FFF2-40B4-BE49-F238E27FC236}">
                  <a16:creationId xmlns:a16="http://schemas.microsoft.com/office/drawing/2014/main" id="{05DF646D-FF54-4506-8755-BA0800A62875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90" name="TextBox 589">
              <a:extLst>
                <a:ext uri="{FF2B5EF4-FFF2-40B4-BE49-F238E27FC236}">
                  <a16:creationId xmlns:a16="http://schemas.microsoft.com/office/drawing/2014/main" id="{05DF646D-FF54-4506-8755-BA0800A62875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1" name="TextBox 590">
              <a:extLst>
                <a:ext uri="{FF2B5EF4-FFF2-40B4-BE49-F238E27FC236}">
                  <a16:creationId xmlns:a16="http://schemas.microsoft.com/office/drawing/2014/main" id="{57F97237-1128-4A66-B109-89EAAC6A8CE7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91" name="TextBox 590">
              <a:extLst>
                <a:ext uri="{FF2B5EF4-FFF2-40B4-BE49-F238E27FC236}">
                  <a16:creationId xmlns:a16="http://schemas.microsoft.com/office/drawing/2014/main" id="{57F97237-1128-4A66-B109-89EAAC6A8CE7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124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2" name="TextBox 591">
              <a:extLst>
                <a:ext uri="{FF2B5EF4-FFF2-40B4-BE49-F238E27FC236}">
                  <a16:creationId xmlns:a16="http://schemas.microsoft.com/office/drawing/2014/main" id="{1DACCEAB-5230-464C-B8A5-B5F11FC4ADAF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92" name="TextBox 591">
              <a:extLst>
                <a:ext uri="{FF2B5EF4-FFF2-40B4-BE49-F238E27FC236}">
                  <a16:creationId xmlns:a16="http://schemas.microsoft.com/office/drawing/2014/main" id="{1DACCEAB-5230-464C-B8A5-B5F11FC4ADAF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3" name="TextBox 592">
              <a:extLst>
                <a:ext uri="{FF2B5EF4-FFF2-40B4-BE49-F238E27FC236}">
                  <a16:creationId xmlns:a16="http://schemas.microsoft.com/office/drawing/2014/main" id="{F46DF502-B244-4EBB-9892-A193FD2ED66C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93" name="TextBox 592">
              <a:extLst>
                <a:ext uri="{FF2B5EF4-FFF2-40B4-BE49-F238E27FC236}">
                  <a16:creationId xmlns:a16="http://schemas.microsoft.com/office/drawing/2014/main" id="{F46DF502-B244-4EBB-9892-A193FD2ED66C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4" name="TextBox 593">
              <a:extLst>
                <a:ext uri="{FF2B5EF4-FFF2-40B4-BE49-F238E27FC236}">
                  <a16:creationId xmlns:a16="http://schemas.microsoft.com/office/drawing/2014/main" id="{5D1360AE-5015-415A-B299-656B78DAD73C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94" name="TextBox 593">
              <a:extLst>
                <a:ext uri="{FF2B5EF4-FFF2-40B4-BE49-F238E27FC236}">
                  <a16:creationId xmlns:a16="http://schemas.microsoft.com/office/drawing/2014/main" id="{5D1360AE-5015-415A-B299-656B78DAD73C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5" name="TextBox 594">
              <a:extLst>
                <a:ext uri="{FF2B5EF4-FFF2-40B4-BE49-F238E27FC236}">
                  <a16:creationId xmlns:a16="http://schemas.microsoft.com/office/drawing/2014/main" id="{AB7F9AA0-1DE8-4E75-BB33-82082E358DB9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95" name="TextBox 594">
              <a:extLst>
                <a:ext uri="{FF2B5EF4-FFF2-40B4-BE49-F238E27FC236}">
                  <a16:creationId xmlns:a16="http://schemas.microsoft.com/office/drawing/2014/main" id="{AB7F9AA0-1DE8-4E75-BB33-82082E358DB9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6" name="TextBox 595">
              <a:extLst>
                <a:ext uri="{FF2B5EF4-FFF2-40B4-BE49-F238E27FC236}">
                  <a16:creationId xmlns:a16="http://schemas.microsoft.com/office/drawing/2014/main" id="{E9ED25B1-7937-47F2-AB24-1230C7E5DA55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96" name="TextBox 595">
              <a:extLst>
                <a:ext uri="{FF2B5EF4-FFF2-40B4-BE49-F238E27FC236}">
                  <a16:creationId xmlns:a16="http://schemas.microsoft.com/office/drawing/2014/main" id="{E9ED25B1-7937-47F2-AB24-1230C7E5DA55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7" name="TextBox 596">
              <a:extLst>
                <a:ext uri="{FF2B5EF4-FFF2-40B4-BE49-F238E27FC236}">
                  <a16:creationId xmlns:a16="http://schemas.microsoft.com/office/drawing/2014/main" id="{0A57A124-A819-4F5D-82B9-F3C14027B264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97" name="TextBox 596">
              <a:extLst>
                <a:ext uri="{FF2B5EF4-FFF2-40B4-BE49-F238E27FC236}">
                  <a16:creationId xmlns:a16="http://schemas.microsoft.com/office/drawing/2014/main" id="{0A57A124-A819-4F5D-82B9-F3C14027B264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8" name="TextBox 597">
              <a:extLst>
                <a:ext uri="{FF2B5EF4-FFF2-40B4-BE49-F238E27FC236}">
                  <a16:creationId xmlns:a16="http://schemas.microsoft.com/office/drawing/2014/main" id="{B7BDA1B3-3414-4943-A93A-20E119F03CB2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98" name="TextBox 597">
              <a:extLst>
                <a:ext uri="{FF2B5EF4-FFF2-40B4-BE49-F238E27FC236}">
                  <a16:creationId xmlns:a16="http://schemas.microsoft.com/office/drawing/2014/main" id="{B7BDA1B3-3414-4943-A93A-20E119F03CB2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9" name="TextBox 598">
              <a:extLst>
                <a:ext uri="{FF2B5EF4-FFF2-40B4-BE49-F238E27FC236}">
                  <a16:creationId xmlns:a16="http://schemas.microsoft.com/office/drawing/2014/main" id="{737918C0-4540-45CC-8316-B3CF35B00B9E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99" name="TextBox 598">
              <a:extLst>
                <a:ext uri="{FF2B5EF4-FFF2-40B4-BE49-F238E27FC236}">
                  <a16:creationId xmlns:a16="http://schemas.microsoft.com/office/drawing/2014/main" id="{737918C0-4540-45CC-8316-B3CF35B00B9E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0" name="TextBox 599">
              <a:extLst>
                <a:ext uri="{FF2B5EF4-FFF2-40B4-BE49-F238E27FC236}">
                  <a16:creationId xmlns:a16="http://schemas.microsoft.com/office/drawing/2014/main" id="{E8DC87F4-5DFF-4FAD-A824-A8A1DEBA5BB1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00" name="TextBox 599">
              <a:extLst>
                <a:ext uri="{FF2B5EF4-FFF2-40B4-BE49-F238E27FC236}">
                  <a16:creationId xmlns:a16="http://schemas.microsoft.com/office/drawing/2014/main" id="{E8DC87F4-5DFF-4FAD-A824-A8A1DEBA5BB1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1" name="TextBox 600">
              <a:extLst>
                <a:ext uri="{FF2B5EF4-FFF2-40B4-BE49-F238E27FC236}">
                  <a16:creationId xmlns:a16="http://schemas.microsoft.com/office/drawing/2014/main" id="{502CB6FA-3643-4AF2-A49E-76BE8B75962F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01" name="TextBox 600">
              <a:extLst>
                <a:ext uri="{FF2B5EF4-FFF2-40B4-BE49-F238E27FC236}">
                  <a16:creationId xmlns:a16="http://schemas.microsoft.com/office/drawing/2014/main" id="{502CB6FA-3643-4AF2-A49E-76BE8B75962F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124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2" name="TextBox 601">
              <a:extLst>
                <a:ext uri="{FF2B5EF4-FFF2-40B4-BE49-F238E27FC236}">
                  <a16:creationId xmlns:a16="http://schemas.microsoft.com/office/drawing/2014/main" id="{156C97A2-58FB-4C8A-A350-0873424C350F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02" name="TextBox 601">
              <a:extLst>
                <a:ext uri="{FF2B5EF4-FFF2-40B4-BE49-F238E27FC236}">
                  <a16:creationId xmlns:a16="http://schemas.microsoft.com/office/drawing/2014/main" id="{156C97A2-58FB-4C8A-A350-0873424C350F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3" name="TextBox 602">
              <a:extLst>
                <a:ext uri="{FF2B5EF4-FFF2-40B4-BE49-F238E27FC236}">
                  <a16:creationId xmlns:a16="http://schemas.microsoft.com/office/drawing/2014/main" id="{D8739296-9F5F-4FFE-8A56-13ABB9A4CA4D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03" name="TextBox 602">
              <a:extLst>
                <a:ext uri="{FF2B5EF4-FFF2-40B4-BE49-F238E27FC236}">
                  <a16:creationId xmlns:a16="http://schemas.microsoft.com/office/drawing/2014/main" id="{D8739296-9F5F-4FFE-8A56-13ABB9A4CA4D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4" name="TextBox 603">
              <a:extLst>
                <a:ext uri="{FF2B5EF4-FFF2-40B4-BE49-F238E27FC236}">
                  <a16:creationId xmlns:a16="http://schemas.microsoft.com/office/drawing/2014/main" id="{91240092-8CCE-439C-8112-0A9137BC5220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04" name="TextBox 603">
              <a:extLst>
                <a:ext uri="{FF2B5EF4-FFF2-40B4-BE49-F238E27FC236}">
                  <a16:creationId xmlns:a16="http://schemas.microsoft.com/office/drawing/2014/main" id="{91240092-8CCE-439C-8112-0A9137BC5220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5" name="TextBox 604">
              <a:extLst>
                <a:ext uri="{FF2B5EF4-FFF2-40B4-BE49-F238E27FC236}">
                  <a16:creationId xmlns:a16="http://schemas.microsoft.com/office/drawing/2014/main" id="{34781157-BD11-46BE-8005-BAEC332CBDA8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05" name="TextBox 604">
              <a:extLst>
                <a:ext uri="{FF2B5EF4-FFF2-40B4-BE49-F238E27FC236}">
                  <a16:creationId xmlns:a16="http://schemas.microsoft.com/office/drawing/2014/main" id="{34781157-BD11-46BE-8005-BAEC332CBDA8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6" name="TextBox 605">
              <a:extLst>
                <a:ext uri="{FF2B5EF4-FFF2-40B4-BE49-F238E27FC236}">
                  <a16:creationId xmlns:a16="http://schemas.microsoft.com/office/drawing/2014/main" id="{649FE9BD-6EB5-4252-9BBD-989AA29CED29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06" name="TextBox 605">
              <a:extLst>
                <a:ext uri="{FF2B5EF4-FFF2-40B4-BE49-F238E27FC236}">
                  <a16:creationId xmlns:a16="http://schemas.microsoft.com/office/drawing/2014/main" id="{649FE9BD-6EB5-4252-9BBD-989AA29CED29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7" name="TextBox 606">
              <a:extLst>
                <a:ext uri="{FF2B5EF4-FFF2-40B4-BE49-F238E27FC236}">
                  <a16:creationId xmlns:a16="http://schemas.microsoft.com/office/drawing/2014/main" id="{8D097393-698B-4BEB-904A-35391338CEEC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07" name="TextBox 606">
              <a:extLst>
                <a:ext uri="{FF2B5EF4-FFF2-40B4-BE49-F238E27FC236}">
                  <a16:creationId xmlns:a16="http://schemas.microsoft.com/office/drawing/2014/main" id="{8D097393-698B-4BEB-904A-35391338CEEC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8" name="TextBox 607">
              <a:extLst>
                <a:ext uri="{FF2B5EF4-FFF2-40B4-BE49-F238E27FC236}">
                  <a16:creationId xmlns:a16="http://schemas.microsoft.com/office/drawing/2014/main" id="{455A6E2C-2436-4723-9F50-43341B94E1B3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08" name="TextBox 607">
              <a:extLst>
                <a:ext uri="{FF2B5EF4-FFF2-40B4-BE49-F238E27FC236}">
                  <a16:creationId xmlns:a16="http://schemas.microsoft.com/office/drawing/2014/main" id="{455A6E2C-2436-4723-9F50-43341B94E1B3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9" name="TextBox 608">
              <a:extLst>
                <a:ext uri="{FF2B5EF4-FFF2-40B4-BE49-F238E27FC236}">
                  <a16:creationId xmlns:a16="http://schemas.microsoft.com/office/drawing/2014/main" id="{7E7CDDDC-1911-4FCA-841C-673EAAE9EF65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09" name="TextBox 608">
              <a:extLst>
                <a:ext uri="{FF2B5EF4-FFF2-40B4-BE49-F238E27FC236}">
                  <a16:creationId xmlns:a16="http://schemas.microsoft.com/office/drawing/2014/main" id="{7E7CDDDC-1911-4FCA-841C-673EAAE9EF65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0" name="TextBox 609">
              <a:extLst>
                <a:ext uri="{FF2B5EF4-FFF2-40B4-BE49-F238E27FC236}">
                  <a16:creationId xmlns:a16="http://schemas.microsoft.com/office/drawing/2014/main" id="{5D0B8E2F-83BF-4A88-85DA-72E5279B5EFD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0" name="TextBox 609">
              <a:extLst>
                <a:ext uri="{FF2B5EF4-FFF2-40B4-BE49-F238E27FC236}">
                  <a16:creationId xmlns:a16="http://schemas.microsoft.com/office/drawing/2014/main" id="{5D0B8E2F-83BF-4A88-85DA-72E5279B5EFD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1" name="TextBox 610">
              <a:extLst>
                <a:ext uri="{FF2B5EF4-FFF2-40B4-BE49-F238E27FC236}">
                  <a16:creationId xmlns:a16="http://schemas.microsoft.com/office/drawing/2014/main" id="{7FC45FD2-8FE0-4F5F-AFCE-5D727E62B0B1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1" name="TextBox 610">
              <a:extLst>
                <a:ext uri="{FF2B5EF4-FFF2-40B4-BE49-F238E27FC236}">
                  <a16:creationId xmlns:a16="http://schemas.microsoft.com/office/drawing/2014/main" id="{7FC45FD2-8FE0-4F5F-AFCE-5D727E62B0B1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124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2" name="TextBox 611">
              <a:extLst>
                <a:ext uri="{FF2B5EF4-FFF2-40B4-BE49-F238E27FC236}">
                  <a16:creationId xmlns:a16="http://schemas.microsoft.com/office/drawing/2014/main" id="{AAAFDDA7-3591-4491-91C3-842B6DA6CFDD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2" name="TextBox 611">
              <a:extLst>
                <a:ext uri="{FF2B5EF4-FFF2-40B4-BE49-F238E27FC236}">
                  <a16:creationId xmlns:a16="http://schemas.microsoft.com/office/drawing/2014/main" id="{AAAFDDA7-3591-4491-91C3-842B6DA6CFDD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3" name="TextBox 612">
              <a:extLst>
                <a:ext uri="{FF2B5EF4-FFF2-40B4-BE49-F238E27FC236}">
                  <a16:creationId xmlns:a16="http://schemas.microsoft.com/office/drawing/2014/main" id="{6BEEDA16-C9D0-44D0-9CBB-25C638DDF4B7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3" name="TextBox 612">
              <a:extLst>
                <a:ext uri="{FF2B5EF4-FFF2-40B4-BE49-F238E27FC236}">
                  <a16:creationId xmlns:a16="http://schemas.microsoft.com/office/drawing/2014/main" id="{6BEEDA16-C9D0-44D0-9CBB-25C638DDF4B7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4" name="TextBox 613">
              <a:extLst>
                <a:ext uri="{FF2B5EF4-FFF2-40B4-BE49-F238E27FC236}">
                  <a16:creationId xmlns:a16="http://schemas.microsoft.com/office/drawing/2014/main" id="{9E1FAB16-4397-48C0-9222-9ADAC71549E2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4" name="TextBox 613">
              <a:extLst>
                <a:ext uri="{FF2B5EF4-FFF2-40B4-BE49-F238E27FC236}">
                  <a16:creationId xmlns:a16="http://schemas.microsoft.com/office/drawing/2014/main" id="{9E1FAB16-4397-48C0-9222-9ADAC71549E2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5" name="TextBox 614">
              <a:extLst>
                <a:ext uri="{FF2B5EF4-FFF2-40B4-BE49-F238E27FC236}">
                  <a16:creationId xmlns:a16="http://schemas.microsoft.com/office/drawing/2014/main" id="{77CB546A-548E-49CA-9D04-EF46004E079A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5" name="TextBox 614">
              <a:extLst>
                <a:ext uri="{FF2B5EF4-FFF2-40B4-BE49-F238E27FC236}">
                  <a16:creationId xmlns:a16="http://schemas.microsoft.com/office/drawing/2014/main" id="{77CB546A-548E-49CA-9D04-EF46004E079A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6" name="TextBox 615">
              <a:extLst>
                <a:ext uri="{FF2B5EF4-FFF2-40B4-BE49-F238E27FC236}">
                  <a16:creationId xmlns:a16="http://schemas.microsoft.com/office/drawing/2014/main" id="{978885DB-63A1-4590-80C3-3FD8E88356B1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6" name="TextBox 615">
              <a:extLst>
                <a:ext uri="{FF2B5EF4-FFF2-40B4-BE49-F238E27FC236}">
                  <a16:creationId xmlns:a16="http://schemas.microsoft.com/office/drawing/2014/main" id="{978885DB-63A1-4590-80C3-3FD8E88356B1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7" name="TextBox 616">
              <a:extLst>
                <a:ext uri="{FF2B5EF4-FFF2-40B4-BE49-F238E27FC236}">
                  <a16:creationId xmlns:a16="http://schemas.microsoft.com/office/drawing/2014/main" id="{68B0EDCD-EE17-4FB6-BC02-05E5DC6A0A95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7" name="TextBox 616">
              <a:extLst>
                <a:ext uri="{FF2B5EF4-FFF2-40B4-BE49-F238E27FC236}">
                  <a16:creationId xmlns:a16="http://schemas.microsoft.com/office/drawing/2014/main" id="{68B0EDCD-EE17-4FB6-BC02-05E5DC6A0A95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8" name="TextBox 617">
              <a:extLst>
                <a:ext uri="{FF2B5EF4-FFF2-40B4-BE49-F238E27FC236}">
                  <a16:creationId xmlns:a16="http://schemas.microsoft.com/office/drawing/2014/main" id="{77DC5CED-337B-4810-B74B-58ED9C343BA7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8" name="TextBox 617">
              <a:extLst>
                <a:ext uri="{FF2B5EF4-FFF2-40B4-BE49-F238E27FC236}">
                  <a16:creationId xmlns:a16="http://schemas.microsoft.com/office/drawing/2014/main" id="{77DC5CED-337B-4810-B74B-58ED9C343BA7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9" name="TextBox 618">
              <a:extLst>
                <a:ext uri="{FF2B5EF4-FFF2-40B4-BE49-F238E27FC236}">
                  <a16:creationId xmlns:a16="http://schemas.microsoft.com/office/drawing/2014/main" id="{EB7F240E-FED1-45FE-907F-37F5B8C66CB9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9" name="TextBox 618">
              <a:extLst>
                <a:ext uri="{FF2B5EF4-FFF2-40B4-BE49-F238E27FC236}">
                  <a16:creationId xmlns:a16="http://schemas.microsoft.com/office/drawing/2014/main" id="{EB7F240E-FED1-45FE-907F-37F5B8C66CB9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0" name="TextBox 619">
              <a:extLst>
                <a:ext uri="{FF2B5EF4-FFF2-40B4-BE49-F238E27FC236}">
                  <a16:creationId xmlns:a16="http://schemas.microsoft.com/office/drawing/2014/main" id="{A6FEF38F-3BCA-4EA0-AB60-44DF4B409F6B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20" name="TextBox 619">
              <a:extLst>
                <a:ext uri="{FF2B5EF4-FFF2-40B4-BE49-F238E27FC236}">
                  <a16:creationId xmlns:a16="http://schemas.microsoft.com/office/drawing/2014/main" id="{A6FEF38F-3BCA-4EA0-AB60-44DF4B409F6B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1" name="TextBox 620">
              <a:extLst>
                <a:ext uri="{FF2B5EF4-FFF2-40B4-BE49-F238E27FC236}">
                  <a16:creationId xmlns:a16="http://schemas.microsoft.com/office/drawing/2014/main" id="{4FBA6130-1620-4A55-967A-E229C06D4C1C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21" name="TextBox 620">
              <a:extLst>
                <a:ext uri="{FF2B5EF4-FFF2-40B4-BE49-F238E27FC236}">
                  <a16:creationId xmlns:a16="http://schemas.microsoft.com/office/drawing/2014/main" id="{4FBA6130-1620-4A55-967A-E229C06D4C1C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124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2" name="TextBox 621">
              <a:extLst>
                <a:ext uri="{FF2B5EF4-FFF2-40B4-BE49-F238E27FC236}">
                  <a16:creationId xmlns:a16="http://schemas.microsoft.com/office/drawing/2014/main" id="{D9553E08-E30F-4A5C-AA5A-29746E2386F3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22" name="TextBox 621">
              <a:extLst>
                <a:ext uri="{FF2B5EF4-FFF2-40B4-BE49-F238E27FC236}">
                  <a16:creationId xmlns:a16="http://schemas.microsoft.com/office/drawing/2014/main" id="{D9553E08-E30F-4A5C-AA5A-29746E2386F3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3" name="TextBox 622">
              <a:extLst>
                <a:ext uri="{FF2B5EF4-FFF2-40B4-BE49-F238E27FC236}">
                  <a16:creationId xmlns:a16="http://schemas.microsoft.com/office/drawing/2014/main" id="{C6E19AF9-CB47-412F-BC6E-AD28BEA31420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23" name="TextBox 622">
              <a:extLst>
                <a:ext uri="{FF2B5EF4-FFF2-40B4-BE49-F238E27FC236}">
                  <a16:creationId xmlns:a16="http://schemas.microsoft.com/office/drawing/2014/main" id="{C6E19AF9-CB47-412F-BC6E-AD28BEA31420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4" name="TextBox 623">
              <a:extLst>
                <a:ext uri="{FF2B5EF4-FFF2-40B4-BE49-F238E27FC236}">
                  <a16:creationId xmlns:a16="http://schemas.microsoft.com/office/drawing/2014/main" id="{0B9761B7-1A64-43FF-8B5C-24BB800B47DF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24" name="TextBox 623">
              <a:extLst>
                <a:ext uri="{FF2B5EF4-FFF2-40B4-BE49-F238E27FC236}">
                  <a16:creationId xmlns:a16="http://schemas.microsoft.com/office/drawing/2014/main" id="{0B9761B7-1A64-43FF-8B5C-24BB800B47DF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5" name="TextBox 624">
              <a:extLst>
                <a:ext uri="{FF2B5EF4-FFF2-40B4-BE49-F238E27FC236}">
                  <a16:creationId xmlns:a16="http://schemas.microsoft.com/office/drawing/2014/main" id="{C6AE02ED-CA5F-4CA6-BE60-D6A96D75731A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25" name="TextBox 624">
              <a:extLst>
                <a:ext uri="{FF2B5EF4-FFF2-40B4-BE49-F238E27FC236}">
                  <a16:creationId xmlns:a16="http://schemas.microsoft.com/office/drawing/2014/main" id="{C6AE02ED-CA5F-4CA6-BE60-D6A96D75731A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6" name="TextBox 625">
              <a:extLst>
                <a:ext uri="{FF2B5EF4-FFF2-40B4-BE49-F238E27FC236}">
                  <a16:creationId xmlns:a16="http://schemas.microsoft.com/office/drawing/2014/main" id="{2ED0359C-6EE1-4B5C-8A7F-E7DC80165F77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26" name="TextBox 625">
              <a:extLst>
                <a:ext uri="{FF2B5EF4-FFF2-40B4-BE49-F238E27FC236}">
                  <a16:creationId xmlns:a16="http://schemas.microsoft.com/office/drawing/2014/main" id="{2ED0359C-6EE1-4B5C-8A7F-E7DC80165F77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7" name="TextBox 626">
              <a:extLst>
                <a:ext uri="{FF2B5EF4-FFF2-40B4-BE49-F238E27FC236}">
                  <a16:creationId xmlns:a16="http://schemas.microsoft.com/office/drawing/2014/main" id="{8321F31B-281A-4EAB-A6F6-6369902850C1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27" name="TextBox 626">
              <a:extLst>
                <a:ext uri="{FF2B5EF4-FFF2-40B4-BE49-F238E27FC236}">
                  <a16:creationId xmlns:a16="http://schemas.microsoft.com/office/drawing/2014/main" id="{8321F31B-281A-4EAB-A6F6-6369902850C1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8" name="TextBox 627">
              <a:extLst>
                <a:ext uri="{FF2B5EF4-FFF2-40B4-BE49-F238E27FC236}">
                  <a16:creationId xmlns:a16="http://schemas.microsoft.com/office/drawing/2014/main" id="{3854B4AF-CCC3-4419-A461-919ECBEA7AD2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28" name="TextBox 627">
              <a:extLst>
                <a:ext uri="{FF2B5EF4-FFF2-40B4-BE49-F238E27FC236}">
                  <a16:creationId xmlns:a16="http://schemas.microsoft.com/office/drawing/2014/main" id="{3854B4AF-CCC3-4419-A461-919ECBEA7AD2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9" name="TextBox 628">
              <a:extLst>
                <a:ext uri="{FF2B5EF4-FFF2-40B4-BE49-F238E27FC236}">
                  <a16:creationId xmlns:a16="http://schemas.microsoft.com/office/drawing/2014/main" id="{33015665-BB6E-4EE7-8363-7BABC635E1AE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29" name="TextBox 628">
              <a:extLst>
                <a:ext uri="{FF2B5EF4-FFF2-40B4-BE49-F238E27FC236}">
                  <a16:creationId xmlns:a16="http://schemas.microsoft.com/office/drawing/2014/main" id="{33015665-BB6E-4EE7-8363-7BABC635E1AE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0" name="TextBox 629">
              <a:extLst>
                <a:ext uri="{FF2B5EF4-FFF2-40B4-BE49-F238E27FC236}">
                  <a16:creationId xmlns:a16="http://schemas.microsoft.com/office/drawing/2014/main" id="{B2A64CA9-1D55-4E0F-8553-B55529D07774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30" name="TextBox 629">
              <a:extLst>
                <a:ext uri="{FF2B5EF4-FFF2-40B4-BE49-F238E27FC236}">
                  <a16:creationId xmlns:a16="http://schemas.microsoft.com/office/drawing/2014/main" id="{B2A64CA9-1D55-4E0F-8553-B55529D07774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1" name="TextBox 630">
              <a:extLst>
                <a:ext uri="{FF2B5EF4-FFF2-40B4-BE49-F238E27FC236}">
                  <a16:creationId xmlns:a16="http://schemas.microsoft.com/office/drawing/2014/main" id="{80A796F9-D8D6-4C86-99C9-32FFDA704757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31" name="TextBox 630">
              <a:extLst>
                <a:ext uri="{FF2B5EF4-FFF2-40B4-BE49-F238E27FC236}">
                  <a16:creationId xmlns:a16="http://schemas.microsoft.com/office/drawing/2014/main" id="{80A796F9-D8D6-4C86-99C9-32FFDA704757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124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2" name="TextBox 631">
              <a:extLst>
                <a:ext uri="{FF2B5EF4-FFF2-40B4-BE49-F238E27FC236}">
                  <a16:creationId xmlns:a16="http://schemas.microsoft.com/office/drawing/2014/main" id="{F3B5101F-4847-4FF3-B403-CE7B320279D7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32" name="TextBox 631">
              <a:extLst>
                <a:ext uri="{FF2B5EF4-FFF2-40B4-BE49-F238E27FC236}">
                  <a16:creationId xmlns:a16="http://schemas.microsoft.com/office/drawing/2014/main" id="{F3B5101F-4847-4FF3-B403-CE7B320279D7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3" name="TextBox 632">
              <a:extLst>
                <a:ext uri="{FF2B5EF4-FFF2-40B4-BE49-F238E27FC236}">
                  <a16:creationId xmlns:a16="http://schemas.microsoft.com/office/drawing/2014/main" id="{20128561-EE3F-47F9-8B83-71174B8AE975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33" name="TextBox 632">
              <a:extLst>
                <a:ext uri="{FF2B5EF4-FFF2-40B4-BE49-F238E27FC236}">
                  <a16:creationId xmlns:a16="http://schemas.microsoft.com/office/drawing/2014/main" id="{20128561-EE3F-47F9-8B83-71174B8AE975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4" name="TextBox 633">
              <a:extLst>
                <a:ext uri="{FF2B5EF4-FFF2-40B4-BE49-F238E27FC236}">
                  <a16:creationId xmlns:a16="http://schemas.microsoft.com/office/drawing/2014/main" id="{1F9A1C34-F9A1-4169-BD23-5B10988EE8C0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34" name="TextBox 633">
              <a:extLst>
                <a:ext uri="{FF2B5EF4-FFF2-40B4-BE49-F238E27FC236}">
                  <a16:creationId xmlns:a16="http://schemas.microsoft.com/office/drawing/2014/main" id="{1F9A1C34-F9A1-4169-BD23-5B10988EE8C0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5" name="TextBox 634">
              <a:extLst>
                <a:ext uri="{FF2B5EF4-FFF2-40B4-BE49-F238E27FC236}">
                  <a16:creationId xmlns:a16="http://schemas.microsoft.com/office/drawing/2014/main" id="{4FFDCA18-4444-4C60-9ED8-E581F461C5B6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35" name="TextBox 634">
              <a:extLst>
                <a:ext uri="{FF2B5EF4-FFF2-40B4-BE49-F238E27FC236}">
                  <a16:creationId xmlns:a16="http://schemas.microsoft.com/office/drawing/2014/main" id="{4FFDCA18-4444-4C60-9ED8-E581F461C5B6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6" name="TextBox 635">
              <a:extLst>
                <a:ext uri="{FF2B5EF4-FFF2-40B4-BE49-F238E27FC236}">
                  <a16:creationId xmlns:a16="http://schemas.microsoft.com/office/drawing/2014/main" id="{D797ED70-B46F-4AE5-86A0-B5E175F9A8A7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36" name="TextBox 635">
              <a:extLst>
                <a:ext uri="{FF2B5EF4-FFF2-40B4-BE49-F238E27FC236}">
                  <a16:creationId xmlns:a16="http://schemas.microsoft.com/office/drawing/2014/main" id="{D797ED70-B46F-4AE5-86A0-B5E175F9A8A7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7" name="TextBox 636">
              <a:extLst>
                <a:ext uri="{FF2B5EF4-FFF2-40B4-BE49-F238E27FC236}">
                  <a16:creationId xmlns:a16="http://schemas.microsoft.com/office/drawing/2014/main" id="{CC17F8D6-35B1-4088-B6A3-FEE2F8C4E1B0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37" name="TextBox 636">
              <a:extLst>
                <a:ext uri="{FF2B5EF4-FFF2-40B4-BE49-F238E27FC236}">
                  <a16:creationId xmlns:a16="http://schemas.microsoft.com/office/drawing/2014/main" id="{CC17F8D6-35B1-4088-B6A3-FEE2F8C4E1B0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8" name="TextBox 637">
              <a:extLst>
                <a:ext uri="{FF2B5EF4-FFF2-40B4-BE49-F238E27FC236}">
                  <a16:creationId xmlns:a16="http://schemas.microsoft.com/office/drawing/2014/main" id="{4EED4235-4A28-43D1-9773-F2BDE6DA9636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38" name="TextBox 637">
              <a:extLst>
                <a:ext uri="{FF2B5EF4-FFF2-40B4-BE49-F238E27FC236}">
                  <a16:creationId xmlns:a16="http://schemas.microsoft.com/office/drawing/2014/main" id="{4EED4235-4A28-43D1-9773-F2BDE6DA9636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9" name="TextBox 638">
              <a:extLst>
                <a:ext uri="{FF2B5EF4-FFF2-40B4-BE49-F238E27FC236}">
                  <a16:creationId xmlns:a16="http://schemas.microsoft.com/office/drawing/2014/main" id="{E8A0197B-CB1B-40A8-8DDD-ECC500261782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39" name="TextBox 638">
              <a:extLst>
                <a:ext uri="{FF2B5EF4-FFF2-40B4-BE49-F238E27FC236}">
                  <a16:creationId xmlns:a16="http://schemas.microsoft.com/office/drawing/2014/main" id="{E8A0197B-CB1B-40A8-8DDD-ECC500261782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0" name="TextBox 639">
              <a:extLst>
                <a:ext uri="{FF2B5EF4-FFF2-40B4-BE49-F238E27FC236}">
                  <a16:creationId xmlns:a16="http://schemas.microsoft.com/office/drawing/2014/main" id="{B18EDB14-B5AF-4184-A158-9975BA6F2FB5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40" name="TextBox 639">
              <a:extLst>
                <a:ext uri="{FF2B5EF4-FFF2-40B4-BE49-F238E27FC236}">
                  <a16:creationId xmlns:a16="http://schemas.microsoft.com/office/drawing/2014/main" id="{B18EDB14-B5AF-4184-A158-9975BA6F2FB5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1" name="TextBox 640">
              <a:extLst>
                <a:ext uri="{FF2B5EF4-FFF2-40B4-BE49-F238E27FC236}">
                  <a16:creationId xmlns:a16="http://schemas.microsoft.com/office/drawing/2014/main" id="{B8358A91-FA91-460A-84BB-79803A57024A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41" name="TextBox 640">
              <a:extLst>
                <a:ext uri="{FF2B5EF4-FFF2-40B4-BE49-F238E27FC236}">
                  <a16:creationId xmlns:a16="http://schemas.microsoft.com/office/drawing/2014/main" id="{B8358A91-FA91-460A-84BB-79803A57024A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124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2" name="TextBox 641">
              <a:extLst>
                <a:ext uri="{FF2B5EF4-FFF2-40B4-BE49-F238E27FC236}">
                  <a16:creationId xmlns:a16="http://schemas.microsoft.com/office/drawing/2014/main" id="{936CD2C6-1117-4F09-BB35-C104CBCB2F1E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42" name="TextBox 641">
              <a:extLst>
                <a:ext uri="{FF2B5EF4-FFF2-40B4-BE49-F238E27FC236}">
                  <a16:creationId xmlns:a16="http://schemas.microsoft.com/office/drawing/2014/main" id="{936CD2C6-1117-4F09-BB35-C104CBCB2F1E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3" name="TextBox 642">
              <a:extLst>
                <a:ext uri="{FF2B5EF4-FFF2-40B4-BE49-F238E27FC236}">
                  <a16:creationId xmlns:a16="http://schemas.microsoft.com/office/drawing/2014/main" id="{97B33E57-ACE8-4F12-A95D-523F656072BF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43" name="TextBox 642">
              <a:extLst>
                <a:ext uri="{FF2B5EF4-FFF2-40B4-BE49-F238E27FC236}">
                  <a16:creationId xmlns:a16="http://schemas.microsoft.com/office/drawing/2014/main" id="{97B33E57-ACE8-4F12-A95D-523F656072BF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4" name="TextBox 643">
              <a:extLst>
                <a:ext uri="{FF2B5EF4-FFF2-40B4-BE49-F238E27FC236}">
                  <a16:creationId xmlns:a16="http://schemas.microsoft.com/office/drawing/2014/main" id="{5225FF51-D726-4866-A944-8703646C23CE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44" name="TextBox 643">
              <a:extLst>
                <a:ext uri="{FF2B5EF4-FFF2-40B4-BE49-F238E27FC236}">
                  <a16:creationId xmlns:a16="http://schemas.microsoft.com/office/drawing/2014/main" id="{5225FF51-D726-4866-A944-8703646C23CE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5" name="TextBox 644">
              <a:extLst>
                <a:ext uri="{FF2B5EF4-FFF2-40B4-BE49-F238E27FC236}">
                  <a16:creationId xmlns:a16="http://schemas.microsoft.com/office/drawing/2014/main" id="{2D8FE79C-F3F1-4FE4-9711-88EC2B9A0BBF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45" name="TextBox 644">
              <a:extLst>
                <a:ext uri="{FF2B5EF4-FFF2-40B4-BE49-F238E27FC236}">
                  <a16:creationId xmlns:a16="http://schemas.microsoft.com/office/drawing/2014/main" id="{2D8FE79C-F3F1-4FE4-9711-88EC2B9A0BBF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6" name="TextBox 645">
              <a:extLst>
                <a:ext uri="{FF2B5EF4-FFF2-40B4-BE49-F238E27FC236}">
                  <a16:creationId xmlns:a16="http://schemas.microsoft.com/office/drawing/2014/main" id="{E777FC96-1698-496C-9BF3-500A64C9ADA0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46" name="TextBox 645">
              <a:extLst>
                <a:ext uri="{FF2B5EF4-FFF2-40B4-BE49-F238E27FC236}">
                  <a16:creationId xmlns:a16="http://schemas.microsoft.com/office/drawing/2014/main" id="{E777FC96-1698-496C-9BF3-500A64C9ADA0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7" name="TextBox 646">
              <a:extLst>
                <a:ext uri="{FF2B5EF4-FFF2-40B4-BE49-F238E27FC236}">
                  <a16:creationId xmlns:a16="http://schemas.microsoft.com/office/drawing/2014/main" id="{A711848C-A442-4C20-9BEB-5142F3D05827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47" name="TextBox 646">
              <a:extLst>
                <a:ext uri="{FF2B5EF4-FFF2-40B4-BE49-F238E27FC236}">
                  <a16:creationId xmlns:a16="http://schemas.microsoft.com/office/drawing/2014/main" id="{A711848C-A442-4C20-9BEB-5142F3D05827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8" name="TextBox 647">
              <a:extLst>
                <a:ext uri="{FF2B5EF4-FFF2-40B4-BE49-F238E27FC236}">
                  <a16:creationId xmlns:a16="http://schemas.microsoft.com/office/drawing/2014/main" id="{3624BB53-9BF2-4BBB-858A-796254647DFC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48" name="TextBox 647">
              <a:extLst>
                <a:ext uri="{FF2B5EF4-FFF2-40B4-BE49-F238E27FC236}">
                  <a16:creationId xmlns:a16="http://schemas.microsoft.com/office/drawing/2014/main" id="{3624BB53-9BF2-4BBB-858A-796254647DFC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9" name="TextBox 648">
              <a:extLst>
                <a:ext uri="{FF2B5EF4-FFF2-40B4-BE49-F238E27FC236}">
                  <a16:creationId xmlns:a16="http://schemas.microsoft.com/office/drawing/2014/main" id="{78D83EB3-4E64-4EE1-99D0-B1EB8618B7D1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49" name="TextBox 648">
              <a:extLst>
                <a:ext uri="{FF2B5EF4-FFF2-40B4-BE49-F238E27FC236}">
                  <a16:creationId xmlns:a16="http://schemas.microsoft.com/office/drawing/2014/main" id="{78D83EB3-4E64-4EE1-99D0-B1EB8618B7D1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0" name="TextBox 649">
              <a:extLst>
                <a:ext uri="{FF2B5EF4-FFF2-40B4-BE49-F238E27FC236}">
                  <a16:creationId xmlns:a16="http://schemas.microsoft.com/office/drawing/2014/main" id="{274E69BB-39E4-49FD-99A2-A9E2BB8987F6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50" name="TextBox 649">
              <a:extLst>
                <a:ext uri="{FF2B5EF4-FFF2-40B4-BE49-F238E27FC236}">
                  <a16:creationId xmlns:a16="http://schemas.microsoft.com/office/drawing/2014/main" id="{274E69BB-39E4-49FD-99A2-A9E2BB8987F6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1" name="TextBox 650">
              <a:extLst>
                <a:ext uri="{FF2B5EF4-FFF2-40B4-BE49-F238E27FC236}">
                  <a16:creationId xmlns:a16="http://schemas.microsoft.com/office/drawing/2014/main" id="{CA8C1319-5AB9-44AA-8A5A-78E3843CDA31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51" name="TextBox 650">
              <a:extLst>
                <a:ext uri="{FF2B5EF4-FFF2-40B4-BE49-F238E27FC236}">
                  <a16:creationId xmlns:a16="http://schemas.microsoft.com/office/drawing/2014/main" id="{CA8C1319-5AB9-44AA-8A5A-78E3843CDA31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124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2" name="TextBox 651">
              <a:extLst>
                <a:ext uri="{FF2B5EF4-FFF2-40B4-BE49-F238E27FC236}">
                  <a16:creationId xmlns:a16="http://schemas.microsoft.com/office/drawing/2014/main" id="{19DBE912-9C96-4FA1-9DEA-EE6996A90535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52" name="TextBox 651">
              <a:extLst>
                <a:ext uri="{FF2B5EF4-FFF2-40B4-BE49-F238E27FC236}">
                  <a16:creationId xmlns:a16="http://schemas.microsoft.com/office/drawing/2014/main" id="{19DBE912-9C96-4FA1-9DEA-EE6996A90535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3" name="TextBox 652">
              <a:extLst>
                <a:ext uri="{FF2B5EF4-FFF2-40B4-BE49-F238E27FC236}">
                  <a16:creationId xmlns:a16="http://schemas.microsoft.com/office/drawing/2014/main" id="{5AFAFC35-B36A-4DEF-803D-0569E476AFA0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53" name="TextBox 652">
              <a:extLst>
                <a:ext uri="{FF2B5EF4-FFF2-40B4-BE49-F238E27FC236}">
                  <a16:creationId xmlns:a16="http://schemas.microsoft.com/office/drawing/2014/main" id="{5AFAFC35-B36A-4DEF-803D-0569E476AFA0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4" name="TextBox 653">
              <a:extLst>
                <a:ext uri="{FF2B5EF4-FFF2-40B4-BE49-F238E27FC236}">
                  <a16:creationId xmlns:a16="http://schemas.microsoft.com/office/drawing/2014/main" id="{EAAC034B-6961-41E3-BB32-30DA14453823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54" name="TextBox 653">
              <a:extLst>
                <a:ext uri="{FF2B5EF4-FFF2-40B4-BE49-F238E27FC236}">
                  <a16:creationId xmlns:a16="http://schemas.microsoft.com/office/drawing/2014/main" id="{EAAC034B-6961-41E3-BB32-30DA14453823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5" name="TextBox 654">
              <a:extLst>
                <a:ext uri="{FF2B5EF4-FFF2-40B4-BE49-F238E27FC236}">
                  <a16:creationId xmlns:a16="http://schemas.microsoft.com/office/drawing/2014/main" id="{F1E44E57-A1E6-429B-B9A9-58746033C6DD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55" name="TextBox 654">
              <a:extLst>
                <a:ext uri="{FF2B5EF4-FFF2-40B4-BE49-F238E27FC236}">
                  <a16:creationId xmlns:a16="http://schemas.microsoft.com/office/drawing/2014/main" id="{F1E44E57-A1E6-429B-B9A9-58746033C6DD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6" name="TextBox 655">
              <a:extLst>
                <a:ext uri="{FF2B5EF4-FFF2-40B4-BE49-F238E27FC236}">
                  <a16:creationId xmlns:a16="http://schemas.microsoft.com/office/drawing/2014/main" id="{013492C0-2850-4310-A1F4-0AF4F2D2435A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56" name="TextBox 655">
              <a:extLst>
                <a:ext uri="{FF2B5EF4-FFF2-40B4-BE49-F238E27FC236}">
                  <a16:creationId xmlns:a16="http://schemas.microsoft.com/office/drawing/2014/main" id="{013492C0-2850-4310-A1F4-0AF4F2D2435A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7" name="TextBox 656">
              <a:extLst>
                <a:ext uri="{FF2B5EF4-FFF2-40B4-BE49-F238E27FC236}">
                  <a16:creationId xmlns:a16="http://schemas.microsoft.com/office/drawing/2014/main" id="{1D7C15B0-2131-43B2-B46E-51544A261E04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57" name="TextBox 656">
              <a:extLst>
                <a:ext uri="{FF2B5EF4-FFF2-40B4-BE49-F238E27FC236}">
                  <a16:creationId xmlns:a16="http://schemas.microsoft.com/office/drawing/2014/main" id="{1D7C15B0-2131-43B2-B46E-51544A261E04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8" name="TextBox 657">
              <a:extLst>
                <a:ext uri="{FF2B5EF4-FFF2-40B4-BE49-F238E27FC236}">
                  <a16:creationId xmlns:a16="http://schemas.microsoft.com/office/drawing/2014/main" id="{0D6B413C-166B-4AFA-9D8F-B0393DC6A650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58" name="TextBox 657">
              <a:extLst>
                <a:ext uri="{FF2B5EF4-FFF2-40B4-BE49-F238E27FC236}">
                  <a16:creationId xmlns:a16="http://schemas.microsoft.com/office/drawing/2014/main" id="{0D6B413C-166B-4AFA-9D8F-B0393DC6A650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9" name="TextBox 658">
              <a:extLst>
                <a:ext uri="{FF2B5EF4-FFF2-40B4-BE49-F238E27FC236}">
                  <a16:creationId xmlns:a16="http://schemas.microsoft.com/office/drawing/2014/main" id="{04B0F0ED-4DAF-4A24-A54F-BA130DBCD98D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59" name="TextBox 658">
              <a:extLst>
                <a:ext uri="{FF2B5EF4-FFF2-40B4-BE49-F238E27FC236}">
                  <a16:creationId xmlns:a16="http://schemas.microsoft.com/office/drawing/2014/main" id="{04B0F0ED-4DAF-4A24-A54F-BA130DBCD98D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0" name="TextBox 659">
              <a:extLst>
                <a:ext uri="{FF2B5EF4-FFF2-40B4-BE49-F238E27FC236}">
                  <a16:creationId xmlns:a16="http://schemas.microsoft.com/office/drawing/2014/main" id="{98464418-F3F9-4D6B-967A-D8146954BDA5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60" name="TextBox 659">
              <a:extLst>
                <a:ext uri="{FF2B5EF4-FFF2-40B4-BE49-F238E27FC236}">
                  <a16:creationId xmlns:a16="http://schemas.microsoft.com/office/drawing/2014/main" id="{98464418-F3F9-4D6B-967A-D8146954BDA5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1" name="TextBox 660">
              <a:extLst>
                <a:ext uri="{FF2B5EF4-FFF2-40B4-BE49-F238E27FC236}">
                  <a16:creationId xmlns:a16="http://schemas.microsoft.com/office/drawing/2014/main" id="{A338CE90-FF94-4B2D-AAB2-3C132CF1FCCE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61" name="TextBox 660">
              <a:extLst>
                <a:ext uri="{FF2B5EF4-FFF2-40B4-BE49-F238E27FC236}">
                  <a16:creationId xmlns:a16="http://schemas.microsoft.com/office/drawing/2014/main" id="{A338CE90-FF94-4B2D-AAB2-3C132CF1FCCE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124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2" name="TextBox 661">
              <a:extLst>
                <a:ext uri="{FF2B5EF4-FFF2-40B4-BE49-F238E27FC236}">
                  <a16:creationId xmlns:a16="http://schemas.microsoft.com/office/drawing/2014/main" id="{CE7FCE8B-2519-4EEC-BEC2-9F2A67136EBC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62" name="TextBox 661">
              <a:extLst>
                <a:ext uri="{FF2B5EF4-FFF2-40B4-BE49-F238E27FC236}">
                  <a16:creationId xmlns:a16="http://schemas.microsoft.com/office/drawing/2014/main" id="{CE7FCE8B-2519-4EEC-BEC2-9F2A67136EBC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3" name="TextBox 662">
              <a:extLst>
                <a:ext uri="{FF2B5EF4-FFF2-40B4-BE49-F238E27FC236}">
                  <a16:creationId xmlns:a16="http://schemas.microsoft.com/office/drawing/2014/main" id="{E33F75D0-9DE6-4E19-ABFB-BE4676B5785A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63" name="TextBox 662">
              <a:extLst>
                <a:ext uri="{FF2B5EF4-FFF2-40B4-BE49-F238E27FC236}">
                  <a16:creationId xmlns:a16="http://schemas.microsoft.com/office/drawing/2014/main" id="{E33F75D0-9DE6-4E19-ABFB-BE4676B5785A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4" name="TextBox 663">
              <a:extLst>
                <a:ext uri="{FF2B5EF4-FFF2-40B4-BE49-F238E27FC236}">
                  <a16:creationId xmlns:a16="http://schemas.microsoft.com/office/drawing/2014/main" id="{2D49E4CA-95B3-4512-A053-9FA0359C1753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64" name="TextBox 663">
              <a:extLst>
                <a:ext uri="{FF2B5EF4-FFF2-40B4-BE49-F238E27FC236}">
                  <a16:creationId xmlns:a16="http://schemas.microsoft.com/office/drawing/2014/main" id="{2D49E4CA-95B3-4512-A053-9FA0359C1753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5" name="TextBox 664">
              <a:extLst>
                <a:ext uri="{FF2B5EF4-FFF2-40B4-BE49-F238E27FC236}">
                  <a16:creationId xmlns:a16="http://schemas.microsoft.com/office/drawing/2014/main" id="{3B11C3D0-9DC5-4176-BBD6-AE1714642B6A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65" name="TextBox 664">
              <a:extLst>
                <a:ext uri="{FF2B5EF4-FFF2-40B4-BE49-F238E27FC236}">
                  <a16:creationId xmlns:a16="http://schemas.microsoft.com/office/drawing/2014/main" id="{3B11C3D0-9DC5-4176-BBD6-AE1714642B6A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6" name="TextBox 665">
              <a:extLst>
                <a:ext uri="{FF2B5EF4-FFF2-40B4-BE49-F238E27FC236}">
                  <a16:creationId xmlns:a16="http://schemas.microsoft.com/office/drawing/2014/main" id="{61AC8A29-E25B-4BE1-B31C-962F17D0C762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66" name="TextBox 665">
              <a:extLst>
                <a:ext uri="{FF2B5EF4-FFF2-40B4-BE49-F238E27FC236}">
                  <a16:creationId xmlns:a16="http://schemas.microsoft.com/office/drawing/2014/main" id="{61AC8A29-E25B-4BE1-B31C-962F17D0C762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7" name="TextBox 666">
              <a:extLst>
                <a:ext uri="{FF2B5EF4-FFF2-40B4-BE49-F238E27FC236}">
                  <a16:creationId xmlns:a16="http://schemas.microsoft.com/office/drawing/2014/main" id="{63ADDA46-2795-4319-9143-E98754B3645C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67" name="TextBox 666">
              <a:extLst>
                <a:ext uri="{FF2B5EF4-FFF2-40B4-BE49-F238E27FC236}">
                  <a16:creationId xmlns:a16="http://schemas.microsoft.com/office/drawing/2014/main" id="{63ADDA46-2795-4319-9143-E98754B3645C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8" name="TextBox 667">
              <a:extLst>
                <a:ext uri="{FF2B5EF4-FFF2-40B4-BE49-F238E27FC236}">
                  <a16:creationId xmlns:a16="http://schemas.microsoft.com/office/drawing/2014/main" id="{1D01E7D3-ED06-4E61-A4CE-85F7637EB413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68" name="TextBox 667">
              <a:extLst>
                <a:ext uri="{FF2B5EF4-FFF2-40B4-BE49-F238E27FC236}">
                  <a16:creationId xmlns:a16="http://schemas.microsoft.com/office/drawing/2014/main" id="{1D01E7D3-ED06-4E61-A4CE-85F7637EB413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9" name="TextBox 668">
              <a:extLst>
                <a:ext uri="{FF2B5EF4-FFF2-40B4-BE49-F238E27FC236}">
                  <a16:creationId xmlns:a16="http://schemas.microsoft.com/office/drawing/2014/main" id="{16F3E144-C479-44D4-93A3-59D9074B821A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69" name="TextBox 668">
              <a:extLst>
                <a:ext uri="{FF2B5EF4-FFF2-40B4-BE49-F238E27FC236}">
                  <a16:creationId xmlns:a16="http://schemas.microsoft.com/office/drawing/2014/main" id="{16F3E144-C479-44D4-93A3-59D9074B821A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0" name="TextBox 669">
              <a:extLst>
                <a:ext uri="{FF2B5EF4-FFF2-40B4-BE49-F238E27FC236}">
                  <a16:creationId xmlns:a16="http://schemas.microsoft.com/office/drawing/2014/main" id="{5CA3282C-62A3-465A-A5D4-3C07656BE5E1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70" name="TextBox 669">
              <a:extLst>
                <a:ext uri="{FF2B5EF4-FFF2-40B4-BE49-F238E27FC236}">
                  <a16:creationId xmlns:a16="http://schemas.microsoft.com/office/drawing/2014/main" id="{5CA3282C-62A3-465A-A5D4-3C07656BE5E1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1" name="TextBox 670">
              <a:extLst>
                <a:ext uri="{FF2B5EF4-FFF2-40B4-BE49-F238E27FC236}">
                  <a16:creationId xmlns:a16="http://schemas.microsoft.com/office/drawing/2014/main" id="{A33376B3-BE75-4F1E-9C66-7368EEF9F413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71" name="TextBox 670">
              <a:extLst>
                <a:ext uri="{FF2B5EF4-FFF2-40B4-BE49-F238E27FC236}">
                  <a16:creationId xmlns:a16="http://schemas.microsoft.com/office/drawing/2014/main" id="{A33376B3-BE75-4F1E-9C66-7368EEF9F413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124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2" name="TextBox 671">
              <a:extLst>
                <a:ext uri="{FF2B5EF4-FFF2-40B4-BE49-F238E27FC236}">
                  <a16:creationId xmlns:a16="http://schemas.microsoft.com/office/drawing/2014/main" id="{FB81B0E1-40A7-49F1-A97A-6F22417686BA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72" name="TextBox 671">
              <a:extLst>
                <a:ext uri="{FF2B5EF4-FFF2-40B4-BE49-F238E27FC236}">
                  <a16:creationId xmlns:a16="http://schemas.microsoft.com/office/drawing/2014/main" id="{FB81B0E1-40A7-49F1-A97A-6F22417686BA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3" name="TextBox 672">
              <a:extLst>
                <a:ext uri="{FF2B5EF4-FFF2-40B4-BE49-F238E27FC236}">
                  <a16:creationId xmlns:a16="http://schemas.microsoft.com/office/drawing/2014/main" id="{E7CA8C03-89F4-441F-BC63-7179AC4DCE6C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73" name="TextBox 672">
              <a:extLst>
                <a:ext uri="{FF2B5EF4-FFF2-40B4-BE49-F238E27FC236}">
                  <a16:creationId xmlns:a16="http://schemas.microsoft.com/office/drawing/2014/main" id="{E7CA8C03-89F4-441F-BC63-7179AC4DCE6C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4" name="TextBox 673">
              <a:extLst>
                <a:ext uri="{FF2B5EF4-FFF2-40B4-BE49-F238E27FC236}">
                  <a16:creationId xmlns:a16="http://schemas.microsoft.com/office/drawing/2014/main" id="{F53DC19F-3D1A-4C4A-9E76-88482F2D871E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74" name="TextBox 673">
              <a:extLst>
                <a:ext uri="{FF2B5EF4-FFF2-40B4-BE49-F238E27FC236}">
                  <a16:creationId xmlns:a16="http://schemas.microsoft.com/office/drawing/2014/main" id="{F53DC19F-3D1A-4C4A-9E76-88482F2D871E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5" name="TextBox 674">
              <a:extLst>
                <a:ext uri="{FF2B5EF4-FFF2-40B4-BE49-F238E27FC236}">
                  <a16:creationId xmlns:a16="http://schemas.microsoft.com/office/drawing/2014/main" id="{E802BD84-452D-468F-AB6A-9277D400A24A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75" name="TextBox 674">
              <a:extLst>
                <a:ext uri="{FF2B5EF4-FFF2-40B4-BE49-F238E27FC236}">
                  <a16:creationId xmlns:a16="http://schemas.microsoft.com/office/drawing/2014/main" id="{E802BD84-452D-468F-AB6A-9277D400A24A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6" name="TextBox 675">
              <a:extLst>
                <a:ext uri="{FF2B5EF4-FFF2-40B4-BE49-F238E27FC236}">
                  <a16:creationId xmlns:a16="http://schemas.microsoft.com/office/drawing/2014/main" id="{BCF4C91E-CB38-4528-9CD9-3652D3E6FCD3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76" name="TextBox 675">
              <a:extLst>
                <a:ext uri="{FF2B5EF4-FFF2-40B4-BE49-F238E27FC236}">
                  <a16:creationId xmlns:a16="http://schemas.microsoft.com/office/drawing/2014/main" id="{BCF4C91E-CB38-4528-9CD9-3652D3E6FCD3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7" name="TextBox 676">
              <a:extLst>
                <a:ext uri="{FF2B5EF4-FFF2-40B4-BE49-F238E27FC236}">
                  <a16:creationId xmlns:a16="http://schemas.microsoft.com/office/drawing/2014/main" id="{696B2C77-6F1C-44D3-92F1-6B899BBB0F39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77" name="TextBox 676">
              <a:extLst>
                <a:ext uri="{FF2B5EF4-FFF2-40B4-BE49-F238E27FC236}">
                  <a16:creationId xmlns:a16="http://schemas.microsoft.com/office/drawing/2014/main" id="{696B2C77-6F1C-44D3-92F1-6B899BBB0F39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8" name="TextBox 677">
              <a:extLst>
                <a:ext uri="{FF2B5EF4-FFF2-40B4-BE49-F238E27FC236}">
                  <a16:creationId xmlns:a16="http://schemas.microsoft.com/office/drawing/2014/main" id="{E698A986-F096-4DF7-BCED-E2BE7A404013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78" name="TextBox 677">
              <a:extLst>
                <a:ext uri="{FF2B5EF4-FFF2-40B4-BE49-F238E27FC236}">
                  <a16:creationId xmlns:a16="http://schemas.microsoft.com/office/drawing/2014/main" id="{E698A986-F096-4DF7-BCED-E2BE7A404013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9" name="TextBox 678">
              <a:extLst>
                <a:ext uri="{FF2B5EF4-FFF2-40B4-BE49-F238E27FC236}">
                  <a16:creationId xmlns:a16="http://schemas.microsoft.com/office/drawing/2014/main" id="{B87C8B0D-F508-417C-B4BC-5FFEDD65E652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79" name="TextBox 678">
              <a:extLst>
                <a:ext uri="{FF2B5EF4-FFF2-40B4-BE49-F238E27FC236}">
                  <a16:creationId xmlns:a16="http://schemas.microsoft.com/office/drawing/2014/main" id="{B87C8B0D-F508-417C-B4BC-5FFEDD65E652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0" name="TextBox 679">
              <a:extLst>
                <a:ext uri="{FF2B5EF4-FFF2-40B4-BE49-F238E27FC236}">
                  <a16:creationId xmlns:a16="http://schemas.microsoft.com/office/drawing/2014/main" id="{A2AD0ED6-9E78-4D6B-83D9-9F5D697A531E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80" name="TextBox 679">
              <a:extLst>
                <a:ext uri="{FF2B5EF4-FFF2-40B4-BE49-F238E27FC236}">
                  <a16:creationId xmlns:a16="http://schemas.microsoft.com/office/drawing/2014/main" id="{A2AD0ED6-9E78-4D6B-83D9-9F5D697A531E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1" name="TextBox 680">
              <a:extLst>
                <a:ext uri="{FF2B5EF4-FFF2-40B4-BE49-F238E27FC236}">
                  <a16:creationId xmlns:a16="http://schemas.microsoft.com/office/drawing/2014/main" id="{5E0571E7-F35A-4E76-845C-CECFD6DA8F8C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81" name="TextBox 680">
              <a:extLst>
                <a:ext uri="{FF2B5EF4-FFF2-40B4-BE49-F238E27FC236}">
                  <a16:creationId xmlns:a16="http://schemas.microsoft.com/office/drawing/2014/main" id="{5E0571E7-F35A-4E76-845C-CECFD6DA8F8C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124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2" name="TextBox 681">
              <a:extLst>
                <a:ext uri="{FF2B5EF4-FFF2-40B4-BE49-F238E27FC236}">
                  <a16:creationId xmlns:a16="http://schemas.microsoft.com/office/drawing/2014/main" id="{9ACF0F6C-325E-47CC-A49F-A00D674E639F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82" name="TextBox 681">
              <a:extLst>
                <a:ext uri="{FF2B5EF4-FFF2-40B4-BE49-F238E27FC236}">
                  <a16:creationId xmlns:a16="http://schemas.microsoft.com/office/drawing/2014/main" id="{9ACF0F6C-325E-47CC-A49F-A00D674E639F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3" name="TextBox 682">
              <a:extLst>
                <a:ext uri="{FF2B5EF4-FFF2-40B4-BE49-F238E27FC236}">
                  <a16:creationId xmlns:a16="http://schemas.microsoft.com/office/drawing/2014/main" id="{135C0ACE-7FFA-4829-901E-6063550DD640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83" name="TextBox 682">
              <a:extLst>
                <a:ext uri="{FF2B5EF4-FFF2-40B4-BE49-F238E27FC236}">
                  <a16:creationId xmlns:a16="http://schemas.microsoft.com/office/drawing/2014/main" id="{135C0ACE-7FFA-4829-901E-6063550DD640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4" name="TextBox 683">
              <a:extLst>
                <a:ext uri="{FF2B5EF4-FFF2-40B4-BE49-F238E27FC236}">
                  <a16:creationId xmlns:a16="http://schemas.microsoft.com/office/drawing/2014/main" id="{C907D550-8185-4DFD-899F-30CCF7D6EDC6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84" name="TextBox 683">
              <a:extLst>
                <a:ext uri="{FF2B5EF4-FFF2-40B4-BE49-F238E27FC236}">
                  <a16:creationId xmlns:a16="http://schemas.microsoft.com/office/drawing/2014/main" id="{C907D550-8185-4DFD-899F-30CCF7D6EDC6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5" name="TextBox 684">
              <a:extLst>
                <a:ext uri="{FF2B5EF4-FFF2-40B4-BE49-F238E27FC236}">
                  <a16:creationId xmlns:a16="http://schemas.microsoft.com/office/drawing/2014/main" id="{D01C4552-B18B-4B30-A9D4-91167A450285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85" name="TextBox 684">
              <a:extLst>
                <a:ext uri="{FF2B5EF4-FFF2-40B4-BE49-F238E27FC236}">
                  <a16:creationId xmlns:a16="http://schemas.microsoft.com/office/drawing/2014/main" id="{D01C4552-B18B-4B30-A9D4-91167A450285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6" name="TextBox 685">
              <a:extLst>
                <a:ext uri="{FF2B5EF4-FFF2-40B4-BE49-F238E27FC236}">
                  <a16:creationId xmlns:a16="http://schemas.microsoft.com/office/drawing/2014/main" id="{F8621C64-C8CA-49AE-B37B-87DD50BC25D4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86" name="TextBox 685">
              <a:extLst>
                <a:ext uri="{FF2B5EF4-FFF2-40B4-BE49-F238E27FC236}">
                  <a16:creationId xmlns:a16="http://schemas.microsoft.com/office/drawing/2014/main" id="{F8621C64-C8CA-49AE-B37B-87DD50BC25D4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7" name="TextBox 686">
              <a:extLst>
                <a:ext uri="{FF2B5EF4-FFF2-40B4-BE49-F238E27FC236}">
                  <a16:creationId xmlns:a16="http://schemas.microsoft.com/office/drawing/2014/main" id="{10C4BD26-712D-4A93-8242-630A49356009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87" name="TextBox 686">
              <a:extLst>
                <a:ext uri="{FF2B5EF4-FFF2-40B4-BE49-F238E27FC236}">
                  <a16:creationId xmlns:a16="http://schemas.microsoft.com/office/drawing/2014/main" id="{10C4BD26-712D-4A93-8242-630A49356009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8" name="TextBox 687">
              <a:extLst>
                <a:ext uri="{FF2B5EF4-FFF2-40B4-BE49-F238E27FC236}">
                  <a16:creationId xmlns:a16="http://schemas.microsoft.com/office/drawing/2014/main" id="{F6F6AE3A-B6D5-41C9-A6C8-8A642ED39263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88" name="TextBox 687">
              <a:extLst>
                <a:ext uri="{FF2B5EF4-FFF2-40B4-BE49-F238E27FC236}">
                  <a16:creationId xmlns:a16="http://schemas.microsoft.com/office/drawing/2014/main" id="{F6F6AE3A-B6D5-41C9-A6C8-8A642ED39263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9" name="TextBox 688">
              <a:extLst>
                <a:ext uri="{FF2B5EF4-FFF2-40B4-BE49-F238E27FC236}">
                  <a16:creationId xmlns:a16="http://schemas.microsoft.com/office/drawing/2014/main" id="{9F84C99E-2FBE-437F-8366-99C692C6E253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89" name="TextBox 688">
              <a:extLst>
                <a:ext uri="{FF2B5EF4-FFF2-40B4-BE49-F238E27FC236}">
                  <a16:creationId xmlns:a16="http://schemas.microsoft.com/office/drawing/2014/main" id="{9F84C99E-2FBE-437F-8366-99C692C6E253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0" name="TextBox 689">
              <a:extLst>
                <a:ext uri="{FF2B5EF4-FFF2-40B4-BE49-F238E27FC236}">
                  <a16:creationId xmlns:a16="http://schemas.microsoft.com/office/drawing/2014/main" id="{D0AECDA9-8865-490E-B670-8080CFFF4A1B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90" name="TextBox 689">
              <a:extLst>
                <a:ext uri="{FF2B5EF4-FFF2-40B4-BE49-F238E27FC236}">
                  <a16:creationId xmlns:a16="http://schemas.microsoft.com/office/drawing/2014/main" id="{D0AECDA9-8865-490E-B670-8080CFFF4A1B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1" name="TextBox 690">
              <a:extLst>
                <a:ext uri="{FF2B5EF4-FFF2-40B4-BE49-F238E27FC236}">
                  <a16:creationId xmlns:a16="http://schemas.microsoft.com/office/drawing/2014/main" id="{C75C9CED-D10D-458E-9FE2-13DD5360A629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91" name="TextBox 690">
              <a:extLst>
                <a:ext uri="{FF2B5EF4-FFF2-40B4-BE49-F238E27FC236}">
                  <a16:creationId xmlns:a16="http://schemas.microsoft.com/office/drawing/2014/main" id="{C75C9CED-D10D-458E-9FE2-13DD5360A629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124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2" name="TextBox 691">
              <a:extLst>
                <a:ext uri="{FF2B5EF4-FFF2-40B4-BE49-F238E27FC236}">
                  <a16:creationId xmlns:a16="http://schemas.microsoft.com/office/drawing/2014/main" id="{5B737096-88CB-422B-AF53-73BF1B7C0901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92" name="TextBox 691">
              <a:extLst>
                <a:ext uri="{FF2B5EF4-FFF2-40B4-BE49-F238E27FC236}">
                  <a16:creationId xmlns:a16="http://schemas.microsoft.com/office/drawing/2014/main" id="{5B737096-88CB-422B-AF53-73BF1B7C0901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3" name="TextBox 692">
              <a:extLst>
                <a:ext uri="{FF2B5EF4-FFF2-40B4-BE49-F238E27FC236}">
                  <a16:creationId xmlns:a16="http://schemas.microsoft.com/office/drawing/2014/main" id="{DD4862CA-E901-484B-BADF-942CACE792C5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93" name="TextBox 692">
              <a:extLst>
                <a:ext uri="{FF2B5EF4-FFF2-40B4-BE49-F238E27FC236}">
                  <a16:creationId xmlns:a16="http://schemas.microsoft.com/office/drawing/2014/main" id="{DD4862CA-E901-484B-BADF-942CACE792C5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4" name="TextBox 693">
              <a:extLst>
                <a:ext uri="{FF2B5EF4-FFF2-40B4-BE49-F238E27FC236}">
                  <a16:creationId xmlns:a16="http://schemas.microsoft.com/office/drawing/2014/main" id="{24ADDBE1-03DA-4297-9209-4214AA3D41E1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94" name="TextBox 693">
              <a:extLst>
                <a:ext uri="{FF2B5EF4-FFF2-40B4-BE49-F238E27FC236}">
                  <a16:creationId xmlns:a16="http://schemas.microsoft.com/office/drawing/2014/main" id="{24ADDBE1-03DA-4297-9209-4214AA3D41E1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5" name="TextBox 694">
              <a:extLst>
                <a:ext uri="{FF2B5EF4-FFF2-40B4-BE49-F238E27FC236}">
                  <a16:creationId xmlns:a16="http://schemas.microsoft.com/office/drawing/2014/main" id="{6D5D0975-DDDB-454F-8DFF-6ECD03A2D26E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95" name="TextBox 694">
              <a:extLst>
                <a:ext uri="{FF2B5EF4-FFF2-40B4-BE49-F238E27FC236}">
                  <a16:creationId xmlns:a16="http://schemas.microsoft.com/office/drawing/2014/main" id="{6D5D0975-DDDB-454F-8DFF-6ECD03A2D26E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6" name="TextBox 695">
              <a:extLst>
                <a:ext uri="{FF2B5EF4-FFF2-40B4-BE49-F238E27FC236}">
                  <a16:creationId xmlns:a16="http://schemas.microsoft.com/office/drawing/2014/main" id="{76E56EF7-9010-476B-B2EB-C1DCCDF7AE54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96" name="TextBox 695">
              <a:extLst>
                <a:ext uri="{FF2B5EF4-FFF2-40B4-BE49-F238E27FC236}">
                  <a16:creationId xmlns:a16="http://schemas.microsoft.com/office/drawing/2014/main" id="{76E56EF7-9010-476B-B2EB-C1DCCDF7AE54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7" name="TextBox 696">
              <a:extLst>
                <a:ext uri="{FF2B5EF4-FFF2-40B4-BE49-F238E27FC236}">
                  <a16:creationId xmlns:a16="http://schemas.microsoft.com/office/drawing/2014/main" id="{E6FBA822-B06D-4D07-9077-8338A1A97039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97" name="TextBox 696">
              <a:extLst>
                <a:ext uri="{FF2B5EF4-FFF2-40B4-BE49-F238E27FC236}">
                  <a16:creationId xmlns:a16="http://schemas.microsoft.com/office/drawing/2014/main" id="{E6FBA822-B06D-4D07-9077-8338A1A97039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8" name="TextBox 697">
              <a:extLst>
                <a:ext uri="{FF2B5EF4-FFF2-40B4-BE49-F238E27FC236}">
                  <a16:creationId xmlns:a16="http://schemas.microsoft.com/office/drawing/2014/main" id="{CA99A4BF-1F23-4E6D-87F1-75311B87C945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98" name="TextBox 697">
              <a:extLst>
                <a:ext uri="{FF2B5EF4-FFF2-40B4-BE49-F238E27FC236}">
                  <a16:creationId xmlns:a16="http://schemas.microsoft.com/office/drawing/2014/main" id="{CA99A4BF-1F23-4E6D-87F1-75311B87C945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9" name="TextBox 698">
              <a:extLst>
                <a:ext uri="{FF2B5EF4-FFF2-40B4-BE49-F238E27FC236}">
                  <a16:creationId xmlns:a16="http://schemas.microsoft.com/office/drawing/2014/main" id="{CFB9D841-2842-4DAF-B52D-E13844F04FC2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99" name="TextBox 698">
              <a:extLst>
                <a:ext uri="{FF2B5EF4-FFF2-40B4-BE49-F238E27FC236}">
                  <a16:creationId xmlns:a16="http://schemas.microsoft.com/office/drawing/2014/main" id="{CFB9D841-2842-4DAF-B52D-E13844F04FC2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0" name="TextBox 699">
              <a:extLst>
                <a:ext uri="{FF2B5EF4-FFF2-40B4-BE49-F238E27FC236}">
                  <a16:creationId xmlns:a16="http://schemas.microsoft.com/office/drawing/2014/main" id="{6786B7F0-DA9F-4A46-A9DC-DCFCCD6E9DE0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00" name="TextBox 699">
              <a:extLst>
                <a:ext uri="{FF2B5EF4-FFF2-40B4-BE49-F238E27FC236}">
                  <a16:creationId xmlns:a16="http://schemas.microsoft.com/office/drawing/2014/main" id="{6786B7F0-DA9F-4A46-A9DC-DCFCCD6E9DE0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1" name="TextBox 700">
              <a:extLst>
                <a:ext uri="{FF2B5EF4-FFF2-40B4-BE49-F238E27FC236}">
                  <a16:creationId xmlns:a16="http://schemas.microsoft.com/office/drawing/2014/main" id="{5D7AEB48-6434-4099-BB6E-B5FC357024A6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01" name="TextBox 700">
              <a:extLst>
                <a:ext uri="{FF2B5EF4-FFF2-40B4-BE49-F238E27FC236}">
                  <a16:creationId xmlns:a16="http://schemas.microsoft.com/office/drawing/2014/main" id="{5D7AEB48-6434-4099-BB6E-B5FC357024A6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124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2" name="TextBox 701">
              <a:extLst>
                <a:ext uri="{FF2B5EF4-FFF2-40B4-BE49-F238E27FC236}">
                  <a16:creationId xmlns:a16="http://schemas.microsoft.com/office/drawing/2014/main" id="{5C3CCF4C-C37C-48DA-A48D-3269E891033C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02" name="TextBox 701">
              <a:extLst>
                <a:ext uri="{FF2B5EF4-FFF2-40B4-BE49-F238E27FC236}">
                  <a16:creationId xmlns:a16="http://schemas.microsoft.com/office/drawing/2014/main" id="{5C3CCF4C-C37C-48DA-A48D-3269E891033C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3" name="TextBox 702">
              <a:extLst>
                <a:ext uri="{FF2B5EF4-FFF2-40B4-BE49-F238E27FC236}">
                  <a16:creationId xmlns:a16="http://schemas.microsoft.com/office/drawing/2014/main" id="{C92BDB2D-3B1C-48E8-AE45-1757B01F9CBC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03" name="TextBox 702">
              <a:extLst>
                <a:ext uri="{FF2B5EF4-FFF2-40B4-BE49-F238E27FC236}">
                  <a16:creationId xmlns:a16="http://schemas.microsoft.com/office/drawing/2014/main" id="{C92BDB2D-3B1C-48E8-AE45-1757B01F9CBC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4" name="TextBox 703">
              <a:extLst>
                <a:ext uri="{FF2B5EF4-FFF2-40B4-BE49-F238E27FC236}">
                  <a16:creationId xmlns:a16="http://schemas.microsoft.com/office/drawing/2014/main" id="{1327D821-F383-4EE0-80F7-B2868BEF758E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04" name="TextBox 703">
              <a:extLst>
                <a:ext uri="{FF2B5EF4-FFF2-40B4-BE49-F238E27FC236}">
                  <a16:creationId xmlns:a16="http://schemas.microsoft.com/office/drawing/2014/main" id="{1327D821-F383-4EE0-80F7-B2868BEF758E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5" name="TextBox 704">
              <a:extLst>
                <a:ext uri="{FF2B5EF4-FFF2-40B4-BE49-F238E27FC236}">
                  <a16:creationId xmlns:a16="http://schemas.microsoft.com/office/drawing/2014/main" id="{C2B88027-67BB-4ABD-8AA5-3F392F74809D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05" name="TextBox 704">
              <a:extLst>
                <a:ext uri="{FF2B5EF4-FFF2-40B4-BE49-F238E27FC236}">
                  <a16:creationId xmlns:a16="http://schemas.microsoft.com/office/drawing/2014/main" id="{C2B88027-67BB-4ABD-8AA5-3F392F74809D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6" name="TextBox 705">
              <a:extLst>
                <a:ext uri="{FF2B5EF4-FFF2-40B4-BE49-F238E27FC236}">
                  <a16:creationId xmlns:a16="http://schemas.microsoft.com/office/drawing/2014/main" id="{DC595069-E4A8-4ABB-938F-03DC0B0551E9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06" name="TextBox 705">
              <a:extLst>
                <a:ext uri="{FF2B5EF4-FFF2-40B4-BE49-F238E27FC236}">
                  <a16:creationId xmlns:a16="http://schemas.microsoft.com/office/drawing/2014/main" id="{DC595069-E4A8-4ABB-938F-03DC0B0551E9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7" name="TextBox 706">
              <a:extLst>
                <a:ext uri="{FF2B5EF4-FFF2-40B4-BE49-F238E27FC236}">
                  <a16:creationId xmlns:a16="http://schemas.microsoft.com/office/drawing/2014/main" id="{D0B499B3-C8F1-4EB4-80AD-6849F6C54412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07" name="TextBox 706">
              <a:extLst>
                <a:ext uri="{FF2B5EF4-FFF2-40B4-BE49-F238E27FC236}">
                  <a16:creationId xmlns:a16="http://schemas.microsoft.com/office/drawing/2014/main" id="{D0B499B3-C8F1-4EB4-80AD-6849F6C54412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8" name="TextBox 707">
              <a:extLst>
                <a:ext uri="{FF2B5EF4-FFF2-40B4-BE49-F238E27FC236}">
                  <a16:creationId xmlns:a16="http://schemas.microsoft.com/office/drawing/2014/main" id="{C55BA2C9-CBD1-49FD-81BF-D9D89B02AC1E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08" name="TextBox 707">
              <a:extLst>
                <a:ext uri="{FF2B5EF4-FFF2-40B4-BE49-F238E27FC236}">
                  <a16:creationId xmlns:a16="http://schemas.microsoft.com/office/drawing/2014/main" id="{C55BA2C9-CBD1-49FD-81BF-D9D89B02AC1E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9" name="TextBox 708">
              <a:extLst>
                <a:ext uri="{FF2B5EF4-FFF2-40B4-BE49-F238E27FC236}">
                  <a16:creationId xmlns:a16="http://schemas.microsoft.com/office/drawing/2014/main" id="{BC6BEB3C-9300-4585-B817-B4DDE819CFA2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09" name="TextBox 708">
              <a:extLst>
                <a:ext uri="{FF2B5EF4-FFF2-40B4-BE49-F238E27FC236}">
                  <a16:creationId xmlns:a16="http://schemas.microsoft.com/office/drawing/2014/main" id="{BC6BEB3C-9300-4585-B817-B4DDE819CFA2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0" name="TextBox 709">
              <a:extLst>
                <a:ext uri="{FF2B5EF4-FFF2-40B4-BE49-F238E27FC236}">
                  <a16:creationId xmlns:a16="http://schemas.microsoft.com/office/drawing/2014/main" id="{148DD358-0D14-4D6E-A044-83AE2F1CA938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0" name="TextBox 709">
              <a:extLst>
                <a:ext uri="{FF2B5EF4-FFF2-40B4-BE49-F238E27FC236}">
                  <a16:creationId xmlns:a16="http://schemas.microsoft.com/office/drawing/2014/main" id="{148DD358-0D14-4D6E-A044-83AE2F1CA938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1" name="TextBox 710">
              <a:extLst>
                <a:ext uri="{FF2B5EF4-FFF2-40B4-BE49-F238E27FC236}">
                  <a16:creationId xmlns:a16="http://schemas.microsoft.com/office/drawing/2014/main" id="{0335D9E3-9EF1-430D-8D15-C45F47C74E65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1" name="TextBox 710">
              <a:extLst>
                <a:ext uri="{FF2B5EF4-FFF2-40B4-BE49-F238E27FC236}">
                  <a16:creationId xmlns:a16="http://schemas.microsoft.com/office/drawing/2014/main" id="{0335D9E3-9EF1-430D-8D15-C45F47C74E65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124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2" name="TextBox 711">
              <a:extLst>
                <a:ext uri="{FF2B5EF4-FFF2-40B4-BE49-F238E27FC236}">
                  <a16:creationId xmlns:a16="http://schemas.microsoft.com/office/drawing/2014/main" id="{501B82DC-36E9-46AF-BAF7-6DA68EDB1C63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2" name="TextBox 711">
              <a:extLst>
                <a:ext uri="{FF2B5EF4-FFF2-40B4-BE49-F238E27FC236}">
                  <a16:creationId xmlns:a16="http://schemas.microsoft.com/office/drawing/2014/main" id="{501B82DC-36E9-46AF-BAF7-6DA68EDB1C63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3" name="TextBox 712">
              <a:extLst>
                <a:ext uri="{FF2B5EF4-FFF2-40B4-BE49-F238E27FC236}">
                  <a16:creationId xmlns:a16="http://schemas.microsoft.com/office/drawing/2014/main" id="{C1945F63-9C78-48A0-B817-CD39D516C488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3" name="TextBox 712">
              <a:extLst>
                <a:ext uri="{FF2B5EF4-FFF2-40B4-BE49-F238E27FC236}">
                  <a16:creationId xmlns:a16="http://schemas.microsoft.com/office/drawing/2014/main" id="{C1945F63-9C78-48A0-B817-CD39D516C488}"/>
                </a:ext>
              </a:extLst>
            </xdr:cNvPr>
            <xdr:cNvSpPr txBox="1"/>
          </xdr:nvSpPr>
          <xdr:spPr>
            <a:xfrm>
              <a:off x="9508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4" name="TextBox 713">
              <a:extLst>
                <a:ext uri="{FF2B5EF4-FFF2-40B4-BE49-F238E27FC236}">
                  <a16:creationId xmlns:a16="http://schemas.microsoft.com/office/drawing/2014/main" id="{C1163599-9F2A-4E4F-9D30-FE628AE739D5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4" name="TextBox 713">
              <a:extLst>
                <a:ext uri="{FF2B5EF4-FFF2-40B4-BE49-F238E27FC236}">
                  <a16:creationId xmlns:a16="http://schemas.microsoft.com/office/drawing/2014/main" id="{C1163599-9F2A-4E4F-9D30-FE628AE739D5}"/>
                </a:ext>
              </a:extLst>
            </xdr:cNvPr>
            <xdr:cNvSpPr txBox="1"/>
          </xdr:nvSpPr>
          <xdr:spPr>
            <a:xfrm>
              <a:off x="18271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5" name="TextBox 714">
              <a:extLst>
                <a:ext uri="{FF2B5EF4-FFF2-40B4-BE49-F238E27FC236}">
                  <a16:creationId xmlns:a16="http://schemas.microsoft.com/office/drawing/2014/main" id="{7B4E3109-B11C-46BB-BE21-B132370C05DE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5" name="TextBox 714">
              <a:extLst>
                <a:ext uri="{FF2B5EF4-FFF2-40B4-BE49-F238E27FC236}">
                  <a16:creationId xmlns:a16="http://schemas.microsoft.com/office/drawing/2014/main" id="{7B4E3109-B11C-46BB-BE21-B132370C05DE}"/>
                </a:ext>
              </a:extLst>
            </xdr:cNvPr>
            <xdr:cNvSpPr txBox="1"/>
          </xdr:nvSpPr>
          <xdr:spPr>
            <a:xfrm>
              <a:off x="27034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6" name="TextBox 715">
              <a:extLst>
                <a:ext uri="{FF2B5EF4-FFF2-40B4-BE49-F238E27FC236}">
                  <a16:creationId xmlns:a16="http://schemas.microsoft.com/office/drawing/2014/main" id="{055717F1-1194-45E5-BAEC-D9DD42A17A01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6" name="TextBox 715">
              <a:extLst>
                <a:ext uri="{FF2B5EF4-FFF2-40B4-BE49-F238E27FC236}">
                  <a16:creationId xmlns:a16="http://schemas.microsoft.com/office/drawing/2014/main" id="{055717F1-1194-45E5-BAEC-D9DD42A17A01}"/>
                </a:ext>
              </a:extLst>
            </xdr:cNvPr>
            <xdr:cNvSpPr txBox="1"/>
          </xdr:nvSpPr>
          <xdr:spPr>
            <a:xfrm>
              <a:off x="35797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7" name="TextBox 716">
              <a:extLst>
                <a:ext uri="{FF2B5EF4-FFF2-40B4-BE49-F238E27FC236}">
                  <a16:creationId xmlns:a16="http://schemas.microsoft.com/office/drawing/2014/main" id="{58E7058D-5468-4143-8D0B-9EF808C948EE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7" name="TextBox 716">
              <a:extLst>
                <a:ext uri="{FF2B5EF4-FFF2-40B4-BE49-F238E27FC236}">
                  <a16:creationId xmlns:a16="http://schemas.microsoft.com/office/drawing/2014/main" id="{58E7058D-5468-4143-8D0B-9EF808C948EE}"/>
                </a:ext>
              </a:extLst>
            </xdr:cNvPr>
            <xdr:cNvSpPr txBox="1"/>
          </xdr:nvSpPr>
          <xdr:spPr>
            <a:xfrm>
              <a:off x="44560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8" name="TextBox 717">
              <a:extLst>
                <a:ext uri="{FF2B5EF4-FFF2-40B4-BE49-F238E27FC236}">
                  <a16:creationId xmlns:a16="http://schemas.microsoft.com/office/drawing/2014/main" id="{ED88CA77-24D3-4CB7-BD25-CDB6DDE219A9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8" name="TextBox 717">
              <a:extLst>
                <a:ext uri="{FF2B5EF4-FFF2-40B4-BE49-F238E27FC236}">
                  <a16:creationId xmlns:a16="http://schemas.microsoft.com/office/drawing/2014/main" id="{ED88CA77-24D3-4CB7-BD25-CDB6DDE219A9}"/>
                </a:ext>
              </a:extLst>
            </xdr:cNvPr>
            <xdr:cNvSpPr txBox="1"/>
          </xdr:nvSpPr>
          <xdr:spPr>
            <a:xfrm>
              <a:off x="53323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9" name="TextBox 718">
              <a:extLst>
                <a:ext uri="{FF2B5EF4-FFF2-40B4-BE49-F238E27FC236}">
                  <a16:creationId xmlns:a16="http://schemas.microsoft.com/office/drawing/2014/main" id="{30308E2B-6691-433B-B993-A75017F25676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9" name="TextBox 718">
              <a:extLst>
                <a:ext uri="{FF2B5EF4-FFF2-40B4-BE49-F238E27FC236}">
                  <a16:creationId xmlns:a16="http://schemas.microsoft.com/office/drawing/2014/main" id="{30308E2B-6691-433B-B993-A75017F25676}"/>
                </a:ext>
              </a:extLst>
            </xdr:cNvPr>
            <xdr:cNvSpPr txBox="1"/>
          </xdr:nvSpPr>
          <xdr:spPr>
            <a:xfrm>
              <a:off x="62086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0" name="TextBox 719">
              <a:extLst>
                <a:ext uri="{FF2B5EF4-FFF2-40B4-BE49-F238E27FC236}">
                  <a16:creationId xmlns:a16="http://schemas.microsoft.com/office/drawing/2014/main" id="{E18A8E2E-7CE0-4426-8D89-8FC8545F0B8A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20" name="TextBox 719">
              <a:extLst>
                <a:ext uri="{FF2B5EF4-FFF2-40B4-BE49-F238E27FC236}">
                  <a16:creationId xmlns:a16="http://schemas.microsoft.com/office/drawing/2014/main" id="{E18A8E2E-7CE0-4426-8D89-8FC8545F0B8A}"/>
                </a:ext>
              </a:extLst>
            </xdr:cNvPr>
            <xdr:cNvSpPr txBox="1"/>
          </xdr:nvSpPr>
          <xdr:spPr>
            <a:xfrm>
              <a:off x="70849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124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1" name="TextBox 720">
              <a:extLst>
                <a:ext uri="{FF2B5EF4-FFF2-40B4-BE49-F238E27FC236}">
                  <a16:creationId xmlns:a16="http://schemas.microsoft.com/office/drawing/2014/main" id="{CC1F4D8E-F740-4A42-A138-580521633DB9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21" name="TextBox 720">
              <a:extLst>
                <a:ext uri="{FF2B5EF4-FFF2-40B4-BE49-F238E27FC236}">
                  <a16:creationId xmlns:a16="http://schemas.microsoft.com/office/drawing/2014/main" id="{CC1F4D8E-F740-4A42-A138-580521633DB9}"/>
                </a:ext>
              </a:extLst>
            </xdr:cNvPr>
            <xdr:cNvSpPr txBox="1"/>
          </xdr:nvSpPr>
          <xdr:spPr>
            <a:xfrm>
              <a:off x="7961207" y="2010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124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2" name="TextBox 721">
              <a:extLst>
                <a:ext uri="{FF2B5EF4-FFF2-40B4-BE49-F238E27FC236}">
                  <a16:creationId xmlns:a16="http://schemas.microsoft.com/office/drawing/2014/main" id="{710558AD-B30B-494B-B641-73D08B2BF55A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22" name="TextBox 721">
              <a:extLst>
                <a:ext uri="{FF2B5EF4-FFF2-40B4-BE49-F238E27FC236}">
                  <a16:creationId xmlns:a16="http://schemas.microsoft.com/office/drawing/2014/main" id="{710558AD-B30B-494B-B641-73D08B2BF55A}"/>
                </a:ext>
              </a:extLst>
            </xdr:cNvPr>
            <xdr:cNvSpPr txBox="1"/>
          </xdr:nvSpPr>
          <xdr:spPr>
            <a:xfrm>
              <a:off x="8837507" y="2010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3" name="TextBox 722">
              <a:extLst>
                <a:ext uri="{FF2B5EF4-FFF2-40B4-BE49-F238E27FC236}">
                  <a16:creationId xmlns:a16="http://schemas.microsoft.com/office/drawing/2014/main" id="{5270081F-643E-4FDF-80BF-6953417EA069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23" name="TextBox 722">
              <a:extLst>
                <a:ext uri="{FF2B5EF4-FFF2-40B4-BE49-F238E27FC236}">
                  <a16:creationId xmlns:a16="http://schemas.microsoft.com/office/drawing/2014/main" id="{5270081F-643E-4FDF-80BF-6953417EA069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4" name="TextBox 723">
              <a:extLst>
                <a:ext uri="{FF2B5EF4-FFF2-40B4-BE49-F238E27FC236}">
                  <a16:creationId xmlns:a16="http://schemas.microsoft.com/office/drawing/2014/main" id="{245FB66D-2FD8-4061-B0E1-F9FFA70E5528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24" name="TextBox 723">
              <a:extLst>
                <a:ext uri="{FF2B5EF4-FFF2-40B4-BE49-F238E27FC236}">
                  <a16:creationId xmlns:a16="http://schemas.microsoft.com/office/drawing/2014/main" id="{245FB66D-2FD8-4061-B0E1-F9FFA70E5528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5" name="TextBox 724">
              <a:extLst>
                <a:ext uri="{FF2B5EF4-FFF2-40B4-BE49-F238E27FC236}">
                  <a16:creationId xmlns:a16="http://schemas.microsoft.com/office/drawing/2014/main" id="{77FD1338-565F-4985-B1AB-AEC53ED6E933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25" name="TextBox 724">
              <a:extLst>
                <a:ext uri="{FF2B5EF4-FFF2-40B4-BE49-F238E27FC236}">
                  <a16:creationId xmlns:a16="http://schemas.microsoft.com/office/drawing/2014/main" id="{77FD1338-565F-4985-B1AB-AEC53ED6E933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6" name="TextBox 725">
              <a:extLst>
                <a:ext uri="{FF2B5EF4-FFF2-40B4-BE49-F238E27FC236}">
                  <a16:creationId xmlns:a16="http://schemas.microsoft.com/office/drawing/2014/main" id="{D136467C-B5D8-43EB-A410-3AE5483437C8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26" name="TextBox 725">
              <a:extLst>
                <a:ext uri="{FF2B5EF4-FFF2-40B4-BE49-F238E27FC236}">
                  <a16:creationId xmlns:a16="http://schemas.microsoft.com/office/drawing/2014/main" id="{D136467C-B5D8-43EB-A410-3AE5483437C8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7" name="TextBox 726">
              <a:extLst>
                <a:ext uri="{FF2B5EF4-FFF2-40B4-BE49-F238E27FC236}">
                  <a16:creationId xmlns:a16="http://schemas.microsoft.com/office/drawing/2014/main" id="{7C6DE91A-1F50-4DDE-A249-8FE4D4DAF978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27" name="TextBox 726">
              <a:extLst>
                <a:ext uri="{FF2B5EF4-FFF2-40B4-BE49-F238E27FC236}">
                  <a16:creationId xmlns:a16="http://schemas.microsoft.com/office/drawing/2014/main" id="{7C6DE91A-1F50-4DDE-A249-8FE4D4DAF978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8" name="TextBox 727">
              <a:extLst>
                <a:ext uri="{FF2B5EF4-FFF2-40B4-BE49-F238E27FC236}">
                  <a16:creationId xmlns:a16="http://schemas.microsoft.com/office/drawing/2014/main" id="{785AF216-0410-4437-B411-625A361ECF80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28" name="TextBox 727">
              <a:extLst>
                <a:ext uri="{FF2B5EF4-FFF2-40B4-BE49-F238E27FC236}">
                  <a16:creationId xmlns:a16="http://schemas.microsoft.com/office/drawing/2014/main" id="{785AF216-0410-4437-B411-625A361ECF80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9" name="TextBox 728">
              <a:extLst>
                <a:ext uri="{FF2B5EF4-FFF2-40B4-BE49-F238E27FC236}">
                  <a16:creationId xmlns:a16="http://schemas.microsoft.com/office/drawing/2014/main" id="{CD6E2FE8-393E-4CCC-B2E9-92C418D7A1A4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29" name="TextBox 728">
              <a:extLst>
                <a:ext uri="{FF2B5EF4-FFF2-40B4-BE49-F238E27FC236}">
                  <a16:creationId xmlns:a16="http://schemas.microsoft.com/office/drawing/2014/main" id="{CD6E2FE8-393E-4CCC-B2E9-92C418D7A1A4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0" name="TextBox 729">
              <a:extLst>
                <a:ext uri="{FF2B5EF4-FFF2-40B4-BE49-F238E27FC236}">
                  <a16:creationId xmlns:a16="http://schemas.microsoft.com/office/drawing/2014/main" id="{1C1DE40D-AD15-4E05-8B4E-A8DE511EED3E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30" name="TextBox 729">
              <a:extLst>
                <a:ext uri="{FF2B5EF4-FFF2-40B4-BE49-F238E27FC236}">
                  <a16:creationId xmlns:a16="http://schemas.microsoft.com/office/drawing/2014/main" id="{1C1DE40D-AD15-4E05-8B4E-A8DE511EED3E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1" name="TextBox 730">
              <a:extLst>
                <a:ext uri="{FF2B5EF4-FFF2-40B4-BE49-F238E27FC236}">
                  <a16:creationId xmlns:a16="http://schemas.microsoft.com/office/drawing/2014/main" id="{FB684E51-1EB9-46EB-B1F2-122687C08FC3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31" name="TextBox 730">
              <a:extLst>
                <a:ext uri="{FF2B5EF4-FFF2-40B4-BE49-F238E27FC236}">
                  <a16:creationId xmlns:a16="http://schemas.microsoft.com/office/drawing/2014/main" id="{FB684E51-1EB9-46EB-B1F2-122687C08FC3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2" name="TextBox 731">
              <a:extLst>
                <a:ext uri="{FF2B5EF4-FFF2-40B4-BE49-F238E27FC236}">
                  <a16:creationId xmlns:a16="http://schemas.microsoft.com/office/drawing/2014/main" id="{F0D33F5F-F69B-45AA-8703-CF251A324ADD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32" name="TextBox 731">
              <a:extLst>
                <a:ext uri="{FF2B5EF4-FFF2-40B4-BE49-F238E27FC236}">
                  <a16:creationId xmlns:a16="http://schemas.microsoft.com/office/drawing/2014/main" id="{F0D33F5F-F69B-45AA-8703-CF251A324ADD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3" name="TextBox 732">
              <a:extLst>
                <a:ext uri="{FF2B5EF4-FFF2-40B4-BE49-F238E27FC236}">
                  <a16:creationId xmlns:a16="http://schemas.microsoft.com/office/drawing/2014/main" id="{65AC8BD6-285D-40EC-9583-31F3FDFE7D3E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33" name="TextBox 732">
              <a:extLst>
                <a:ext uri="{FF2B5EF4-FFF2-40B4-BE49-F238E27FC236}">
                  <a16:creationId xmlns:a16="http://schemas.microsoft.com/office/drawing/2014/main" id="{65AC8BD6-285D-40EC-9583-31F3FDFE7D3E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4" name="TextBox 733">
              <a:extLst>
                <a:ext uri="{FF2B5EF4-FFF2-40B4-BE49-F238E27FC236}">
                  <a16:creationId xmlns:a16="http://schemas.microsoft.com/office/drawing/2014/main" id="{385A320E-E25A-43F8-94D6-EAA09EDFBFBE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34" name="TextBox 733">
              <a:extLst>
                <a:ext uri="{FF2B5EF4-FFF2-40B4-BE49-F238E27FC236}">
                  <a16:creationId xmlns:a16="http://schemas.microsoft.com/office/drawing/2014/main" id="{385A320E-E25A-43F8-94D6-EAA09EDFBFBE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5" name="TextBox 734">
              <a:extLst>
                <a:ext uri="{FF2B5EF4-FFF2-40B4-BE49-F238E27FC236}">
                  <a16:creationId xmlns:a16="http://schemas.microsoft.com/office/drawing/2014/main" id="{748ED761-EB85-420F-B30A-564D29472248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35" name="TextBox 734">
              <a:extLst>
                <a:ext uri="{FF2B5EF4-FFF2-40B4-BE49-F238E27FC236}">
                  <a16:creationId xmlns:a16="http://schemas.microsoft.com/office/drawing/2014/main" id="{748ED761-EB85-420F-B30A-564D29472248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6" name="TextBox 735">
              <a:extLst>
                <a:ext uri="{FF2B5EF4-FFF2-40B4-BE49-F238E27FC236}">
                  <a16:creationId xmlns:a16="http://schemas.microsoft.com/office/drawing/2014/main" id="{AF4A0F73-EFA6-45C1-A1DF-9700C721ACB0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36" name="TextBox 735">
              <a:extLst>
                <a:ext uri="{FF2B5EF4-FFF2-40B4-BE49-F238E27FC236}">
                  <a16:creationId xmlns:a16="http://schemas.microsoft.com/office/drawing/2014/main" id="{AF4A0F73-EFA6-45C1-A1DF-9700C721ACB0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7" name="TextBox 736">
              <a:extLst>
                <a:ext uri="{FF2B5EF4-FFF2-40B4-BE49-F238E27FC236}">
                  <a16:creationId xmlns:a16="http://schemas.microsoft.com/office/drawing/2014/main" id="{B6AB998B-04A1-4038-A061-837EC3975992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37" name="TextBox 736">
              <a:extLst>
                <a:ext uri="{FF2B5EF4-FFF2-40B4-BE49-F238E27FC236}">
                  <a16:creationId xmlns:a16="http://schemas.microsoft.com/office/drawing/2014/main" id="{B6AB998B-04A1-4038-A061-837EC3975992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8" name="TextBox 737">
              <a:extLst>
                <a:ext uri="{FF2B5EF4-FFF2-40B4-BE49-F238E27FC236}">
                  <a16:creationId xmlns:a16="http://schemas.microsoft.com/office/drawing/2014/main" id="{F3D8DA68-138C-4239-8F96-EFE6B641B4D0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38" name="TextBox 737">
              <a:extLst>
                <a:ext uri="{FF2B5EF4-FFF2-40B4-BE49-F238E27FC236}">
                  <a16:creationId xmlns:a16="http://schemas.microsoft.com/office/drawing/2014/main" id="{F3D8DA68-138C-4239-8F96-EFE6B641B4D0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9" name="TextBox 738">
              <a:extLst>
                <a:ext uri="{FF2B5EF4-FFF2-40B4-BE49-F238E27FC236}">
                  <a16:creationId xmlns:a16="http://schemas.microsoft.com/office/drawing/2014/main" id="{9B25D8CC-4DA3-45D1-A929-CF95FCE939F6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39" name="TextBox 738">
              <a:extLst>
                <a:ext uri="{FF2B5EF4-FFF2-40B4-BE49-F238E27FC236}">
                  <a16:creationId xmlns:a16="http://schemas.microsoft.com/office/drawing/2014/main" id="{9B25D8CC-4DA3-45D1-A929-CF95FCE939F6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0" name="TextBox 739">
              <a:extLst>
                <a:ext uri="{FF2B5EF4-FFF2-40B4-BE49-F238E27FC236}">
                  <a16:creationId xmlns:a16="http://schemas.microsoft.com/office/drawing/2014/main" id="{0AF64953-782C-40AF-930B-13C044F96950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40" name="TextBox 739">
              <a:extLst>
                <a:ext uri="{FF2B5EF4-FFF2-40B4-BE49-F238E27FC236}">
                  <a16:creationId xmlns:a16="http://schemas.microsoft.com/office/drawing/2014/main" id="{0AF64953-782C-40AF-930B-13C044F96950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1" name="TextBox 740">
              <a:extLst>
                <a:ext uri="{FF2B5EF4-FFF2-40B4-BE49-F238E27FC236}">
                  <a16:creationId xmlns:a16="http://schemas.microsoft.com/office/drawing/2014/main" id="{08BC7C7F-8029-402C-B561-4CE72A45F1A9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41" name="TextBox 740">
              <a:extLst>
                <a:ext uri="{FF2B5EF4-FFF2-40B4-BE49-F238E27FC236}">
                  <a16:creationId xmlns:a16="http://schemas.microsoft.com/office/drawing/2014/main" id="{08BC7C7F-8029-402C-B561-4CE72A45F1A9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2" name="TextBox 741">
              <a:extLst>
                <a:ext uri="{FF2B5EF4-FFF2-40B4-BE49-F238E27FC236}">
                  <a16:creationId xmlns:a16="http://schemas.microsoft.com/office/drawing/2014/main" id="{1DC2AD06-7059-43A4-A73F-C76325C737B6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42" name="TextBox 741">
              <a:extLst>
                <a:ext uri="{FF2B5EF4-FFF2-40B4-BE49-F238E27FC236}">
                  <a16:creationId xmlns:a16="http://schemas.microsoft.com/office/drawing/2014/main" id="{1DC2AD06-7059-43A4-A73F-C76325C737B6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3" name="TextBox 742">
              <a:extLst>
                <a:ext uri="{FF2B5EF4-FFF2-40B4-BE49-F238E27FC236}">
                  <a16:creationId xmlns:a16="http://schemas.microsoft.com/office/drawing/2014/main" id="{99055389-D4CF-42B9-B14F-2EA1B79AC90F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43" name="TextBox 742">
              <a:extLst>
                <a:ext uri="{FF2B5EF4-FFF2-40B4-BE49-F238E27FC236}">
                  <a16:creationId xmlns:a16="http://schemas.microsoft.com/office/drawing/2014/main" id="{99055389-D4CF-42B9-B14F-2EA1B79AC90F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4" name="TextBox 743">
              <a:extLst>
                <a:ext uri="{FF2B5EF4-FFF2-40B4-BE49-F238E27FC236}">
                  <a16:creationId xmlns:a16="http://schemas.microsoft.com/office/drawing/2014/main" id="{6A6ED87B-14F9-4A7C-8058-08E80C337549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44" name="TextBox 743">
              <a:extLst>
                <a:ext uri="{FF2B5EF4-FFF2-40B4-BE49-F238E27FC236}">
                  <a16:creationId xmlns:a16="http://schemas.microsoft.com/office/drawing/2014/main" id="{6A6ED87B-14F9-4A7C-8058-08E80C337549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5" name="TextBox 744">
              <a:extLst>
                <a:ext uri="{FF2B5EF4-FFF2-40B4-BE49-F238E27FC236}">
                  <a16:creationId xmlns:a16="http://schemas.microsoft.com/office/drawing/2014/main" id="{A60AE749-72F6-406C-99F8-A13CE8E009A6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45" name="TextBox 744">
              <a:extLst>
                <a:ext uri="{FF2B5EF4-FFF2-40B4-BE49-F238E27FC236}">
                  <a16:creationId xmlns:a16="http://schemas.microsoft.com/office/drawing/2014/main" id="{A60AE749-72F6-406C-99F8-A13CE8E009A6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6" name="TextBox 745">
              <a:extLst>
                <a:ext uri="{FF2B5EF4-FFF2-40B4-BE49-F238E27FC236}">
                  <a16:creationId xmlns:a16="http://schemas.microsoft.com/office/drawing/2014/main" id="{6DD06E72-14B9-4CFD-9474-6C422D49820E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46" name="TextBox 745">
              <a:extLst>
                <a:ext uri="{FF2B5EF4-FFF2-40B4-BE49-F238E27FC236}">
                  <a16:creationId xmlns:a16="http://schemas.microsoft.com/office/drawing/2014/main" id="{6DD06E72-14B9-4CFD-9474-6C422D49820E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7" name="TextBox 746">
              <a:extLst>
                <a:ext uri="{FF2B5EF4-FFF2-40B4-BE49-F238E27FC236}">
                  <a16:creationId xmlns:a16="http://schemas.microsoft.com/office/drawing/2014/main" id="{C13D85FB-7838-4F5A-A6E5-2ABF2CD7FB1D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47" name="TextBox 746">
              <a:extLst>
                <a:ext uri="{FF2B5EF4-FFF2-40B4-BE49-F238E27FC236}">
                  <a16:creationId xmlns:a16="http://schemas.microsoft.com/office/drawing/2014/main" id="{C13D85FB-7838-4F5A-A6E5-2ABF2CD7FB1D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8" name="TextBox 747">
              <a:extLst>
                <a:ext uri="{FF2B5EF4-FFF2-40B4-BE49-F238E27FC236}">
                  <a16:creationId xmlns:a16="http://schemas.microsoft.com/office/drawing/2014/main" id="{A9DA6478-E85F-43F5-99ED-4639977D2964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48" name="TextBox 747">
              <a:extLst>
                <a:ext uri="{FF2B5EF4-FFF2-40B4-BE49-F238E27FC236}">
                  <a16:creationId xmlns:a16="http://schemas.microsoft.com/office/drawing/2014/main" id="{A9DA6478-E85F-43F5-99ED-4639977D2964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9" name="TextBox 748">
              <a:extLst>
                <a:ext uri="{FF2B5EF4-FFF2-40B4-BE49-F238E27FC236}">
                  <a16:creationId xmlns:a16="http://schemas.microsoft.com/office/drawing/2014/main" id="{364659A1-3808-4712-B6DD-38B22C39F3E2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49" name="TextBox 748">
              <a:extLst>
                <a:ext uri="{FF2B5EF4-FFF2-40B4-BE49-F238E27FC236}">
                  <a16:creationId xmlns:a16="http://schemas.microsoft.com/office/drawing/2014/main" id="{364659A1-3808-4712-B6DD-38B22C39F3E2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0" name="TextBox 749">
              <a:extLst>
                <a:ext uri="{FF2B5EF4-FFF2-40B4-BE49-F238E27FC236}">
                  <a16:creationId xmlns:a16="http://schemas.microsoft.com/office/drawing/2014/main" id="{D838ED29-B8D0-4F79-A95A-92373F09C96E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50" name="TextBox 749">
              <a:extLst>
                <a:ext uri="{FF2B5EF4-FFF2-40B4-BE49-F238E27FC236}">
                  <a16:creationId xmlns:a16="http://schemas.microsoft.com/office/drawing/2014/main" id="{D838ED29-B8D0-4F79-A95A-92373F09C96E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1" name="TextBox 750">
              <a:extLst>
                <a:ext uri="{FF2B5EF4-FFF2-40B4-BE49-F238E27FC236}">
                  <a16:creationId xmlns:a16="http://schemas.microsoft.com/office/drawing/2014/main" id="{06E1D86C-AA2D-46E4-A36B-652C1667F1E9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51" name="TextBox 750">
              <a:extLst>
                <a:ext uri="{FF2B5EF4-FFF2-40B4-BE49-F238E27FC236}">
                  <a16:creationId xmlns:a16="http://schemas.microsoft.com/office/drawing/2014/main" id="{06E1D86C-AA2D-46E4-A36B-652C1667F1E9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2" name="TextBox 751">
              <a:extLst>
                <a:ext uri="{FF2B5EF4-FFF2-40B4-BE49-F238E27FC236}">
                  <a16:creationId xmlns:a16="http://schemas.microsoft.com/office/drawing/2014/main" id="{787CC3E6-595C-4D47-922F-54DE6A919FCF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52" name="TextBox 751">
              <a:extLst>
                <a:ext uri="{FF2B5EF4-FFF2-40B4-BE49-F238E27FC236}">
                  <a16:creationId xmlns:a16="http://schemas.microsoft.com/office/drawing/2014/main" id="{787CC3E6-595C-4D47-922F-54DE6A919FCF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3" name="TextBox 752">
              <a:extLst>
                <a:ext uri="{FF2B5EF4-FFF2-40B4-BE49-F238E27FC236}">
                  <a16:creationId xmlns:a16="http://schemas.microsoft.com/office/drawing/2014/main" id="{7A6E24F3-FAB7-417D-AA4F-4E496A957F30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53" name="TextBox 752">
              <a:extLst>
                <a:ext uri="{FF2B5EF4-FFF2-40B4-BE49-F238E27FC236}">
                  <a16:creationId xmlns:a16="http://schemas.microsoft.com/office/drawing/2014/main" id="{7A6E24F3-FAB7-417D-AA4F-4E496A957F30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4" name="TextBox 753">
              <a:extLst>
                <a:ext uri="{FF2B5EF4-FFF2-40B4-BE49-F238E27FC236}">
                  <a16:creationId xmlns:a16="http://schemas.microsoft.com/office/drawing/2014/main" id="{CA4070F1-D59C-4358-946C-49A52DEC6C87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54" name="TextBox 753">
              <a:extLst>
                <a:ext uri="{FF2B5EF4-FFF2-40B4-BE49-F238E27FC236}">
                  <a16:creationId xmlns:a16="http://schemas.microsoft.com/office/drawing/2014/main" id="{CA4070F1-D59C-4358-946C-49A52DEC6C87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5" name="TextBox 754">
              <a:extLst>
                <a:ext uri="{FF2B5EF4-FFF2-40B4-BE49-F238E27FC236}">
                  <a16:creationId xmlns:a16="http://schemas.microsoft.com/office/drawing/2014/main" id="{52D4B952-0045-4B31-BF78-7DC57A6FF6A1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55" name="TextBox 754">
              <a:extLst>
                <a:ext uri="{FF2B5EF4-FFF2-40B4-BE49-F238E27FC236}">
                  <a16:creationId xmlns:a16="http://schemas.microsoft.com/office/drawing/2014/main" id="{52D4B952-0045-4B31-BF78-7DC57A6FF6A1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6" name="TextBox 755">
              <a:extLst>
                <a:ext uri="{FF2B5EF4-FFF2-40B4-BE49-F238E27FC236}">
                  <a16:creationId xmlns:a16="http://schemas.microsoft.com/office/drawing/2014/main" id="{61B1714C-BDA2-4FED-B33C-E64086EFEE4B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56" name="TextBox 755">
              <a:extLst>
                <a:ext uri="{FF2B5EF4-FFF2-40B4-BE49-F238E27FC236}">
                  <a16:creationId xmlns:a16="http://schemas.microsoft.com/office/drawing/2014/main" id="{61B1714C-BDA2-4FED-B33C-E64086EFEE4B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7" name="TextBox 756">
              <a:extLst>
                <a:ext uri="{FF2B5EF4-FFF2-40B4-BE49-F238E27FC236}">
                  <a16:creationId xmlns:a16="http://schemas.microsoft.com/office/drawing/2014/main" id="{4AB72C58-E3D2-411B-934E-22BB6E6D5DFB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57" name="TextBox 756">
              <a:extLst>
                <a:ext uri="{FF2B5EF4-FFF2-40B4-BE49-F238E27FC236}">
                  <a16:creationId xmlns:a16="http://schemas.microsoft.com/office/drawing/2014/main" id="{4AB72C58-E3D2-411B-934E-22BB6E6D5DFB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8" name="TextBox 757">
              <a:extLst>
                <a:ext uri="{FF2B5EF4-FFF2-40B4-BE49-F238E27FC236}">
                  <a16:creationId xmlns:a16="http://schemas.microsoft.com/office/drawing/2014/main" id="{9C515BFA-B82F-47FE-8936-6BE496D74BB2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58" name="TextBox 757">
              <a:extLst>
                <a:ext uri="{FF2B5EF4-FFF2-40B4-BE49-F238E27FC236}">
                  <a16:creationId xmlns:a16="http://schemas.microsoft.com/office/drawing/2014/main" id="{9C515BFA-B82F-47FE-8936-6BE496D74BB2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9" name="TextBox 758">
              <a:extLst>
                <a:ext uri="{FF2B5EF4-FFF2-40B4-BE49-F238E27FC236}">
                  <a16:creationId xmlns:a16="http://schemas.microsoft.com/office/drawing/2014/main" id="{337EF1E5-B7D1-441D-8304-D39E79F5948D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59" name="TextBox 758">
              <a:extLst>
                <a:ext uri="{FF2B5EF4-FFF2-40B4-BE49-F238E27FC236}">
                  <a16:creationId xmlns:a16="http://schemas.microsoft.com/office/drawing/2014/main" id="{337EF1E5-B7D1-441D-8304-D39E79F5948D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0" name="TextBox 759">
              <a:extLst>
                <a:ext uri="{FF2B5EF4-FFF2-40B4-BE49-F238E27FC236}">
                  <a16:creationId xmlns:a16="http://schemas.microsoft.com/office/drawing/2014/main" id="{F5F0000A-5A9B-4FAC-AE2A-E220B5134581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60" name="TextBox 759">
              <a:extLst>
                <a:ext uri="{FF2B5EF4-FFF2-40B4-BE49-F238E27FC236}">
                  <a16:creationId xmlns:a16="http://schemas.microsoft.com/office/drawing/2014/main" id="{F5F0000A-5A9B-4FAC-AE2A-E220B5134581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1" name="TextBox 760">
              <a:extLst>
                <a:ext uri="{FF2B5EF4-FFF2-40B4-BE49-F238E27FC236}">
                  <a16:creationId xmlns:a16="http://schemas.microsoft.com/office/drawing/2014/main" id="{FA6F8FD8-0404-4220-ADA5-41F7420225DA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61" name="TextBox 760">
              <a:extLst>
                <a:ext uri="{FF2B5EF4-FFF2-40B4-BE49-F238E27FC236}">
                  <a16:creationId xmlns:a16="http://schemas.microsoft.com/office/drawing/2014/main" id="{FA6F8FD8-0404-4220-ADA5-41F7420225DA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2" name="TextBox 761">
              <a:extLst>
                <a:ext uri="{FF2B5EF4-FFF2-40B4-BE49-F238E27FC236}">
                  <a16:creationId xmlns:a16="http://schemas.microsoft.com/office/drawing/2014/main" id="{8485785D-C18F-4162-9EBB-0CD5A42C86D8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62" name="TextBox 761">
              <a:extLst>
                <a:ext uri="{FF2B5EF4-FFF2-40B4-BE49-F238E27FC236}">
                  <a16:creationId xmlns:a16="http://schemas.microsoft.com/office/drawing/2014/main" id="{8485785D-C18F-4162-9EBB-0CD5A42C86D8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3" name="TextBox 762">
              <a:extLst>
                <a:ext uri="{FF2B5EF4-FFF2-40B4-BE49-F238E27FC236}">
                  <a16:creationId xmlns:a16="http://schemas.microsoft.com/office/drawing/2014/main" id="{2AEC944A-6C27-45B7-AEB0-43EEA8E35C70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63" name="TextBox 762">
              <a:extLst>
                <a:ext uri="{FF2B5EF4-FFF2-40B4-BE49-F238E27FC236}">
                  <a16:creationId xmlns:a16="http://schemas.microsoft.com/office/drawing/2014/main" id="{2AEC944A-6C27-45B7-AEB0-43EEA8E35C70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4" name="TextBox 763">
              <a:extLst>
                <a:ext uri="{FF2B5EF4-FFF2-40B4-BE49-F238E27FC236}">
                  <a16:creationId xmlns:a16="http://schemas.microsoft.com/office/drawing/2014/main" id="{613417A2-F8C4-41DE-AE6C-4088A1830043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64" name="TextBox 763">
              <a:extLst>
                <a:ext uri="{FF2B5EF4-FFF2-40B4-BE49-F238E27FC236}">
                  <a16:creationId xmlns:a16="http://schemas.microsoft.com/office/drawing/2014/main" id="{613417A2-F8C4-41DE-AE6C-4088A1830043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5" name="TextBox 764">
              <a:extLst>
                <a:ext uri="{FF2B5EF4-FFF2-40B4-BE49-F238E27FC236}">
                  <a16:creationId xmlns:a16="http://schemas.microsoft.com/office/drawing/2014/main" id="{6A8C0FEF-C294-426F-B98B-55A346FB01DC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65" name="TextBox 764">
              <a:extLst>
                <a:ext uri="{FF2B5EF4-FFF2-40B4-BE49-F238E27FC236}">
                  <a16:creationId xmlns:a16="http://schemas.microsoft.com/office/drawing/2014/main" id="{6A8C0FEF-C294-426F-B98B-55A346FB01DC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6" name="TextBox 765">
              <a:extLst>
                <a:ext uri="{FF2B5EF4-FFF2-40B4-BE49-F238E27FC236}">
                  <a16:creationId xmlns:a16="http://schemas.microsoft.com/office/drawing/2014/main" id="{839B6915-A8C2-4772-B940-62F62072EBFE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66" name="TextBox 765">
              <a:extLst>
                <a:ext uri="{FF2B5EF4-FFF2-40B4-BE49-F238E27FC236}">
                  <a16:creationId xmlns:a16="http://schemas.microsoft.com/office/drawing/2014/main" id="{839B6915-A8C2-4772-B940-62F62072EBFE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7" name="TextBox 766">
              <a:extLst>
                <a:ext uri="{FF2B5EF4-FFF2-40B4-BE49-F238E27FC236}">
                  <a16:creationId xmlns:a16="http://schemas.microsoft.com/office/drawing/2014/main" id="{AA0467E7-F6C7-42E1-B6D4-C1C2E86705B0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67" name="TextBox 766">
              <a:extLst>
                <a:ext uri="{FF2B5EF4-FFF2-40B4-BE49-F238E27FC236}">
                  <a16:creationId xmlns:a16="http://schemas.microsoft.com/office/drawing/2014/main" id="{AA0467E7-F6C7-42E1-B6D4-C1C2E86705B0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8" name="TextBox 767">
              <a:extLst>
                <a:ext uri="{FF2B5EF4-FFF2-40B4-BE49-F238E27FC236}">
                  <a16:creationId xmlns:a16="http://schemas.microsoft.com/office/drawing/2014/main" id="{69176117-4D1E-48F3-9FBC-CED8BA4B97B3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68" name="TextBox 767">
              <a:extLst>
                <a:ext uri="{FF2B5EF4-FFF2-40B4-BE49-F238E27FC236}">
                  <a16:creationId xmlns:a16="http://schemas.microsoft.com/office/drawing/2014/main" id="{69176117-4D1E-48F3-9FBC-CED8BA4B97B3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9" name="TextBox 768">
              <a:extLst>
                <a:ext uri="{FF2B5EF4-FFF2-40B4-BE49-F238E27FC236}">
                  <a16:creationId xmlns:a16="http://schemas.microsoft.com/office/drawing/2014/main" id="{9EF349EC-50FE-45D8-BF44-F374369E83E3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69" name="TextBox 768">
              <a:extLst>
                <a:ext uri="{FF2B5EF4-FFF2-40B4-BE49-F238E27FC236}">
                  <a16:creationId xmlns:a16="http://schemas.microsoft.com/office/drawing/2014/main" id="{9EF349EC-50FE-45D8-BF44-F374369E83E3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0" name="TextBox 769">
              <a:extLst>
                <a:ext uri="{FF2B5EF4-FFF2-40B4-BE49-F238E27FC236}">
                  <a16:creationId xmlns:a16="http://schemas.microsoft.com/office/drawing/2014/main" id="{BFF17DE0-106B-4AAF-A18F-40BBA58140B3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70" name="TextBox 769">
              <a:extLst>
                <a:ext uri="{FF2B5EF4-FFF2-40B4-BE49-F238E27FC236}">
                  <a16:creationId xmlns:a16="http://schemas.microsoft.com/office/drawing/2014/main" id="{BFF17DE0-106B-4AAF-A18F-40BBA58140B3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1" name="TextBox 770">
              <a:extLst>
                <a:ext uri="{FF2B5EF4-FFF2-40B4-BE49-F238E27FC236}">
                  <a16:creationId xmlns:a16="http://schemas.microsoft.com/office/drawing/2014/main" id="{49EBDD10-E928-48E1-8494-0E1AE7725591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71" name="TextBox 770">
              <a:extLst>
                <a:ext uri="{FF2B5EF4-FFF2-40B4-BE49-F238E27FC236}">
                  <a16:creationId xmlns:a16="http://schemas.microsoft.com/office/drawing/2014/main" id="{49EBDD10-E928-48E1-8494-0E1AE7725591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2" name="TextBox 771">
              <a:extLst>
                <a:ext uri="{FF2B5EF4-FFF2-40B4-BE49-F238E27FC236}">
                  <a16:creationId xmlns:a16="http://schemas.microsoft.com/office/drawing/2014/main" id="{F4B75BCE-9143-403B-B173-D5BE49A75822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72" name="TextBox 771">
              <a:extLst>
                <a:ext uri="{FF2B5EF4-FFF2-40B4-BE49-F238E27FC236}">
                  <a16:creationId xmlns:a16="http://schemas.microsoft.com/office/drawing/2014/main" id="{F4B75BCE-9143-403B-B173-D5BE49A75822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3" name="TextBox 772">
              <a:extLst>
                <a:ext uri="{FF2B5EF4-FFF2-40B4-BE49-F238E27FC236}">
                  <a16:creationId xmlns:a16="http://schemas.microsoft.com/office/drawing/2014/main" id="{93963AF5-CBFE-41D2-8020-C2C13DAF219E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73" name="TextBox 772">
              <a:extLst>
                <a:ext uri="{FF2B5EF4-FFF2-40B4-BE49-F238E27FC236}">
                  <a16:creationId xmlns:a16="http://schemas.microsoft.com/office/drawing/2014/main" id="{93963AF5-CBFE-41D2-8020-C2C13DAF219E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4" name="TextBox 773">
              <a:extLst>
                <a:ext uri="{FF2B5EF4-FFF2-40B4-BE49-F238E27FC236}">
                  <a16:creationId xmlns:a16="http://schemas.microsoft.com/office/drawing/2014/main" id="{7D8C7E56-513F-4C0B-BCB3-0170D659F48F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74" name="TextBox 773">
              <a:extLst>
                <a:ext uri="{FF2B5EF4-FFF2-40B4-BE49-F238E27FC236}">
                  <a16:creationId xmlns:a16="http://schemas.microsoft.com/office/drawing/2014/main" id="{7D8C7E56-513F-4C0B-BCB3-0170D659F48F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5" name="TextBox 774">
              <a:extLst>
                <a:ext uri="{FF2B5EF4-FFF2-40B4-BE49-F238E27FC236}">
                  <a16:creationId xmlns:a16="http://schemas.microsoft.com/office/drawing/2014/main" id="{C09D3B7D-05AE-45F2-A00F-9298175D6A70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75" name="TextBox 774">
              <a:extLst>
                <a:ext uri="{FF2B5EF4-FFF2-40B4-BE49-F238E27FC236}">
                  <a16:creationId xmlns:a16="http://schemas.microsoft.com/office/drawing/2014/main" id="{C09D3B7D-05AE-45F2-A00F-9298175D6A70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6" name="TextBox 775">
              <a:extLst>
                <a:ext uri="{FF2B5EF4-FFF2-40B4-BE49-F238E27FC236}">
                  <a16:creationId xmlns:a16="http://schemas.microsoft.com/office/drawing/2014/main" id="{6CD073A8-14C2-4829-8AC2-C311E2095151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76" name="TextBox 775">
              <a:extLst>
                <a:ext uri="{FF2B5EF4-FFF2-40B4-BE49-F238E27FC236}">
                  <a16:creationId xmlns:a16="http://schemas.microsoft.com/office/drawing/2014/main" id="{6CD073A8-14C2-4829-8AC2-C311E2095151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7" name="TextBox 776">
              <a:extLst>
                <a:ext uri="{FF2B5EF4-FFF2-40B4-BE49-F238E27FC236}">
                  <a16:creationId xmlns:a16="http://schemas.microsoft.com/office/drawing/2014/main" id="{4886ED24-A751-47B9-9AF0-1DF3D5ABFE24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77" name="TextBox 776">
              <a:extLst>
                <a:ext uri="{FF2B5EF4-FFF2-40B4-BE49-F238E27FC236}">
                  <a16:creationId xmlns:a16="http://schemas.microsoft.com/office/drawing/2014/main" id="{4886ED24-A751-47B9-9AF0-1DF3D5ABFE24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8" name="TextBox 777">
              <a:extLst>
                <a:ext uri="{FF2B5EF4-FFF2-40B4-BE49-F238E27FC236}">
                  <a16:creationId xmlns:a16="http://schemas.microsoft.com/office/drawing/2014/main" id="{66306BC3-141D-4698-AD21-8165CC5EB534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78" name="TextBox 777">
              <a:extLst>
                <a:ext uri="{FF2B5EF4-FFF2-40B4-BE49-F238E27FC236}">
                  <a16:creationId xmlns:a16="http://schemas.microsoft.com/office/drawing/2014/main" id="{66306BC3-141D-4698-AD21-8165CC5EB534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9" name="TextBox 778">
              <a:extLst>
                <a:ext uri="{FF2B5EF4-FFF2-40B4-BE49-F238E27FC236}">
                  <a16:creationId xmlns:a16="http://schemas.microsoft.com/office/drawing/2014/main" id="{82AD2FCD-8D65-4F2D-B2FB-6AC0961B8B76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79" name="TextBox 778">
              <a:extLst>
                <a:ext uri="{FF2B5EF4-FFF2-40B4-BE49-F238E27FC236}">
                  <a16:creationId xmlns:a16="http://schemas.microsoft.com/office/drawing/2014/main" id="{82AD2FCD-8D65-4F2D-B2FB-6AC0961B8B76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0" name="TextBox 779">
              <a:extLst>
                <a:ext uri="{FF2B5EF4-FFF2-40B4-BE49-F238E27FC236}">
                  <a16:creationId xmlns:a16="http://schemas.microsoft.com/office/drawing/2014/main" id="{EB495866-79B4-4D73-B6E3-E5B65BF5562B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80" name="TextBox 779">
              <a:extLst>
                <a:ext uri="{FF2B5EF4-FFF2-40B4-BE49-F238E27FC236}">
                  <a16:creationId xmlns:a16="http://schemas.microsoft.com/office/drawing/2014/main" id="{EB495866-79B4-4D73-B6E3-E5B65BF5562B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1" name="TextBox 780">
              <a:extLst>
                <a:ext uri="{FF2B5EF4-FFF2-40B4-BE49-F238E27FC236}">
                  <a16:creationId xmlns:a16="http://schemas.microsoft.com/office/drawing/2014/main" id="{CF33179C-93E0-42B1-8193-8C0C8C5D49C9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81" name="TextBox 780">
              <a:extLst>
                <a:ext uri="{FF2B5EF4-FFF2-40B4-BE49-F238E27FC236}">
                  <a16:creationId xmlns:a16="http://schemas.microsoft.com/office/drawing/2014/main" id="{CF33179C-93E0-42B1-8193-8C0C8C5D49C9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2" name="TextBox 781">
              <a:extLst>
                <a:ext uri="{FF2B5EF4-FFF2-40B4-BE49-F238E27FC236}">
                  <a16:creationId xmlns:a16="http://schemas.microsoft.com/office/drawing/2014/main" id="{A0BCA134-DD61-443A-972D-B2CEC9D54AD0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82" name="TextBox 781">
              <a:extLst>
                <a:ext uri="{FF2B5EF4-FFF2-40B4-BE49-F238E27FC236}">
                  <a16:creationId xmlns:a16="http://schemas.microsoft.com/office/drawing/2014/main" id="{A0BCA134-DD61-443A-972D-B2CEC9D54AD0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3" name="TextBox 782">
              <a:extLst>
                <a:ext uri="{FF2B5EF4-FFF2-40B4-BE49-F238E27FC236}">
                  <a16:creationId xmlns:a16="http://schemas.microsoft.com/office/drawing/2014/main" id="{80E02D1F-F03D-4128-B7EA-B298C8CE860F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83" name="TextBox 782">
              <a:extLst>
                <a:ext uri="{FF2B5EF4-FFF2-40B4-BE49-F238E27FC236}">
                  <a16:creationId xmlns:a16="http://schemas.microsoft.com/office/drawing/2014/main" id="{80E02D1F-F03D-4128-B7EA-B298C8CE860F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4" name="TextBox 783">
              <a:extLst>
                <a:ext uri="{FF2B5EF4-FFF2-40B4-BE49-F238E27FC236}">
                  <a16:creationId xmlns:a16="http://schemas.microsoft.com/office/drawing/2014/main" id="{FF8D7542-E67E-493D-937C-A42DC0EF4E94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84" name="TextBox 783">
              <a:extLst>
                <a:ext uri="{FF2B5EF4-FFF2-40B4-BE49-F238E27FC236}">
                  <a16:creationId xmlns:a16="http://schemas.microsoft.com/office/drawing/2014/main" id="{FF8D7542-E67E-493D-937C-A42DC0EF4E94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5" name="TextBox 784">
              <a:extLst>
                <a:ext uri="{FF2B5EF4-FFF2-40B4-BE49-F238E27FC236}">
                  <a16:creationId xmlns:a16="http://schemas.microsoft.com/office/drawing/2014/main" id="{BC64E5B1-571D-475A-85C4-25DC50F81F7B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85" name="TextBox 784">
              <a:extLst>
                <a:ext uri="{FF2B5EF4-FFF2-40B4-BE49-F238E27FC236}">
                  <a16:creationId xmlns:a16="http://schemas.microsoft.com/office/drawing/2014/main" id="{BC64E5B1-571D-475A-85C4-25DC50F81F7B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6" name="TextBox 785">
              <a:extLst>
                <a:ext uri="{FF2B5EF4-FFF2-40B4-BE49-F238E27FC236}">
                  <a16:creationId xmlns:a16="http://schemas.microsoft.com/office/drawing/2014/main" id="{3BF4368B-C91D-4C42-825A-B5D92CB04565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86" name="TextBox 785">
              <a:extLst>
                <a:ext uri="{FF2B5EF4-FFF2-40B4-BE49-F238E27FC236}">
                  <a16:creationId xmlns:a16="http://schemas.microsoft.com/office/drawing/2014/main" id="{3BF4368B-C91D-4C42-825A-B5D92CB04565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7" name="TextBox 786">
              <a:extLst>
                <a:ext uri="{FF2B5EF4-FFF2-40B4-BE49-F238E27FC236}">
                  <a16:creationId xmlns:a16="http://schemas.microsoft.com/office/drawing/2014/main" id="{75546107-966C-4770-AF79-10ECA4DA065C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87" name="TextBox 786">
              <a:extLst>
                <a:ext uri="{FF2B5EF4-FFF2-40B4-BE49-F238E27FC236}">
                  <a16:creationId xmlns:a16="http://schemas.microsoft.com/office/drawing/2014/main" id="{75546107-966C-4770-AF79-10ECA4DA065C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8" name="TextBox 787">
              <a:extLst>
                <a:ext uri="{FF2B5EF4-FFF2-40B4-BE49-F238E27FC236}">
                  <a16:creationId xmlns:a16="http://schemas.microsoft.com/office/drawing/2014/main" id="{087C2290-2BFA-47B1-B46F-8398078FF680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88" name="TextBox 787">
              <a:extLst>
                <a:ext uri="{FF2B5EF4-FFF2-40B4-BE49-F238E27FC236}">
                  <a16:creationId xmlns:a16="http://schemas.microsoft.com/office/drawing/2014/main" id="{087C2290-2BFA-47B1-B46F-8398078FF680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9" name="TextBox 788">
              <a:extLst>
                <a:ext uri="{FF2B5EF4-FFF2-40B4-BE49-F238E27FC236}">
                  <a16:creationId xmlns:a16="http://schemas.microsoft.com/office/drawing/2014/main" id="{9BE435CB-C998-41E7-A673-340379D1FC0B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89" name="TextBox 788">
              <a:extLst>
                <a:ext uri="{FF2B5EF4-FFF2-40B4-BE49-F238E27FC236}">
                  <a16:creationId xmlns:a16="http://schemas.microsoft.com/office/drawing/2014/main" id="{9BE435CB-C998-41E7-A673-340379D1FC0B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0" name="TextBox 789">
              <a:extLst>
                <a:ext uri="{FF2B5EF4-FFF2-40B4-BE49-F238E27FC236}">
                  <a16:creationId xmlns:a16="http://schemas.microsoft.com/office/drawing/2014/main" id="{82D9F9AA-0B35-4B47-8F98-B91B13FAC758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90" name="TextBox 789">
              <a:extLst>
                <a:ext uri="{FF2B5EF4-FFF2-40B4-BE49-F238E27FC236}">
                  <a16:creationId xmlns:a16="http://schemas.microsoft.com/office/drawing/2014/main" id="{82D9F9AA-0B35-4B47-8F98-B91B13FAC758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1" name="TextBox 790">
              <a:extLst>
                <a:ext uri="{FF2B5EF4-FFF2-40B4-BE49-F238E27FC236}">
                  <a16:creationId xmlns:a16="http://schemas.microsoft.com/office/drawing/2014/main" id="{BA558D30-8830-4E0A-8CCE-A4374E360CB3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91" name="TextBox 790">
              <a:extLst>
                <a:ext uri="{FF2B5EF4-FFF2-40B4-BE49-F238E27FC236}">
                  <a16:creationId xmlns:a16="http://schemas.microsoft.com/office/drawing/2014/main" id="{BA558D30-8830-4E0A-8CCE-A4374E360CB3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2" name="TextBox 791">
              <a:extLst>
                <a:ext uri="{FF2B5EF4-FFF2-40B4-BE49-F238E27FC236}">
                  <a16:creationId xmlns:a16="http://schemas.microsoft.com/office/drawing/2014/main" id="{071AB2CD-D670-48EB-B8DD-C6F2CAB118A9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92" name="TextBox 791">
              <a:extLst>
                <a:ext uri="{FF2B5EF4-FFF2-40B4-BE49-F238E27FC236}">
                  <a16:creationId xmlns:a16="http://schemas.microsoft.com/office/drawing/2014/main" id="{071AB2CD-D670-48EB-B8DD-C6F2CAB118A9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3" name="TextBox 792">
              <a:extLst>
                <a:ext uri="{FF2B5EF4-FFF2-40B4-BE49-F238E27FC236}">
                  <a16:creationId xmlns:a16="http://schemas.microsoft.com/office/drawing/2014/main" id="{B69FF992-D6F1-44A0-BFE0-94A9BCECD407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93" name="TextBox 792">
              <a:extLst>
                <a:ext uri="{FF2B5EF4-FFF2-40B4-BE49-F238E27FC236}">
                  <a16:creationId xmlns:a16="http://schemas.microsoft.com/office/drawing/2014/main" id="{B69FF992-D6F1-44A0-BFE0-94A9BCECD407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4" name="TextBox 793">
              <a:extLst>
                <a:ext uri="{FF2B5EF4-FFF2-40B4-BE49-F238E27FC236}">
                  <a16:creationId xmlns:a16="http://schemas.microsoft.com/office/drawing/2014/main" id="{A1135E28-92CE-4B1C-A35A-1E9A31EEDC2F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94" name="TextBox 793">
              <a:extLst>
                <a:ext uri="{FF2B5EF4-FFF2-40B4-BE49-F238E27FC236}">
                  <a16:creationId xmlns:a16="http://schemas.microsoft.com/office/drawing/2014/main" id="{A1135E28-92CE-4B1C-A35A-1E9A31EEDC2F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5" name="TextBox 794">
              <a:extLst>
                <a:ext uri="{FF2B5EF4-FFF2-40B4-BE49-F238E27FC236}">
                  <a16:creationId xmlns:a16="http://schemas.microsoft.com/office/drawing/2014/main" id="{4AD56A59-4532-4270-9AFC-87126ACC070D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95" name="TextBox 794">
              <a:extLst>
                <a:ext uri="{FF2B5EF4-FFF2-40B4-BE49-F238E27FC236}">
                  <a16:creationId xmlns:a16="http://schemas.microsoft.com/office/drawing/2014/main" id="{4AD56A59-4532-4270-9AFC-87126ACC070D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6" name="TextBox 795">
              <a:extLst>
                <a:ext uri="{FF2B5EF4-FFF2-40B4-BE49-F238E27FC236}">
                  <a16:creationId xmlns:a16="http://schemas.microsoft.com/office/drawing/2014/main" id="{E93DA842-8960-4A2B-BE14-5F60F9EDF172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96" name="TextBox 795">
              <a:extLst>
                <a:ext uri="{FF2B5EF4-FFF2-40B4-BE49-F238E27FC236}">
                  <a16:creationId xmlns:a16="http://schemas.microsoft.com/office/drawing/2014/main" id="{E93DA842-8960-4A2B-BE14-5F60F9EDF172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7" name="TextBox 796">
              <a:extLst>
                <a:ext uri="{FF2B5EF4-FFF2-40B4-BE49-F238E27FC236}">
                  <a16:creationId xmlns:a16="http://schemas.microsoft.com/office/drawing/2014/main" id="{6930521A-67A7-44EE-B9A7-6A7E0525B872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97" name="TextBox 796">
              <a:extLst>
                <a:ext uri="{FF2B5EF4-FFF2-40B4-BE49-F238E27FC236}">
                  <a16:creationId xmlns:a16="http://schemas.microsoft.com/office/drawing/2014/main" id="{6930521A-67A7-44EE-B9A7-6A7E0525B872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8" name="TextBox 797">
              <a:extLst>
                <a:ext uri="{FF2B5EF4-FFF2-40B4-BE49-F238E27FC236}">
                  <a16:creationId xmlns:a16="http://schemas.microsoft.com/office/drawing/2014/main" id="{2EDE680E-36D4-4DD8-A887-D1235EF60E9F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98" name="TextBox 797">
              <a:extLst>
                <a:ext uri="{FF2B5EF4-FFF2-40B4-BE49-F238E27FC236}">
                  <a16:creationId xmlns:a16="http://schemas.microsoft.com/office/drawing/2014/main" id="{2EDE680E-36D4-4DD8-A887-D1235EF60E9F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9" name="TextBox 798">
              <a:extLst>
                <a:ext uri="{FF2B5EF4-FFF2-40B4-BE49-F238E27FC236}">
                  <a16:creationId xmlns:a16="http://schemas.microsoft.com/office/drawing/2014/main" id="{0C53FFF5-DF7F-49CD-9387-50D4E2DF2D6E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99" name="TextBox 798">
              <a:extLst>
                <a:ext uri="{FF2B5EF4-FFF2-40B4-BE49-F238E27FC236}">
                  <a16:creationId xmlns:a16="http://schemas.microsoft.com/office/drawing/2014/main" id="{0C53FFF5-DF7F-49CD-9387-50D4E2DF2D6E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0" name="TextBox 799">
              <a:extLst>
                <a:ext uri="{FF2B5EF4-FFF2-40B4-BE49-F238E27FC236}">
                  <a16:creationId xmlns:a16="http://schemas.microsoft.com/office/drawing/2014/main" id="{6A37BD89-6DA9-490A-9AEE-BA2E63342FFA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00" name="TextBox 799">
              <a:extLst>
                <a:ext uri="{FF2B5EF4-FFF2-40B4-BE49-F238E27FC236}">
                  <a16:creationId xmlns:a16="http://schemas.microsoft.com/office/drawing/2014/main" id="{6A37BD89-6DA9-490A-9AEE-BA2E63342FFA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1" name="TextBox 800">
              <a:extLst>
                <a:ext uri="{FF2B5EF4-FFF2-40B4-BE49-F238E27FC236}">
                  <a16:creationId xmlns:a16="http://schemas.microsoft.com/office/drawing/2014/main" id="{C917992E-22CA-496E-9786-4CCE263A2273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01" name="TextBox 800">
              <a:extLst>
                <a:ext uri="{FF2B5EF4-FFF2-40B4-BE49-F238E27FC236}">
                  <a16:creationId xmlns:a16="http://schemas.microsoft.com/office/drawing/2014/main" id="{C917992E-22CA-496E-9786-4CCE263A2273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2" name="TextBox 801">
              <a:extLst>
                <a:ext uri="{FF2B5EF4-FFF2-40B4-BE49-F238E27FC236}">
                  <a16:creationId xmlns:a16="http://schemas.microsoft.com/office/drawing/2014/main" id="{B80BB829-39AF-4076-A07D-35F13324DC40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02" name="TextBox 801">
              <a:extLst>
                <a:ext uri="{FF2B5EF4-FFF2-40B4-BE49-F238E27FC236}">
                  <a16:creationId xmlns:a16="http://schemas.microsoft.com/office/drawing/2014/main" id="{B80BB829-39AF-4076-A07D-35F13324DC40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3" name="TextBox 802">
              <a:extLst>
                <a:ext uri="{FF2B5EF4-FFF2-40B4-BE49-F238E27FC236}">
                  <a16:creationId xmlns:a16="http://schemas.microsoft.com/office/drawing/2014/main" id="{9277C72B-0B34-4122-8E9E-BAE8C768A459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03" name="TextBox 802">
              <a:extLst>
                <a:ext uri="{FF2B5EF4-FFF2-40B4-BE49-F238E27FC236}">
                  <a16:creationId xmlns:a16="http://schemas.microsoft.com/office/drawing/2014/main" id="{9277C72B-0B34-4122-8E9E-BAE8C768A459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4" name="TextBox 803">
              <a:extLst>
                <a:ext uri="{FF2B5EF4-FFF2-40B4-BE49-F238E27FC236}">
                  <a16:creationId xmlns:a16="http://schemas.microsoft.com/office/drawing/2014/main" id="{7ADB7806-60C5-45B3-BA45-8D07337DC92F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04" name="TextBox 803">
              <a:extLst>
                <a:ext uri="{FF2B5EF4-FFF2-40B4-BE49-F238E27FC236}">
                  <a16:creationId xmlns:a16="http://schemas.microsoft.com/office/drawing/2014/main" id="{7ADB7806-60C5-45B3-BA45-8D07337DC92F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5" name="TextBox 804">
              <a:extLst>
                <a:ext uri="{FF2B5EF4-FFF2-40B4-BE49-F238E27FC236}">
                  <a16:creationId xmlns:a16="http://schemas.microsoft.com/office/drawing/2014/main" id="{03BE54DC-2137-41E3-AF07-D388807C7C96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05" name="TextBox 804">
              <a:extLst>
                <a:ext uri="{FF2B5EF4-FFF2-40B4-BE49-F238E27FC236}">
                  <a16:creationId xmlns:a16="http://schemas.microsoft.com/office/drawing/2014/main" id="{03BE54DC-2137-41E3-AF07-D388807C7C96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6" name="TextBox 805">
              <a:extLst>
                <a:ext uri="{FF2B5EF4-FFF2-40B4-BE49-F238E27FC236}">
                  <a16:creationId xmlns:a16="http://schemas.microsoft.com/office/drawing/2014/main" id="{95D2EE90-75D4-4BC1-A106-0BE5999B14EA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06" name="TextBox 805">
              <a:extLst>
                <a:ext uri="{FF2B5EF4-FFF2-40B4-BE49-F238E27FC236}">
                  <a16:creationId xmlns:a16="http://schemas.microsoft.com/office/drawing/2014/main" id="{95D2EE90-75D4-4BC1-A106-0BE5999B14EA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7" name="TextBox 806">
              <a:extLst>
                <a:ext uri="{FF2B5EF4-FFF2-40B4-BE49-F238E27FC236}">
                  <a16:creationId xmlns:a16="http://schemas.microsoft.com/office/drawing/2014/main" id="{6D091A06-C91F-4DCC-9A8D-3D50EBEF9FB1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07" name="TextBox 806">
              <a:extLst>
                <a:ext uri="{FF2B5EF4-FFF2-40B4-BE49-F238E27FC236}">
                  <a16:creationId xmlns:a16="http://schemas.microsoft.com/office/drawing/2014/main" id="{6D091A06-C91F-4DCC-9A8D-3D50EBEF9FB1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8" name="TextBox 807">
              <a:extLst>
                <a:ext uri="{FF2B5EF4-FFF2-40B4-BE49-F238E27FC236}">
                  <a16:creationId xmlns:a16="http://schemas.microsoft.com/office/drawing/2014/main" id="{5CCC7039-26C7-4E9E-928B-6486A5D05FF7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08" name="TextBox 807">
              <a:extLst>
                <a:ext uri="{FF2B5EF4-FFF2-40B4-BE49-F238E27FC236}">
                  <a16:creationId xmlns:a16="http://schemas.microsoft.com/office/drawing/2014/main" id="{5CCC7039-26C7-4E9E-928B-6486A5D05FF7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9" name="TextBox 808">
              <a:extLst>
                <a:ext uri="{FF2B5EF4-FFF2-40B4-BE49-F238E27FC236}">
                  <a16:creationId xmlns:a16="http://schemas.microsoft.com/office/drawing/2014/main" id="{7F463DB4-1977-4C37-BB86-24387D503397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09" name="TextBox 808">
              <a:extLst>
                <a:ext uri="{FF2B5EF4-FFF2-40B4-BE49-F238E27FC236}">
                  <a16:creationId xmlns:a16="http://schemas.microsoft.com/office/drawing/2014/main" id="{7F463DB4-1977-4C37-BB86-24387D503397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0" name="TextBox 809">
              <a:extLst>
                <a:ext uri="{FF2B5EF4-FFF2-40B4-BE49-F238E27FC236}">
                  <a16:creationId xmlns:a16="http://schemas.microsoft.com/office/drawing/2014/main" id="{271171E1-2BA3-46FC-A7FA-8F947642AE20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10" name="TextBox 809">
              <a:extLst>
                <a:ext uri="{FF2B5EF4-FFF2-40B4-BE49-F238E27FC236}">
                  <a16:creationId xmlns:a16="http://schemas.microsoft.com/office/drawing/2014/main" id="{271171E1-2BA3-46FC-A7FA-8F947642AE20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1" name="TextBox 810">
              <a:extLst>
                <a:ext uri="{FF2B5EF4-FFF2-40B4-BE49-F238E27FC236}">
                  <a16:creationId xmlns:a16="http://schemas.microsoft.com/office/drawing/2014/main" id="{D2B8AC94-7313-4EB4-ACE1-5E761D796984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11" name="TextBox 810">
              <a:extLst>
                <a:ext uri="{FF2B5EF4-FFF2-40B4-BE49-F238E27FC236}">
                  <a16:creationId xmlns:a16="http://schemas.microsoft.com/office/drawing/2014/main" id="{D2B8AC94-7313-4EB4-ACE1-5E761D796984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2" name="TextBox 811">
              <a:extLst>
                <a:ext uri="{FF2B5EF4-FFF2-40B4-BE49-F238E27FC236}">
                  <a16:creationId xmlns:a16="http://schemas.microsoft.com/office/drawing/2014/main" id="{70BC0BD6-110F-409C-AF8F-742D3B4E0EFF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12" name="TextBox 811">
              <a:extLst>
                <a:ext uri="{FF2B5EF4-FFF2-40B4-BE49-F238E27FC236}">
                  <a16:creationId xmlns:a16="http://schemas.microsoft.com/office/drawing/2014/main" id="{70BC0BD6-110F-409C-AF8F-742D3B4E0EFF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3" name="TextBox 812">
              <a:extLst>
                <a:ext uri="{FF2B5EF4-FFF2-40B4-BE49-F238E27FC236}">
                  <a16:creationId xmlns:a16="http://schemas.microsoft.com/office/drawing/2014/main" id="{3AE2C53F-ABE3-472D-9A83-484519D83F20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13" name="TextBox 812">
              <a:extLst>
                <a:ext uri="{FF2B5EF4-FFF2-40B4-BE49-F238E27FC236}">
                  <a16:creationId xmlns:a16="http://schemas.microsoft.com/office/drawing/2014/main" id="{3AE2C53F-ABE3-472D-9A83-484519D83F20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4" name="TextBox 813">
              <a:extLst>
                <a:ext uri="{FF2B5EF4-FFF2-40B4-BE49-F238E27FC236}">
                  <a16:creationId xmlns:a16="http://schemas.microsoft.com/office/drawing/2014/main" id="{6CE9402B-4D59-4BCA-AAFF-08E030760B6B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14" name="TextBox 813">
              <a:extLst>
                <a:ext uri="{FF2B5EF4-FFF2-40B4-BE49-F238E27FC236}">
                  <a16:creationId xmlns:a16="http://schemas.microsoft.com/office/drawing/2014/main" id="{6CE9402B-4D59-4BCA-AAFF-08E030760B6B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5" name="TextBox 814">
              <a:extLst>
                <a:ext uri="{FF2B5EF4-FFF2-40B4-BE49-F238E27FC236}">
                  <a16:creationId xmlns:a16="http://schemas.microsoft.com/office/drawing/2014/main" id="{7CE68BD3-53AA-4567-AF23-5C90C7931C54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15" name="TextBox 814">
              <a:extLst>
                <a:ext uri="{FF2B5EF4-FFF2-40B4-BE49-F238E27FC236}">
                  <a16:creationId xmlns:a16="http://schemas.microsoft.com/office/drawing/2014/main" id="{7CE68BD3-53AA-4567-AF23-5C90C7931C54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6" name="TextBox 815">
              <a:extLst>
                <a:ext uri="{FF2B5EF4-FFF2-40B4-BE49-F238E27FC236}">
                  <a16:creationId xmlns:a16="http://schemas.microsoft.com/office/drawing/2014/main" id="{F74497CD-55E6-4CEF-8A24-B3FDBF07D064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16" name="TextBox 815">
              <a:extLst>
                <a:ext uri="{FF2B5EF4-FFF2-40B4-BE49-F238E27FC236}">
                  <a16:creationId xmlns:a16="http://schemas.microsoft.com/office/drawing/2014/main" id="{F74497CD-55E6-4CEF-8A24-B3FDBF07D064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7" name="TextBox 816">
              <a:extLst>
                <a:ext uri="{FF2B5EF4-FFF2-40B4-BE49-F238E27FC236}">
                  <a16:creationId xmlns:a16="http://schemas.microsoft.com/office/drawing/2014/main" id="{7692A903-FB0E-494C-91D3-D09756BD5403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17" name="TextBox 816">
              <a:extLst>
                <a:ext uri="{FF2B5EF4-FFF2-40B4-BE49-F238E27FC236}">
                  <a16:creationId xmlns:a16="http://schemas.microsoft.com/office/drawing/2014/main" id="{7692A903-FB0E-494C-91D3-D09756BD5403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8" name="TextBox 817">
              <a:extLst>
                <a:ext uri="{FF2B5EF4-FFF2-40B4-BE49-F238E27FC236}">
                  <a16:creationId xmlns:a16="http://schemas.microsoft.com/office/drawing/2014/main" id="{A8262004-5741-4B04-8F46-398E9CC68E4E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18" name="TextBox 817">
              <a:extLst>
                <a:ext uri="{FF2B5EF4-FFF2-40B4-BE49-F238E27FC236}">
                  <a16:creationId xmlns:a16="http://schemas.microsoft.com/office/drawing/2014/main" id="{A8262004-5741-4B04-8F46-398E9CC68E4E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9" name="TextBox 818">
              <a:extLst>
                <a:ext uri="{FF2B5EF4-FFF2-40B4-BE49-F238E27FC236}">
                  <a16:creationId xmlns:a16="http://schemas.microsoft.com/office/drawing/2014/main" id="{2BCFFAFD-6A92-4423-9EF0-6A2BF467EF29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19" name="TextBox 818">
              <a:extLst>
                <a:ext uri="{FF2B5EF4-FFF2-40B4-BE49-F238E27FC236}">
                  <a16:creationId xmlns:a16="http://schemas.microsoft.com/office/drawing/2014/main" id="{2BCFFAFD-6A92-4423-9EF0-6A2BF467EF29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0" name="TextBox 819">
              <a:extLst>
                <a:ext uri="{FF2B5EF4-FFF2-40B4-BE49-F238E27FC236}">
                  <a16:creationId xmlns:a16="http://schemas.microsoft.com/office/drawing/2014/main" id="{B225171B-514E-4D71-8E75-7D3D1402C3A5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20" name="TextBox 819">
              <a:extLst>
                <a:ext uri="{FF2B5EF4-FFF2-40B4-BE49-F238E27FC236}">
                  <a16:creationId xmlns:a16="http://schemas.microsoft.com/office/drawing/2014/main" id="{B225171B-514E-4D71-8E75-7D3D1402C3A5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1" name="TextBox 820">
              <a:extLst>
                <a:ext uri="{FF2B5EF4-FFF2-40B4-BE49-F238E27FC236}">
                  <a16:creationId xmlns:a16="http://schemas.microsoft.com/office/drawing/2014/main" id="{604760BA-9E95-478E-823F-16420C7F8FAE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21" name="TextBox 820">
              <a:extLst>
                <a:ext uri="{FF2B5EF4-FFF2-40B4-BE49-F238E27FC236}">
                  <a16:creationId xmlns:a16="http://schemas.microsoft.com/office/drawing/2014/main" id="{604760BA-9E95-478E-823F-16420C7F8FAE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2" name="TextBox 821">
              <a:extLst>
                <a:ext uri="{FF2B5EF4-FFF2-40B4-BE49-F238E27FC236}">
                  <a16:creationId xmlns:a16="http://schemas.microsoft.com/office/drawing/2014/main" id="{80AAEF01-4A31-43DC-AF56-E286E5D645DC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22" name="TextBox 821">
              <a:extLst>
                <a:ext uri="{FF2B5EF4-FFF2-40B4-BE49-F238E27FC236}">
                  <a16:creationId xmlns:a16="http://schemas.microsoft.com/office/drawing/2014/main" id="{80AAEF01-4A31-43DC-AF56-E286E5D645DC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3" name="TextBox 822">
              <a:extLst>
                <a:ext uri="{FF2B5EF4-FFF2-40B4-BE49-F238E27FC236}">
                  <a16:creationId xmlns:a16="http://schemas.microsoft.com/office/drawing/2014/main" id="{C0F2AFED-D90B-4219-A4A5-6EE39EC55CCF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23" name="TextBox 822">
              <a:extLst>
                <a:ext uri="{FF2B5EF4-FFF2-40B4-BE49-F238E27FC236}">
                  <a16:creationId xmlns:a16="http://schemas.microsoft.com/office/drawing/2014/main" id="{C0F2AFED-D90B-4219-A4A5-6EE39EC55CCF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4" name="TextBox 823">
              <a:extLst>
                <a:ext uri="{FF2B5EF4-FFF2-40B4-BE49-F238E27FC236}">
                  <a16:creationId xmlns:a16="http://schemas.microsoft.com/office/drawing/2014/main" id="{3B2A1B71-0757-4261-94FC-695813DC2FE7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24" name="TextBox 823">
              <a:extLst>
                <a:ext uri="{FF2B5EF4-FFF2-40B4-BE49-F238E27FC236}">
                  <a16:creationId xmlns:a16="http://schemas.microsoft.com/office/drawing/2014/main" id="{3B2A1B71-0757-4261-94FC-695813DC2FE7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5" name="TextBox 824">
              <a:extLst>
                <a:ext uri="{FF2B5EF4-FFF2-40B4-BE49-F238E27FC236}">
                  <a16:creationId xmlns:a16="http://schemas.microsoft.com/office/drawing/2014/main" id="{F6AFA9BB-E489-4A7D-8127-78C1DCD01392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25" name="TextBox 824">
              <a:extLst>
                <a:ext uri="{FF2B5EF4-FFF2-40B4-BE49-F238E27FC236}">
                  <a16:creationId xmlns:a16="http://schemas.microsoft.com/office/drawing/2014/main" id="{F6AFA9BB-E489-4A7D-8127-78C1DCD01392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6" name="TextBox 825">
              <a:extLst>
                <a:ext uri="{FF2B5EF4-FFF2-40B4-BE49-F238E27FC236}">
                  <a16:creationId xmlns:a16="http://schemas.microsoft.com/office/drawing/2014/main" id="{4EC39142-F0F0-44B4-9680-ECE3C1A53687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26" name="TextBox 825">
              <a:extLst>
                <a:ext uri="{FF2B5EF4-FFF2-40B4-BE49-F238E27FC236}">
                  <a16:creationId xmlns:a16="http://schemas.microsoft.com/office/drawing/2014/main" id="{4EC39142-F0F0-44B4-9680-ECE3C1A53687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7" name="TextBox 826">
              <a:extLst>
                <a:ext uri="{FF2B5EF4-FFF2-40B4-BE49-F238E27FC236}">
                  <a16:creationId xmlns:a16="http://schemas.microsoft.com/office/drawing/2014/main" id="{594ECAF0-0EE4-472D-9059-2CA45F32B9B0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27" name="TextBox 826">
              <a:extLst>
                <a:ext uri="{FF2B5EF4-FFF2-40B4-BE49-F238E27FC236}">
                  <a16:creationId xmlns:a16="http://schemas.microsoft.com/office/drawing/2014/main" id="{594ECAF0-0EE4-472D-9059-2CA45F32B9B0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8" name="TextBox 827">
              <a:extLst>
                <a:ext uri="{FF2B5EF4-FFF2-40B4-BE49-F238E27FC236}">
                  <a16:creationId xmlns:a16="http://schemas.microsoft.com/office/drawing/2014/main" id="{073B9CF2-227A-4E29-9882-D596F625DBC2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28" name="TextBox 827">
              <a:extLst>
                <a:ext uri="{FF2B5EF4-FFF2-40B4-BE49-F238E27FC236}">
                  <a16:creationId xmlns:a16="http://schemas.microsoft.com/office/drawing/2014/main" id="{073B9CF2-227A-4E29-9882-D596F625DBC2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9" name="TextBox 828">
              <a:extLst>
                <a:ext uri="{FF2B5EF4-FFF2-40B4-BE49-F238E27FC236}">
                  <a16:creationId xmlns:a16="http://schemas.microsoft.com/office/drawing/2014/main" id="{ABBD5C29-3EF5-43F5-8FEE-20C891ED7C13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29" name="TextBox 828">
              <a:extLst>
                <a:ext uri="{FF2B5EF4-FFF2-40B4-BE49-F238E27FC236}">
                  <a16:creationId xmlns:a16="http://schemas.microsoft.com/office/drawing/2014/main" id="{ABBD5C29-3EF5-43F5-8FEE-20C891ED7C13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0" name="TextBox 829">
              <a:extLst>
                <a:ext uri="{FF2B5EF4-FFF2-40B4-BE49-F238E27FC236}">
                  <a16:creationId xmlns:a16="http://schemas.microsoft.com/office/drawing/2014/main" id="{2EA79134-CF57-42AA-A1A4-8920246AC1A6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30" name="TextBox 829">
              <a:extLst>
                <a:ext uri="{FF2B5EF4-FFF2-40B4-BE49-F238E27FC236}">
                  <a16:creationId xmlns:a16="http://schemas.microsoft.com/office/drawing/2014/main" id="{2EA79134-CF57-42AA-A1A4-8920246AC1A6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1" name="TextBox 830">
              <a:extLst>
                <a:ext uri="{FF2B5EF4-FFF2-40B4-BE49-F238E27FC236}">
                  <a16:creationId xmlns:a16="http://schemas.microsoft.com/office/drawing/2014/main" id="{3859B46F-E80A-4D08-B613-86CB8ED02780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31" name="TextBox 830">
              <a:extLst>
                <a:ext uri="{FF2B5EF4-FFF2-40B4-BE49-F238E27FC236}">
                  <a16:creationId xmlns:a16="http://schemas.microsoft.com/office/drawing/2014/main" id="{3859B46F-E80A-4D08-B613-86CB8ED02780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2" name="TextBox 831">
              <a:extLst>
                <a:ext uri="{FF2B5EF4-FFF2-40B4-BE49-F238E27FC236}">
                  <a16:creationId xmlns:a16="http://schemas.microsoft.com/office/drawing/2014/main" id="{2803219B-9FB6-44CF-8B35-CE91FBCD81D3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32" name="TextBox 831">
              <a:extLst>
                <a:ext uri="{FF2B5EF4-FFF2-40B4-BE49-F238E27FC236}">
                  <a16:creationId xmlns:a16="http://schemas.microsoft.com/office/drawing/2014/main" id="{2803219B-9FB6-44CF-8B35-CE91FBCD81D3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3" name="TextBox 832">
              <a:extLst>
                <a:ext uri="{FF2B5EF4-FFF2-40B4-BE49-F238E27FC236}">
                  <a16:creationId xmlns:a16="http://schemas.microsoft.com/office/drawing/2014/main" id="{0A9EC572-462E-4DBD-A5B1-76C462508330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33" name="TextBox 832">
              <a:extLst>
                <a:ext uri="{FF2B5EF4-FFF2-40B4-BE49-F238E27FC236}">
                  <a16:creationId xmlns:a16="http://schemas.microsoft.com/office/drawing/2014/main" id="{0A9EC572-462E-4DBD-A5B1-76C462508330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4" name="TextBox 833">
              <a:extLst>
                <a:ext uri="{FF2B5EF4-FFF2-40B4-BE49-F238E27FC236}">
                  <a16:creationId xmlns:a16="http://schemas.microsoft.com/office/drawing/2014/main" id="{642117DA-A8EC-4DD4-AA4C-A683E407E13C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34" name="TextBox 833">
              <a:extLst>
                <a:ext uri="{FF2B5EF4-FFF2-40B4-BE49-F238E27FC236}">
                  <a16:creationId xmlns:a16="http://schemas.microsoft.com/office/drawing/2014/main" id="{642117DA-A8EC-4DD4-AA4C-A683E407E13C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5" name="TextBox 834">
              <a:extLst>
                <a:ext uri="{FF2B5EF4-FFF2-40B4-BE49-F238E27FC236}">
                  <a16:creationId xmlns:a16="http://schemas.microsoft.com/office/drawing/2014/main" id="{4EDAE6A4-284D-499C-9E96-44037575576E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35" name="TextBox 834">
              <a:extLst>
                <a:ext uri="{FF2B5EF4-FFF2-40B4-BE49-F238E27FC236}">
                  <a16:creationId xmlns:a16="http://schemas.microsoft.com/office/drawing/2014/main" id="{4EDAE6A4-284D-499C-9E96-44037575576E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6" name="TextBox 835">
              <a:extLst>
                <a:ext uri="{FF2B5EF4-FFF2-40B4-BE49-F238E27FC236}">
                  <a16:creationId xmlns:a16="http://schemas.microsoft.com/office/drawing/2014/main" id="{E0A8BFF4-6D70-4732-9543-1585A7F455B8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36" name="TextBox 835">
              <a:extLst>
                <a:ext uri="{FF2B5EF4-FFF2-40B4-BE49-F238E27FC236}">
                  <a16:creationId xmlns:a16="http://schemas.microsoft.com/office/drawing/2014/main" id="{E0A8BFF4-6D70-4732-9543-1585A7F455B8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7" name="TextBox 836">
              <a:extLst>
                <a:ext uri="{FF2B5EF4-FFF2-40B4-BE49-F238E27FC236}">
                  <a16:creationId xmlns:a16="http://schemas.microsoft.com/office/drawing/2014/main" id="{7FF35B24-6FB8-441F-8351-FA74873F05D7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37" name="TextBox 836">
              <a:extLst>
                <a:ext uri="{FF2B5EF4-FFF2-40B4-BE49-F238E27FC236}">
                  <a16:creationId xmlns:a16="http://schemas.microsoft.com/office/drawing/2014/main" id="{7FF35B24-6FB8-441F-8351-FA74873F05D7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8" name="TextBox 837">
              <a:extLst>
                <a:ext uri="{FF2B5EF4-FFF2-40B4-BE49-F238E27FC236}">
                  <a16:creationId xmlns:a16="http://schemas.microsoft.com/office/drawing/2014/main" id="{5F12BEE1-E7C2-4D7A-AC96-5D960C31A4FF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38" name="TextBox 837">
              <a:extLst>
                <a:ext uri="{FF2B5EF4-FFF2-40B4-BE49-F238E27FC236}">
                  <a16:creationId xmlns:a16="http://schemas.microsoft.com/office/drawing/2014/main" id="{5F12BEE1-E7C2-4D7A-AC96-5D960C31A4FF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9" name="TextBox 838">
              <a:extLst>
                <a:ext uri="{FF2B5EF4-FFF2-40B4-BE49-F238E27FC236}">
                  <a16:creationId xmlns:a16="http://schemas.microsoft.com/office/drawing/2014/main" id="{B2F61173-5F51-4B99-BCBD-DF06B6DFA214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39" name="TextBox 838">
              <a:extLst>
                <a:ext uri="{FF2B5EF4-FFF2-40B4-BE49-F238E27FC236}">
                  <a16:creationId xmlns:a16="http://schemas.microsoft.com/office/drawing/2014/main" id="{B2F61173-5F51-4B99-BCBD-DF06B6DFA214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0" name="TextBox 839">
              <a:extLst>
                <a:ext uri="{FF2B5EF4-FFF2-40B4-BE49-F238E27FC236}">
                  <a16:creationId xmlns:a16="http://schemas.microsoft.com/office/drawing/2014/main" id="{8D496C53-2F8D-4ED9-BAF7-BDAA3BB32154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40" name="TextBox 839">
              <a:extLst>
                <a:ext uri="{FF2B5EF4-FFF2-40B4-BE49-F238E27FC236}">
                  <a16:creationId xmlns:a16="http://schemas.microsoft.com/office/drawing/2014/main" id="{8D496C53-2F8D-4ED9-BAF7-BDAA3BB32154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1" name="TextBox 840">
              <a:extLst>
                <a:ext uri="{FF2B5EF4-FFF2-40B4-BE49-F238E27FC236}">
                  <a16:creationId xmlns:a16="http://schemas.microsoft.com/office/drawing/2014/main" id="{675D22AF-9AF0-4B90-B082-02104D0CCB16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41" name="TextBox 840">
              <a:extLst>
                <a:ext uri="{FF2B5EF4-FFF2-40B4-BE49-F238E27FC236}">
                  <a16:creationId xmlns:a16="http://schemas.microsoft.com/office/drawing/2014/main" id="{675D22AF-9AF0-4B90-B082-02104D0CCB16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2" name="TextBox 841">
              <a:extLst>
                <a:ext uri="{FF2B5EF4-FFF2-40B4-BE49-F238E27FC236}">
                  <a16:creationId xmlns:a16="http://schemas.microsoft.com/office/drawing/2014/main" id="{2D9FC4EA-941D-4AC0-9B2D-8CEE7BF5A243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42" name="TextBox 841">
              <a:extLst>
                <a:ext uri="{FF2B5EF4-FFF2-40B4-BE49-F238E27FC236}">
                  <a16:creationId xmlns:a16="http://schemas.microsoft.com/office/drawing/2014/main" id="{2D9FC4EA-941D-4AC0-9B2D-8CEE7BF5A243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3" name="TextBox 842">
              <a:extLst>
                <a:ext uri="{FF2B5EF4-FFF2-40B4-BE49-F238E27FC236}">
                  <a16:creationId xmlns:a16="http://schemas.microsoft.com/office/drawing/2014/main" id="{684A629E-9260-4DF9-81A7-8137086BED81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43" name="TextBox 842">
              <a:extLst>
                <a:ext uri="{FF2B5EF4-FFF2-40B4-BE49-F238E27FC236}">
                  <a16:creationId xmlns:a16="http://schemas.microsoft.com/office/drawing/2014/main" id="{684A629E-9260-4DF9-81A7-8137086BED81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4" name="TextBox 843">
              <a:extLst>
                <a:ext uri="{FF2B5EF4-FFF2-40B4-BE49-F238E27FC236}">
                  <a16:creationId xmlns:a16="http://schemas.microsoft.com/office/drawing/2014/main" id="{B6493EF1-9B82-4241-B696-BF7FED352F62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44" name="TextBox 843">
              <a:extLst>
                <a:ext uri="{FF2B5EF4-FFF2-40B4-BE49-F238E27FC236}">
                  <a16:creationId xmlns:a16="http://schemas.microsoft.com/office/drawing/2014/main" id="{B6493EF1-9B82-4241-B696-BF7FED352F62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5" name="TextBox 844">
              <a:extLst>
                <a:ext uri="{FF2B5EF4-FFF2-40B4-BE49-F238E27FC236}">
                  <a16:creationId xmlns:a16="http://schemas.microsoft.com/office/drawing/2014/main" id="{6078D170-B9AE-4DD7-85D0-84A65C5A37C2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45" name="TextBox 844">
              <a:extLst>
                <a:ext uri="{FF2B5EF4-FFF2-40B4-BE49-F238E27FC236}">
                  <a16:creationId xmlns:a16="http://schemas.microsoft.com/office/drawing/2014/main" id="{6078D170-B9AE-4DD7-85D0-84A65C5A37C2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6" name="TextBox 845">
              <a:extLst>
                <a:ext uri="{FF2B5EF4-FFF2-40B4-BE49-F238E27FC236}">
                  <a16:creationId xmlns:a16="http://schemas.microsoft.com/office/drawing/2014/main" id="{A354C1B1-75C6-4797-8EB6-29AF2FB503E7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46" name="TextBox 845">
              <a:extLst>
                <a:ext uri="{FF2B5EF4-FFF2-40B4-BE49-F238E27FC236}">
                  <a16:creationId xmlns:a16="http://schemas.microsoft.com/office/drawing/2014/main" id="{A354C1B1-75C6-4797-8EB6-29AF2FB503E7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7" name="TextBox 846">
              <a:extLst>
                <a:ext uri="{FF2B5EF4-FFF2-40B4-BE49-F238E27FC236}">
                  <a16:creationId xmlns:a16="http://schemas.microsoft.com/office/drawing/2014/main" id="{25746A43-CFFE-45BD-BAB6-2C523B5217FE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47" name="TextBox 846">
              <a:extLst>
                <a:ext uri="{FF2B5EF4-FFF2-40B4-BE49-F238E27FC236}">
                  <a16:creationId xmlns:a16="http://schemas.microsoft.com/office/drawing/2014/main" id="{25746A43-CFFE-45BD-BAB6-2C523B5217FE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8" name="TextBox 847">
              <a:extLst>
                <a:ext uri="{FF2B5EF4-FFF2-40B4-BE49-F238E27FC236}">
                  <a16:creationId xmlns:a16="http://schemas.microsoft.com/office/drawing/2014/main" id="{D5CB8BBA-E703-4234-80F9-47CF842B90C4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48" name="TextBox 847">
              <a:extLst>
                <a:ext uri="{FF2B5EF4-FFF2-40B4-BE49-F238E27FC236}">
                  <a16:creationId xmlns:a16="http://schemas.microsoft.com/office/drawing/2014/main" id="{D5CB8BBA-E703-4234-80F9-47CF842B90C4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9" name="TextBox 848">
              <a:extLst>
                <a:ext uri="{FF2B5EF4-FFF2-40B4-BE49-F238E27FC236}">
                  <a16:creationId xmlns:a16="http://schemas.microsoft.com/office/drawing/2014/main" id="{481E9371-5418-45A1-B769-AF9654E47792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49" name="TextBox 848">
              <a:extLst>
                <a:ext uri="{FF2B5EF4-FFF2-40B4-BE49-F238E27FC236}">
                  <a16:creationId xmlns:a16="http://schemas.microsoft.com/office/drawing/2014/main" id="{481E9371-5418-45A1-B769-AF9654E47792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0" name="TextBox 849">
              <a:extLst>
                <a:ext uri="{FF2B5EF4-FFF2-40B4-BE49-F238E27FC236}">
                  <a16:creationId xmlns:a16="http://schemas.microsoft.com/office/drawing/2014/main" id="{BEB4F7D5-A6D9-4681-A4FD-4AE12C1122F9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50" name="TextBox 849">
              <a:extLst>
                <a:ext uri="{FF2B5EF4-FFF2-40B4-BE49-F238E27FC236}">
                  <a16:creationId xmlns:a16="http://schemas.microsoft.com/office/drawing/2014/main" id="{BEB4F7D5-A6D9-4681-A4FD-4AE12C1122F9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1" name="TextBox 850">
              <a:extLst>
                <a:ext uri="{FF2B5EF4-FFF2-40B4-BE49-F238E27FC236}">
                  <a16:creationId xmlns:a16="http://schemas.microsoft.com/office/drawing/2014/main" id="{D63C3717-6C8F-4EB9-99D9-F05834CF5721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51" name="TextBox 850">
              <a:extLst>
                <a:ext uri="{FF2B5EF4-FFF2-40B4-BE49-F238E27FC236}">
                  <a16:creationId xmlns:a16="http://schemas.microsoft.com/office/drawing/2014/main" id="{D63C3717-6C8F-4EB9-99D9-F05834CF5721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2" name="TextBox 851">
              <a:extLst>
                <a:ext uri="{FF2B5EF4-FFF2-40B4-BE49-F238E27FC236}">
                  <a16:creationId xmlns:a16="http://schemas.microsoft.com/office/drawing/2014/main" id="{01721D57-748F-474F-8D05-17A6C10C6462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52" name="TextBox 851">
              <a:extLst>
                <a:ext uri="{FF2B5EF4-FFF2-40B4-BE49-F238E27FC236}">
                  <a16:creationId xmlns:a16="http://schemas.microsoft.com/office/drawing/2014/main" id="{01721D57-748F-474F-8D05-17A6C10C6462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3" name="TextBox 852">
              <a:extLst>
                <a:ext uri="{FF2B5EF4-FFF2-40B4-BE49-F238E27FC236}">
                  <a16:creationId xmlns:a16="http://schemas.microsoft.com/office/drawing/2014/main" id="{BEB0E00B-A92C-466B-9ACB-25E913F87FD0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53" name="TextBox 852">
              <a:extLst>
                <a:ext uri="{FF2B5EF4-FFF2-40B4-BE49-F238E27FC236}">
                  <a16:creationId xmlns:a16="http://schemas.microsoft.com/office/drawing/2014/main" id="{BEB0E00B-A92C-466B-9ACB-25E913F87FD0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4" name="TextBox 853">
              <a:extLst>
                <a:ext uri="{FF2B5EF4-FFF2-40B4-BE49-F238E27FC236}">
                  <a16:creationId xmlns:a16="http://schemas.microsoft.com/office/drawing/2014/main" id="{C244B6E1-A125-44AA-8B82-7853FE4393A4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54" name="TextBox 853">
              <a:extLst>
                <a:ext uri="{FF2B5EF4-FFF2-40B4-BE49-F238E27FC236}">
                  <a16:creationId xmlns:a16="http://schemas.microsoft.com/office/drawing/2014/main" id="{C244B6E1-A125-44AA-8B82-7853FE4393A4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5" name="TextBox 854">
              <a:extLst>
                <a:ext uri="{FF2B5EF4-FFF2-40B4-BE49-F238E27FC236}">
                  <a16:creationId xmlns:a16="http://schemas.microsoft.com/office/drawing/2014/main" id="{2F5CA35C-ED88-4EA6-9201-9DE0638570F2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55" name="TextBox 854">
              <a:extLst>
                <a:ext uri="{FF2B5EF4-FFF2-40B4-BE49-F238E27FC236}">
                  <a16:creationId xmlns:a16="http://schemas.microsoft.com/office/drawing/2014/main" id="{2F5CA35C-ED88-4EA6-9201-9DE0638570F2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6" name="TextBox 855">
              <a:extLst>
                <a:ext uri="{FF2B5EF4-FFF2-40B4-BE49-F238E27FC236}">
                  <a16:creationId xmlns:a16="http://schemas.microsoft.com/office/drawing/2014/main" id="{45346607-FDF4-461E-99ED-4E66E4AF3515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56" name="TextBox 855">
              <a:extLst>
                <a:ext uri="{FF2B5EF4-FFF2-40B4-BE49-F238E27FC236}">
                  <a16:creationId xmlns:a16="http://schemas.microsoft.com/office/drawing/2014/main" id="{45346607-FDF4-461E-99ED-4E66E4AF3515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7" name="TextBox 856">
              <a:extLst>
                <a:ext uri="{FF2B5EF4-FFF2-40B4-BE49-F238E27FC236}">
                  <a16:creationId xmlns:a16="http://schemas.microsoft.com/office/drawing/2014/main" id="{6C9BB98F-EE13-4169-BC05-94551A2CEB9F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57" name="TextBox 856">
              <a:extLst>
                <a:ext uri="{FF2B5EF4-FFF2-40B4-BE49-F238E27FC236}">
                  <a16:creationId xmlns:a16="http://schemas.microsoft.com/office/drawing/2014/main" id="{6C9BB98F-EE13-4169-BC05-94551A2CEB9F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8" name="TextBox 857">
              <a:extLst>
                <a:ext uri="{FF2B5EF4-FFF2-40B4-BE49-F238E27FC236}">
                  <a16:creationId xmlns:a16="http://schemas.microsoft.com/office/drawing/2014/main" id="{E8E532E5-5C9D-4F55-93E5-6CEF308944DB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58" name="TextBox 857">
              <a:extLst>
                <a:ext uri="{FF2B5EF4-FFF2-40B4-BE49-F238E27FC236}">
                  <a16:creationId xmlns:a16="http://schemas.microsoft.com/office/drawing/2014/main" id="{E8E532E5-5C9D-4F55-93E5-6CEF308944DB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9" name="TextBox 858">
              <a:extLst>
                <a:ext uri="{FF2B5EF4-FFF2-40B4-BE49-F238E27FC236}">
                  <a16:creationId xmlns:a16="http://schemas.microsoft.com/office/drawing/2014/main" id="{442FE441-F512-4677-8524-BE902700B990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59" name="TextBox 858">
              <a:extLst>
                <a:ext uri="{FF2B5EF4-FFF2-40B4-BE49-F238E27FC236}">
                  <a16:creationId xmlns:a16="http://schemas.microsoft.com/office/drawing/2014/main" id="{442FE441-F512-4677-8524-BE902700B990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0" name="TextBox 859">
              <a:extLst>
                <a:ext uri="{FF2B5EF4-FFF2-40B4-BE49-F238E27FC236}">
                  <a16:creationId xmlns:a16="http://schemas.microsoft.com/office/drawing/2014/main" id="{C4512383-836D-4CC5-A38F-27161DFED179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60" name="TextBox 859">
              <a:extLst>
                <a:ext uri="{FF2B5EF4-FFF2-40B4-BE49-F238E27FC236}">
                  <a16:creationId xmlns:a16="http://schemas.microsoft.com/office/drawing/2014/main" id="{C4512383-836D-4CC5-A38F-27161DFED179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1" name="TextBox 860">
              <a:extLst>
                <a:ext uri="{FF2B5EF4-FFF2-40B4-BE49-F238E27FC236}">
                  <a16:creationId xmlns:a16="http://schemas.microsoft.com/office/drawing/2014/main" id="{782E3878-2AA4-4B94-9C6C-89E2BD3E243B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61" name="TextBox 860">
              <a:extLst>
                <a:ext uri="{FF2B5EF4-FFF2-40B4-BE49-F238E27FC236}">
                  <a16:creationId xmlns:a16="http://schemas.microsoft.com/office/drawing/2014/main" id="{782E3878-2AA4-4B94-9C6C-89E2BD3E243B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2" name="TextBox 861">
              <a:extLst>
                <a:ext uri="{FF2B5EF4-FFF2-40B4-BE49-F238E27FC236}">
                  <a16:creationId xmlns:a16="http://schemas.microsoft.com/office/drawing/2014/main" id="{F1849C4D-A04A-4299-BEDA-4398CBA180F2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62" name="TextBox 861">
              <a:extLst>
                <a:ext uri="{FF2B5EF4-FFF2-40B4-BE49-F238E27FC236}">
                  <a16:creationId xmlns:a16="http://schemas.microsoft.com/office/drawing/2014/main" id="{F1849C4D-A04A-4299-BEDA-4398CBA180F2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3" name="TextBox 862">
              <a:extLst>
                <a:ext uri="{FF2B5EF4-FFF2-40B4-BE49-F238E27FC236}">
                  <a16:creationId xmlns:a16="http://schemas.microsoft.com/office/drawing/2014/main" id="{D3C12002-4446-4F4E-BAC5-26A6BFDFFAB8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63" name="TextBox 862">
              <a:extLst>
                <a:ext uri="{FF2B5EF4-FFF2-40B4-BE49-F238E27FC236}">
                  <a16:creationId xmlns:a16="http://schemas.microsoft.com/office/drawing/2014/main" id="{D3C12002-4446-4F4E-BAC5-26A6BFDFFAB8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4" name="TextBox 863">
              <a:extLst>
                <a:ext uri="{FF2B5EF4-FFF2-40B4-BE49-F238E27FC236}">
                  <a16:creationId xmlns:a16="http://schemas.microsoft.com/office/drawing/2014/main" id="{ADA3B336-4362-4D72-A6EE-663D5EFD8CE5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64" name="TextBox 863">
              <a:extLst>
                <a:ext uri="{FF2B5EF4-FFF2-40B4-BE49-F238E27FC236}">
                  <a16:creationId xmlns:a16="http://schemas.microsoft.com/office/drawing/2014/main" id="{ADA3B336-4362-4D72-A6EE-663D5EFD8CE5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5" name="TextBox 864">
              <a:extLst>
                <a:ext uri="{FF2B5EF4-FFF2-40B4-BE49-F238E27FC236}">
                  <a16:creationId xmlns:a16="http://schemas.microsoft.com/office/drawing/2014/main" id="{77EF5A9A-D425-4456-800D-1EACBB4F65CD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65" name="TextBox 864">
              <a:extLst>
                <a:ext uri="{FF2B5EF4-FFF2-40B4-BE49-F238E27FC236}">
                  <a16:creationId xmlns:a16="http://schemas.microsoft.com/office/drawing/2014/main" id="{77EF5A9A-D425-4456-800D-1EACBB4F65CD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6" name="TextBox 865">
              <a:extLst>
                <a:ext uri="{FF2B5EF4-FFF2-40B4-BE49-F238E27FC236}">
                  <a16:creationId xmlns:a16="http://schemas.microsoft.com/office/drawing/2014/main" id="{330BE1EF-D8F6-47EE-8B01-FC46DF634F11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66" name="TextBox 865">
              <a:extLst>
                <a:ext uri="{FF2B5EF4-FFF2-40B4-BE49-F238E27FC236}">
                  <a16:creationId xmlns:a16="http://schemas.microsoft.com/office/drawing/2014/main" id="{330BE1EF-D8F6-47EE-8B01-FC46DF634F11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7" name="TextBox 866">
              <a:extLst>
                <a:ext uri="{FF2B5EF4-FFF2-40B4-BE49-F238E27FC236}">
                  <a16:creationId xmlns:a16="http://schemas.microsoft.com/office/drawing/2014/main" id="{4DC5BCDF-2017-4670-A7FB-19AAEBE892BD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67" name="TextBox 866">
              <a:extLst>
                <a:ext uri="{FF2B5EF4-FFF2-40B4-BE49-F238E27FC236}">
                  <a16:creationId xmlns:a16="http://schemas.microsoft.com/office/drawing/2014/main" id="{4DC5BCDF-2017-4670-A7FB-19AAEBE892BD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8" name="TextBox 867">
              <a:extLst>
                <a:ext uri="{FF2B5EF4-FFF2-40B4-BE49-F238E27FC236}">
                  <a16:creationId xmlns:a16="http://schemas.microsoft.com/office/drawing/2014/main" id="{725B3DFE-76BF-454A-80E7-EA214FE95332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68" name="TextBox 867">
              <a:extLst>
                <a:ext uri="{FF2B5EF4-FFF2-40B4-BE49-F238E27FC236}">
                  <a16:creationId xmlns:a16="http://schemas.microsoft.com/office/drawing/2014/main" id="{725B3DFE-76BF-454A-80E7-EA214FE95332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9" name="TextBox 868">
              <a:extLst>
                <a:ext uri="{FF2B5EF4-FFF2-40B4-BE49-F238E27FC236}">
                  <a16:creationId xmlns:a16="http://schemas.microsoft.com/office/drawing/2014/main" id="{226AEF14-2198-453D-899D-4BFDE928AB57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69" name="TextBox 868">
              <a:extLst>
                <a:ext uri="{FF2B5EF4-FFF2-40B4-BE49-F238E27FC236}">
                  <a16:creationId xmlns:a16="http://schemas.microsoft.com/office/drawing/2014/main" id="{226AEF14-2198-453D-899D-4BFDE928AB57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0" name="TextBox 869">
              <a:extLst>
                <a:ext uri="{FF2B5EF4-FFF2-40B4-BE49-F238E27FC236}">
                  <a16:creationId xmlns:a16="http://schemas.microsoft.com/office/drawing/2014/main" id="{7ABC909F-ED6A-4CDB-828F-1EE6C21D7612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70" name="TextBox 869">
              <a:extLst>
                <a:ext uri="{FF2B5EF4-FFF2-40B4-BE49-F238E27FC236}">
                  <a16:creationId xmlns:a16="http://schemas.microsoft.com/office/drawing/2014/main" id="{7ABC909F-ED6A-4CDB-828F-1EE6C21D7612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1" name="TextBox 870">
              <a:extLst>
                <a:ext uri="{FF2B5EF4-FFF2-40B4-BE49-F238E27FC236}">
                  <a16:creationId xmlns:a16="http://schemas.microsoft.com/office/drawing/2014/main" id="{AABB75DC-1D4F-43CD-B33E-8633743E7FEB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71" name="TextBox 870">
              <a:extLst>
                <a:ext uri="{FF2B5EF4-FFF2-40B4-BE49-F238E27FC236}">
                  <a16:creationId xmlns:a16="http://schemas.microsoft.com/office/drawing/2014/main" id="{AABB75DC-1D4F-43CD-B33E-8633743E7FEB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2" name="TextBox 871">
              <a:extLst>
                <a:ext uri="{FF2B5EF4-FFF2-40B4-BE49-F238E27FC236}">
                  <a16:creationId xmlns:a16="http://schemas.microsoft.com/office/drawing/2014/main" id="{3B5C1862-E6AB-436F-B69C-DB6B2E76880B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72" name="TextBox 871">
              <a:extLst>
                <a:ext uri="{FF2B5EF4-FFF2-40B4-BE49-F238E27FC236}">
                  <a16:creationId xmlns:a16="http://schemas.microsoft.com/office/drawing/2014/main" id="{3B5C1862-E6AB-436F-B69C-DB6B2E76880B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3" name="TextBox 872">
              <a:extLst>
                <a:ext uri="{FF2B5EF4-FFF2-40B4-BE49-F238E27FC236}">
                  <a16:creationId xmlns:a16="http://schemas.microsoft.com/office/drawing/2014/main" id="{B07923CD-DE21-4AD8-BB5C-C02F9545B890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73" name="TextBox 872">
              <a:extLst>
                <a:ext uri="{FF2B5EF4-FFF2-40B4-BE49-F238E27FC236}">
                  <a16:creationId xmlns:a16="http://schemas.microsoft.com/office/drawing/2014/main" id="{B07923CD-DE21-4AD8-BB5C-C02F9545B890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4" name="TextBox 873">
              <a:extLst>
                <a:ext uri="{FF2B5EF4-FFF2-40B4-BE49-F238E27FC236}">
                  <a16:creationId xmlns:a16="http://schemas.microsoft.com/office/drawing/2014/main" id="{06426F68-7031-4D54-8DC7-F45DBFF53322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74" name="TextBox 873">
              <a:extLst>
                <a:ext uri="{FF2B5EF4-FFF2-40B4-BE49-F238E27FC236}">
                  <a16:creationId xmlns:a16="http://schemas.microsoft.com/office/drawing/2014/main" id="{06426F68-7031-4D54-8DC7-F45DBFF53322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5" name="TextBox 874">
              <a:extLst>
                <a:ext uri="{FF2B5EF4-FFF2-40B4-BE49-F238E27FC236}">
                  <a16:creationId xmlns:a16="http://schemas.microsoft.com/office/drawing/2014/main" id="{1C747174-DB23-4079-B4A1-B554E7384691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75" name="TextBox 874">
              <a:extLst>
                <a:ext uri="{FF2B5EF4-FFF2-40B4-BE49-F238E27FC236}">
                  <a16:creationId xmlns:a16="http://schemas.microsoft.com/office/drawing/2014/main" id="{1C747174-DB23-4079-B4A1-B554E7384691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6" name="TextBox 875">
              <a:extLst>
                <a:ext uri="{FF2B5EF4-FFF2-40B4-BE49-F238E27FC236}">
                  <a16:creationId xmlns:a16="http://schemas.microsoft.com/office/drawing/2014/main" id="{C40676FD-C1E5-4D18-BD99-AC6D2D26BE36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76" name="TextBox 875">
              <a:extLst>
                <a:ext uri="{FF2B5EF4-FFF2-40B4-BE49-F238E27FC236}">
                  <a16:creationId xmlns:a16="http://schemas.microsoft.com/office/drawing/2014/main" id="{C40676FD-C1E5-4D18-BD99-AC6D2D26BE36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7" name="TextBox 876">
              <a:extLst>
                <a:ext uri="{FF2B5EF4-FFF2-40B4-BE49-F238E27FC236}">
                  <a16:creationId xmlns:a16="http://schemas.microsoft.com/office/drawing/2014/main" id="{D15BDBDD-FEAA-4982-94E8-7DA15D1DE5D1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77" name="TextBox 876">
              <a:extLst>
                <a:ext uri="{FF2B5EF4-FFF2-40B4-BE49-F238E27FC236}">
                  <a16:creationId xmlns:a16="http://schemas.microsoft.com/office/drawing/2014/main" id="{D15BDBDD-FEAA-4982-94E8-7DA15D1DE5D1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8" name="TextBox 877">
              <a:extLst>
                <a:ext uri="{FF2B5EF4-FFF2-40B4-BE49-F238E27FC236}">
                  <a16:creationId xmlns:a16="http://schemas.microsoft.com/office/drawing/2014/main" id="{62767B47-FF9C-4C70-8D5E-7C087E0E5538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78" name="TextBox 877">
              <a:extLst>
                <a:ext uri="{FF2B5EF4-FFF2-40B4-BE49-F238E27FC236}">
                  <a16:creationId xmlns:a16="http://schemas.microsoft.com/office/drawing/2014/main" id="{62767B47-FF9C-4C70-8D5E-7C087E0E5538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9" name="TextBox 878">
              <a:extLst>
                <a:ext uri="{FF2B5EF4-FFF2-40B4-BE49-F238E27FC236}">
                  <a16:creationId xmlns:a16="http://schemas.microsoft.com/office/drawing/2014/main" id="{5F4B77FC-BAF3-466F-868F-98EDA6A7C2A2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79" name="TextBox 878">
              <a:extLst>
                <a:ext uri="{FF2B5EF4-FFF2-40B4-BE49-F238E27FC236}">
                  <a16:creationId xmlns:a16="http://schemas.microsoft.com/office/drawing/2014/main" id="{5F4B77FC-BAF3-466F-868F-98EDA6A7C2A2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0" name="TextBox 879">
              <a:extLst>
                <a:ext uri="{FF2B5EF4-FFF2-40B4-BE49-F238E27FC236}">
                  <a16:creationId xmlns:a16="http://schemas.microsoft.com/office/drawing/2014/main" id="{F05ACB65-1227-4812-80FA-E44A55652F65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80" name="TextBox 879">
              <a:extLst>
                <a:ext uri="{FF2B5EF4-FFF2-40B4-BE49-F238E27FC236}">
                  <a16:creationId xmlns:a16="http://schemas.microsoft.com/office/drawing/2014/main" id="{F05ACB65-1227-4812-80FA-E44A55652F65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1" name="TextBox 880">
              <a:extLst>
                <a:ext uri="{FF2B5EF4-FFF2-40B4-BE49-F238E27FC236}">
                  <a16:creationId xmlns:a16="http://schemas.microsoft.com/office/drawing/2014/main" id="{4A60AFA3-F02A-4698-8043-C599FBAEE97B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81" name="TextBox 880">
              <a:extLst>
                <a:ext uri="{FF2B5EF4-FFF2-40B4-BE49-F238E27FC236}">
                  <a16:creationId xmlns:a16="http://schemas.microsoft.com/office/drawing/2014/main" id="{4A60AFA3-F02A-4698-8043-C599FBAEE97B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2" name="TextBox 881">
              <a:extLst>
                <a:ext uri="{FF2B5EF4-FFF2-40B4-BE49-F238E27FC236}">
                  <a16:creationId xmlns:a16="http://schemas.microsoft.com/office/drawing/2014/main" id="{09194677-238D-4A33-BF71-D24068560EC5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82" name="TextBox 881">
              <a:extLst>
                <a:ext uri="{FF2B5EF4-FFF2-40B4-BE49-F238E27FC236}">
                  <a16:creationId xmlns:a16="http://schemas.microsoft.com/office/drawing/2014/main" id="{09194677-238D-4A33-BF71-D24068560EC5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3" name="TextBox 882">
              <a:extLst>
                <a:ext uri="{FF2B5EF4-FFF2-40B4-BE49-F238E27FC236}">
                  <a16:creationId xmlns:a16="http://schemas.microsoft.com/office/drawing/2014/main" id="{C6574DC6-B2E3-487B-845C-5E200451E697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83" name="TextBox 882">
              <a:extLst>
                <a:ext uri="{FF2B5EF4-FFF2-40B4-BE49-F238E27FC236}">
                  <a16:creationId xmlns:a16="http://schemas.microsoft.com/office/drawing/2014/main" id="{C6574DC6-B2E3-487B-845C-5E200451E697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4" name="TextBox 883">
              <a:extLst>
                <a:ext uri="{FF2B5EF4-FFF2-40B4-BE49-F238E27FC236}">
                  <a16:creationId xmlns:a16="http://schemas.microsoft.com/office/drawing/2014/main" id="{BC3D3228-93F1-4D09-AE45-FD90468AE6CE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84" name="TextBox 883">
              <a:extLst>
                <a:ext uri="{FF2B5EF4-FFF2-40B4-BE49-F238E27FC236}">
                  <a16:creationId xmlns:a16="http://schemas.microsoft.com/office/drawing/2014/main" id="{BC3D3228-93F1-4D09-AE45-FD90468AE6CE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5" name="TextBox 884">
              <a:extLst>
                <a:ext uri="{FF2B5EF4-FFF2-40B4-BE49-F238E27FC236}">
                  <a16:creationId xmlns:a16="http://schemas.microsoft.com/office/drawing/2014/main" id="{6DAA5952-CFDB-46A8-9F86-26698A35EFBF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85" name="TextBox 884">
              <a:extLst>
                <a:ext uri="{FF2B5EF4-FFF2-40B4-BE49-F238E27FC236}">
                  <a16:creationId xmlns:a16="http://schemas.microsoft.com/office/drawing/2014/main" id="{6DAA5952-CFDB-46A8-9F86-26698A35EFBF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6" name="TextBox 885">
              <a:extLst>
                <a:ext uri="{FF2B5EF4-FFF2-40B4-BE49-F238E27FC236}">
                  <a16:creationId xmlns:a16="http://schemas.microsoft.com/office/drawing/2014/main" id="{D05CEC75-D153-499D-94F0-172969825B7C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86" name="TextBox 885">
              <a:extLst>
                <a:ext uri="{FF2B5EF4-FFF2-40B4-BE49-F238E27FC236}">
                  <a16:creationId xmlns:a16="http://schemas.microsoft.com/office/drawing/2014/main" id="{D05CEC75-D153-499D-94F0-172969825B7C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7" name="TextBox 886">
              <a:extLst>
                <a:ext uri="{FF2B5EF4-FFF2-40B4-BE49-F238E27FC236}">
                  <a16:creationId xmlns:a16="http://schemas.microsoft.com/office/drawing/2014/main" id="{625BDEB9-76CE-4E3D-BC09-AF49A584A9BD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87" name="TextBox 886">
              <a:extLst>
                <a:ext uri="{FF2B5EF4-FFF2-40B4-BE49-F238E27FC236}">
                  <a16:creationId xmlns:a16="http://schemas.microsoft.com/office/drawing/2014/main" id="{625BDEB9-76CE-4E3D-BC09-AF49A584A9BD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8" name="TextBox 887">
              <a:extLst>
                <a:ext uri="{FF2B5EF4-FFF2-40B4-BE49-F238E27FC236}">
                  <a16:creationId xmlns:a16="http://schemas.microsoft.com/office/drawing/2014/main" id="{88C93529-F87E-4D57-BEB0-3B12390E7B20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88" name="TextBox 887">
              <a:extLst>
                <a:ext uri="{FF2B5EF4-FFF2-40B4-BE49-F238E27FC236}">
                  <a16:creationId xmlns:a16="http://schemas.microsoft.com/office/drawing/2014/main" id="{88C93529-F87E-4D57-BEB0-3B12390E7B20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9" name="TextBox 888">
              <a:extLst>
                <a:ext uri="{FF2B5EF4-FFF2-40B4-BE49-F238E27FC236}">
                  <a16:creationId xmlns:a16="http://schemas.microsoft.com/office/drawing/2014/main" id="{9583EDD1-DD0D-47BE-B163-025D83AAF4B9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89" name="TextBox 888">
              <a:extLst>
                <a:ext uri="{FF2B5EF4-FFF2-40B4-BE49-F238E27FC236}">
                  <a16:creationId xmlns:a16="http://schemas.microsoft.com/office/drawing/2014/main" id="{9583EDD1-DD0D-47BE-B163-025D83AAF4B9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0" name="TextBox 889">
              <a:extLst>
                <a:ext uri="{FF2B5EF4-FFF2-40B4-BE49-F238E27FC236}">
                  <a16:creationId xmlns:a16="http://schemas.microsoft.com/office/drawing/2014/main" id="{A47D494F-F646-4AC7-B6BE-9D745EE4E926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90" name="TextBox 889">
              <a:extLst>
                <a:ext uri="{FF2B5EF4-FFF2-40B4-BE49-F238E27FC236}">
                  <a16:creationId xmlns:a16="http://schemas.microsoft.com/office/drawing/2014/main" id="{A47D494F-F646-4AC7-B6BE-9D745EE4E926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1" name="TextBox 890">
              <a:extLst>
                <a:ext uri="{FF2B5EF4-FFF2-40B4-BE49-F238E27FC236}">
                  <a16:creationId xmlns:a16="http://schemas.microsoft.com/office/drawing/2014/main" id="{D4259917-31A0-482D-8C07-94394268F140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91" name="TextBox 890">
              <a:extLst>
                <a:ext uri="{FF2B5EF4-FFF2-40B4-BE49-F238E27FC236}">
                  <a16:creationId xmlns:a16="http://schemas.microsoft.com/office/drawing/2014/main" id="{D4259917-31A0-482D-8C07-94394268F140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2" name="TextBox 891">
              <a:extLst>
                <a:ext uri="{FF2B5EF4-FFF2-40B4-BE49-F238E27FC236}">
                  <a16:creationId xmlns:a16="http://schemas.microsoft.com/office/drawing/2014/main" id="{AC542761-D451-4663-B28D-60DCE3AB5F43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92" name="TextBox 891">
              <a:extLst>
                <a:ext uri="{FF2B5EF4-FFF2-40B4-BE49-F238E27FC236}">
                  <a16:creationId xmlns:a16="http://schemas.microsoft.com/office/drawing/2014/main" id="{AC542761-D451-4663-B28D-60DCE3AB5F43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3" name="TextBox 892">
              <a:extLst>
                <a:ext uri="{FF2B5EF4-FFF2-40B4-BE49-F238E27FC236}">
                  <a16:creationId xmlns:a16="http://schemas.microsoft.com/office/drawing/2014/main" id="{96FB64A8-F9CB-4786-90C1-753CB17705CC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93" name="TextBox 892">
              <a:extLst>
                <a:ext uri="{FF2B5EF4-FFF2-40B4-BE49-F238E27FC236}">
                  <a16:creationId xmlns:a16="http://schemas.microsoft.com/office/drawing/2014/main" id="{96FB64A8-F9CB-4786-90C1-753CB17705CC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4" name="TextBox 893">
              <a:extLst>
                <a:ext uri="{FF2B5EF4-FFF2-40B4-BE49-F238E27FC236}">
                  <a16:creationId xmlns:a16="http://schemas.microsoft.com/office/drawing/2014/main" id="{F4CD6F40-11DE-4FFB-A5E8-389C0C129D8E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94" name="TextBox 893">
              <a:extLst>
                <a:ext uri="{FF2B5EF4-FFF2-40B4-BE49-F238E27FC236}">
                  <a16:creationId xmlns:a16="http://schemas.microsoft.com/office/drawing/2014/main" id="{F4CD6F40-11DE-4FFB-A5E8-389C0C129D8E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5" name="TextBox 894">
              <a:extLst>
                <a:ext uri="{FF2B5EF4-FFF2-40B4-BE49-F238E27FC236}">
                  <a16:creationId xmlns:a16="http://schemas.microsoft.com/office/drawing/2014/main" id="{53DEFA46-BC01-4F34-AB01-9827A5E78C06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95" name="TextBox 894">
              <a:extLst>
                <a:ext uri="{FF2B5EF4-FFF2-40B4-BE49-F238E27FC236}">
                  <a16:creationId xmlns:a16="http://schemas.microsoft.com/office/drawing/2014/main" id="{53DEFA46-BC01-4F34-AB01-9827A5E78C06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6" name="TextBox 895">
              <a:extLst>
                <a:ext uri="{FF2B5EF4-FFF2-40B4-BE49-F238E27FC236}">
                  <a16:creationId xmlns:a16="http://schemas.microsoft.com/office/drawing/2014/main" id="{995DA63B-A605-4CCD-9E01-4057A7F0121A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96" name="TextBox 895">
              <a:extLst>
                <a:ext uri="{FF2B5EF4-FFF2-40B4-BE49-F238E27FC236}">
                  <a16:creationId xmlns:a16="http://schemas.microsoft.com/office/drawing/2014/main" id="{995DA63B-A605-4CCD-9E01-4057A7F0121A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7" name="TextBox 896">
              <a:extLst>
                <a:ext uri="{FF2B5EF4-FFF2-40B4-BE49-F238E27FC236}">
                  <a16:creationId xmlns:a16="http://schemas.microsoft.com/office/drawing/2014/main" id="{684AF598-2F2A-4B64-9094-8A00646E64A7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97" name="TextBox 896">
              <a:extLst>
                <a:ext uri="{FF2B5EF4-FFF2-40B4-BE49-F238E27FC236}">
                  <a16:creationId xmlns:a16="http://schemas.microsoft.com/office/drawing/2014/main" id="{684AF598-2F2A-4B64-9094-8A00646E64A7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8" name="TextBox 897">
              <a:extLst>
                <a:ext uri="{FF2B5EF4-FFF2-40B4-BE49-F238E27FC236}">
                  <a16:creationId xmlns:a16="http://schemas.microsoft.com/office/drawing/2014/main" id="{188D7C31-1DD2-44AF-8FAC-CB62D17F243E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98" name="TextBox 897">
              <a:extLst>
                <a:ext uri="{FF2B5EF4-FFF2-40B4-BE49-F238E27FC236}">
                  <a16:creationId xmlns:a16="http://schemas.microsoft.com/office/drawing/2014/main" id="{188D7C31-1DD2-44AF-8FAC-CB62D17F243E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9" name="TextBox 898">
              <a:extLst>
                <a:ext uri="{FF2B5EF4-FFF2-40B4-BE49-F238E27FC236}">
                  <a16:creationId xmlns:a16="http://schemas.microsoft.com/office/drawing/2014/main" id="{8D7F11D0-F6FE-4E4C-A27D-1A35BFEE4CF3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99" name="TextBox 898">
              <a:extLst>
                <a:ext uri="{FF2B5EF4-FFF2-40B4-BE49-F238E27FC236}">
                  <a16:creationId xmlns:a16="http://schemas.microsoft.com/office/drawing/2014/main" id="{8D7F11D0-F6FE-4E4C-A27D-1A35BFEE4CF3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0" name="TextBox 899">
              <a:extLst>
                <a:ext uri="{FF2B5EF4-FFF2-40B4-BE49-F238E27FC236}">
                  <a16:creationId xmlns:a16="http://schemas.microsoft.com/office/drawing/2014/main" id="{C786C75C-5F72-4F71-B398-261E7D967CEB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00" name="TextBox 899">
              <a:extLst>
                <a:ext uri="{FF2B5EF4-FFF2-40B4-BE49-F238E27FC236}">
                  <a16:creationId xmlns:a16="http://schemas.microsoft.com/office/drawing/2014/main" id="{C786C75C-5F72-4F71-B398-261E7D967CEB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1" name="TextBox 900">
              <a:extLst>
                <a:ext uri="{FF2B5EF4-FFF2-40B4-BE49-F238E27FC236}">
                  <a16:creationId xmlns:a16="http://schemas.microsoft.com/office/drawing/2014/main" id="{4FD0C8C3-C078-49F2-87C0-4E023094C4C0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01" name="TextBox 900">
              <a:extLst>
                <a:ext uri="{FF2B5EF4-FFF2-40B4-BE49-F238E27FC236}">
                  <a16:creationId xmlns:a16="http://schemas.microsoft.com/office/drawing/2014/main" id="{4FD0C8C3-C078-49F2-87C0-4E023094C4C0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2" name="TextBox 901">
              <a:extLst>
                <a:ext uri="{FF2B5EF4-FFF2-40B4-BE49-F238E27FC236}">
                  <a16:creationId xmlns:a16="http://schemas.microsoft.com/office/drawing/2014/main" id="{EBCC380A-434C-4099-8DE5-D7A3DE72203A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02" name="TextBox 901">
              <a:extLst>
                <a:ext uri="{FF2B5EF4-FFF2-40B4-BE49-F238E27FC236}">
                  <a16:creationId xmlns:a16="http://schemas.microsoft.com/office/drawing/2014/main" id="{EBCC380A-434C-4099-8DE5-D7A3DE72203A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3" name="TextBox 902">
              <a:extLst>
                <a:ext uri="{FF2B5EF4-FFF2-40B4-BE49-F238E27FC236}">
                  <a16:creationId xmlns:a16="http://schemas.microsoft.com/office/drawing/2014/main" id="{9F3D685B-E06B-4F43-97F0-B741D75C6AB2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03" name="TextBox 902">
              <a:extLst>
                <a:ext uri="{FF2B5EF4-FFF2-40B4-BE49-F238E27FC236}">
                  <a16:creationId xmlns:a16="http://schemas.microsoft.com/office/drawing/2014/main" id="{9F3D685B-E06B-4F43-97F0-B741D75C6AB2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4" name="TextBox 903">
              <a:extLst>
                <a:ext uri="{FF2B5EF4-FFF2-40B4-BE49-F238E27FC236}">
                  <a16:creationId xmlns:a16="http://schemas.microsoft.com/office/drawing/2014/main" id="{F2E9D5F7-F897-45E1-967E-B31D280D467B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04" name="TextBox 903">
              <a:extLst>
                <a:ext uri="{FF2B5EF4-FFF2-40B4-BE49-F238E27FC236}">
                  <a16:creationId xmlns:a16="http://schemas.microsoft.com/office/drawing/2014/main" id="{F2E9D5F7-F897-45E1-967E-B31D280D467B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5" name="TextBox 904">
              <a:extLst>
                <a:ext uri="{FF2B5EF4-FFF2-40B4-BE49-F238E27FC236}">
                  <a16:creationId xmlns:a16="http://schemas.microsoft.com/office/drawing/2014/main" id="{3911E838-4B50-484B-AA37-43FD687B536C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05" name="TextBox 904">
              <a:extLst>
                <a:ext uri="{FF2B5EF4-FFF2-40B4-BE49-F238E27FC236}">
                  <a16:creationId xmlns:a16="http://schemas.microsoft.com/office/drawing/2014/main" id="{3911E838-4B50-484B-AA37-43FD687B536C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6" name="TextBox 905">
              <a:extLst>
                <a:ext uri="{FF2B5EF4-FFF2-40B4-BE49-F238E27FC236}">
                  <a16:creationId xmlns:a16="http://schemas.microsoft.com/office/drawing/2014/main" id="{6D70F4CE-C7EA-4176-93D4-C069AADF377A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06" name="TextBox 905">
              <a:extLst>
                <a:ext uri="{FF2B5EF4-FFF2-40B4-BE49-F238E27FC236}">
                  <a16:creationId xmlns:a16="http://schemas.microsoft.com/office/drawing/2014/main" id="{6D70F4CE-C7EA-4176-93D4-C069AADF377A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7" name="TextBox 906">
              <a:extLst>
                <a:ext uri="{FF2B5EF4-FFF2-40B4-BE49-F238E27FC236}">
                  <a16:creationId xmlns:a16="http://schemas.microsoft.com/office/drawing/2014/main" id="{F1AF9F34-E32F-4842-965D-519DDDF0A1DE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07" name="TextBox 906">
              <a:extLst>
                <a:ext uri="{FF2B5EF4-FFF2-40B4-BE49-F238E27FC236}">
                  <a16:creationId xmlns:a16="http://schemas.microsoft.com/office/drawing/2014/main" id="{F1AF9F34-E32F-4842-965D-519DDDF0A1DE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8" name="TextBox 907">
              <a:extLst>
                <a:ext uri="{FF2B5EF4-FFF2-40B4-BE49-F238E27FC236}">
                  <a16:creationId xmlns:a16="http://schemas.microsoft.com/office/drawing/2014/main" id="{B22C2584-5175-42D1-83A5-770DCB12A764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08" name="TextBox 907">
              <a:extLst>
                <a:ext uri="{FF2B5EF4-FFF2-40B4-BE49-F238E27FC236}">
                  <a16:creationId xmlns:a16="http://schemas.microsoft.com/office/drawing/2014/main" id="{B22C2584-5175-42D1-83A5-770DCB12A764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9" name="TextBox 908">
              <a:extLst>
                <a:ext uri="{FF2B5EF4-FFF2-40B4-BE49-F238E27FC236}">
                  <a16:creationId xmlns:a16="http://schemas.microsoft.com/office/drawing/2014/main" id="{BBD06FFA-54BF-442C-811A-BA6703D28F2A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09" name="TextBox 908">
              <a:extLst>
                <a:ext uri="{FF2B5EF4-FFF2-40B4-BE49-F238E27FC236}">
                  <a16:creationId xmlns:a16="http://schemas.microsoft.com/office/drawing/2014/main" id="{BBD06FFA-54BF-442C-811A-BA6703D28F2A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0" name="TextBox 909">
              <a:extLst>
                <a:ext uri="{FF2B5EF4-FFF2-40B4-BE49-F238E27FC236}">
                  <a16:creationId xmlns:a16="http://schemas.microsoft.com/office/drawing/2014/main" id="{7A232BF3-832A-44A7-84C1-80DAABEB393A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10" name="TextBox 909">
              <a:extLst>
                <a:ext uri="{FF2B5EF4-FFF2-40B4-BE49-F238E27FC236}">
                  <a16:creationId xmlns:a16="http://schemas.microsoft.com/office/drawing/2014/main" id="{7A232BF3-832A-44A7-84C1-80DAABEB393A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1" name="TextBox 910">
              <a:extLst>
                <a:ext uri="{FF2B5EF4-FFF2-40B4-BE49-F238E27FC236}">
                  <a16:creationId xmlns:a16="http://schemas.microsoft.com/office/drawing/2014/main" id="{42ABAA7D-AF0A-4D36-A0B6-7F046FDA2118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11" name="TextBox 910">
              <a:extLst>
                <a:ext uri="{FF2B5EF4-FFF2-40B4-BE49-F238E27FC236}">
                  <a16:creationId xmlns:a16="http://schemas.microsoft.com/office/drawing/2014/main" id="{42ABAA7D-AF0A-4D36-A0B6-7F046FDA2118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2" name="TextBox 911">
              <a:extLst>
                <a:ext uri="{FF2B5EF4-FFF2-40B4-BE49-F238E27FC236}">
                  <a16:creationId xmlns:a16="http://schemas.microsoft.com/office/drawing/2014/main" id="{5DFF8846-F6B6-46FC-8254-92E8B57CBB27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12" name="TextBox 911">
              <a:extLst>
                <a:ext uri="{FF2B5EF4-FFF2-40B4-BE49-F238E27FC236}">
                  <a16:creationId xmlns:a16="http://schemas.microsoft.com/office/drawing/2014/main" id="{5DFF8846-F6B6-46FC-8254-92E8B57CBB27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3" name="TextBox 912">
              <a:extLst>
                <a:ext uri="{FF2B5EF4-FFF2-40B4-BE49-F238E27FC236}">
                  <a16:creationId xmlns:a16="http://schemas.microsoft.com/office/drawing/2014/main" id="{23129C4D-BDC5-4BAD-9A37-EB8F6DAB2293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13" name="TextBox 912">
              <a:extLst>
                <a:ext uri="{FF2B5EF4-FFF2-40B4-BE49-F238E27FC236}">
                  <a16:creationId xmlns:a16="http://schemas.microsoft.com/office/drawing/2014/main" id="{23129C4D-BDC5-4BAD-9A37-EB8F6DAB2293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4" name="TextBox 913">
              <a:extLst>
                <a:ext uri="{FF2B5EF4-FFF2-40B4-BE49-F238E27FC236}">
                  <a16:creationId xmlns:a16="http://schemas.microsoft.com/office/drawing/2014/main" id="{FBA92DBE-792D-40E4-8007-C3ECA6D3F702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14" name="TextBox 913">
              <a:extLst>
                <a:ext uri="{FF2B5EF4-FFF2-40B4-BE49-F238E27FC236}">
                  <a16:creationId xmlns:a16="http://schemas.microsoft.com/office/drawing/2014/main" id="{FBA92DBE-792D-40E4-8007-C3ECA6D3F702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5" name="TextBox 914">
              <a:extLst>
                <a:ext uri="{FF2B5EF4-FFF2-40B4-BE49-F238E27FC236}">
                  <a16:creationId xmlns:a16="http://schemas.microsoft.com/office/drawing/2014/main" id="{EB294C3B-3D89-4390-8B2A-9908A5304A7E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15" name="TextBox 914">
              <a:extLst>
                <a:ext uri="{FF2B5EF4-FFF2-40B4-BE49-F238E27FC236}">
                  <a16:creationId xmlns:a16="http://schemas.microsoft.com/office/drawing/2014/main" id="{EB294C3B-3D89-4390-8B2A-9908A5304A7E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6" name="TextBox 915">
              <a:extLst>
                <a:ext uri="{FF2B5EF4-FFF2-40B4-BE49-F238E27FC236}">
                  <a16:creationId xmlns:a16="http://schemas.microsoft.com/office/drawing/2014/main" id="{B8B5BF16-BADB-48D5-99BA-AA76AE0583C6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16" name="TextBox 915">
              <a:extLst>
                <a:ext uri="{FF2B5EF4-FFF2-40B4-BE49-F238E27FC236}">
                  <a16:creationId xmlns:a16="http://schemas.microsoft.com/office/drawing/2014/main" id="{B8B5BF16-BADB-48D5-99BA-AA76AE0583C6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7" name="TextBox 916">
              <a:extLst>
                <a:ext uri="{FF2B5EF4-FFF2-40B4-BE49-F238E27FC236}">
                  <a16:creationId xmlns:a16="http://schemas.microsoft.com/office/drawing/2014/main" id="{8C777079-BF21-4C98-9D27-FDE281FF4631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17" name="TextBox 916">
              <a:extLst>
                <a:ext uri="{FF2B5EF4-FFF2-40B4-BE49-F238E27FC236}">
                  <a16:creationId xmlns:a16="http://schemas.microsoft.com/office/drawing/2014/main" id="{8C777079-BF21-4C98-9D27-FDE281FF4631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8" name="TextBox 917">
              <a:extLst>
                <a:ext uri="{FF2B5EF4-FFF2-40B4-BE49-F238E27FC236}">
                  <a16:creationId xmlns:a16="http://schemas.microsoft.com/office/drawing/2014/main" id="{397564AC-EA28-4BC3-BDF1-4707416C668C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18" name="TextBox 917">
              <a:extLst>
                <a:ext uri="{FF2B5EF4-FFF2-40B4-BE49-F238E27FC236}">
                  <a16:creationId xmlns:a16="http://schemas.microsoft.com/office/drawing/2014/main" id="{397564AC-EA28-4BC3-BDF1-4707416C668C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9" name="TextBox 918">
              <a:extLst>
                <a:ext uri="{FF2B5EF4-FFF2-40B4-BE49-F238E27FC236}">
                  <a16:creationId xmlns:a16="http://schemas.microsoft.com/office/drawing/2014/main" id="{78847DEE-4123-4326-B577-F14AE9431FB1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19" name="TextBox 918">
              <a:extLst>
                <a:ext uri="{FF2B5EF4-FFF2-40B4-BE49-F238E27FC236}">
                  <a16:creationId xmlns:a16="http://schemas.microsoft.com/office/drawing/2014/main" id="{78847DEE-4123-4326-B577-F14AE9431FB1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0" name="TextBox 919">
              <a:extLst>
                <a:ext uri="{FF2B5EF4-FFF2-40B4-BE49-F238E27FC236}">
                  <a16:creationId xmlns:a16="http://schemas.microsoft.com/office/drawing/2014/main" id="{5680A2D1-1752-42C3-BA35-55D6BBBF61BE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20" name="TextBox 919">
              <a:extLst>
                <a:ext uri="{FF2B5EF4-FFF2-40B4-BE49-F238E27FC236}">
                  <a16:creationId xmlns:a16="http://schemas.microsoft.com/office/drawing/2014/main" id="{5680A2D1-1752-42C3-BA35-55D6BBBF61BE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1" name="TextBox 920">
              <a:extLst>
                <a:ext uri="{FF2B5EF4-FFF2-40B4-BE49-F238E27FC236}">
                  <a16:creationId xmlns:a16="http://schemas.microsoft.com/office/drawing/2014/main" id="{17E5E681-C31B-4E96-AE9F-27D2FD3EBC72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21" name="TextBox 920">
              <a:extLst>
                <a:ext uri="{FF2B5EF4-FFF2-40B4-BE49-F238E27FC236}">
                  <a16:creationId xmlns:a16="http://schemas.microsoft.com/office/drawing/2014/main" id="{17E5E681-C31B-4E96-AE9F-27D2FD3EBC72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2" name="TextBox 921">
              <a:extLst>
                <a:ext uri="{FF2B5EF4-FFF2-40B4-BE49-F238E27FC236}">
                  <a16:creationId xmlns:a16="http://schemas.microsoft.com/office/drawing/2014/main" id="{7092D55A-C262-4B01-80B9-D1FE38A7502B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22" name="TextBox 921">
              <a:extLst>
                <a:ext uri="{FF2B5EF4-FFF2-40B4-BE49-F238E27FC236}">
                  <a16:creationId xmlns:a16="http://schemas.microsoft.com/office/drawing/2014/main" id="{7092D55A-C262-4B01-80B9-D1FE38A7502B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3" name="TextBox 922">
              <a:extLst>
                <a:ext uri="{FF2B5EF4-FFF2-40B4-BE49-F238E27FC236}">
                  <a16:creationId xmlns:a16="http://schemas.microsoft.com/office/drawing/2014/main" id="{FE7EA4EE-149A-4325-A68C-CBDF8AD5FD9A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23" name="TextBox 922">
              <a:extLst>
                <a:ext uri="{FF2B5EF4-FFF2-40B4-BE49-F238E27FC236}">
                  <a16:creationId xmlns:a16="http://schemas.microsoft.com/office/drawing/2014/main" id="{FE7EA4EE-149A-4325-A68C-CBDF8AD5FD9A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4" name="TextBox 923">
              <a:extLst>
                <a:ext uri="{FF2B5EF4-FFF2-40B4-BE49-F238E27FC236}">
                  <a16:creationId xmlns:a16="http://schemas.microsoft.com/office/drawing/2014/main" id="{092FE679-9C52-4130-A59C-5E1A464E1501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24" name="TextBox 923">
              <a:extLst>
                <a:ext uri="{FF2B5EF4-FFF2-40B4-BE49-F238E27FC236}">
                  <a16:creationId xmlns:a16="http://schemas.microsoft.com/office/drawing/2014/main" id="{092FE679-9C52-4130-A59C-5E1A464E1501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5" name="TextBox 924">
              <a:extLst>
                <a:ext uri="{FF2B5EF4-FFF2-40B4-BE49-F238E27FC236}">
                  <a16:creationId xmlns:a16="http://schemas.microsoft.com/office/drawing/2014/main" id="{0F9A7712-C21E-4804-B072-228553935C75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25" name="TextBox 924">
              <a:extLst>
                <a:ext uri="{FF2B5EF4-FFF2-40B4-BE49-F238E27FC236}">
                  <a16:creationId xmlns:a16="http://schemas.microsoft.com/office/drawing/2014/main" id="{0F9A7712-C21E-4804-B072-228553935C75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6" name="TextBox 925">
              <a:extLst>
                <a:ext uri="{FF2B5EF4-FFF2-40B4-BE49-F238E27FC236}">
                  <a16:creationId xmlns:a16="http://schemas.microsoft.com/office/drawing/2014/main" id="{3250D3AC-855A-46CE-93CC-38725D4EBFC2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26" name="TextBox 925">
              <a:extLst>
                <a:ext uri="{FF2B5EF4-FFF2-40B4-BE49-F238E27FC236}">
                  <a16:creationId xmlns:a16="http://schemas.microsoft.com/office/drawing/2014/main" id="{3250D3AC-855A-46CE-93CC-38725D4EBFC2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7" name="TextBox 926">
              <a:extLst>
                <a:ext uri="{FF2B5EF4-FFF2-40B4-BE49-F238E27FC236}">
                  <a16:creationId xmlns:a16="http://schemas.microsoft.com/office/drawing/2014/main" id="{CAA54BED-2415-452F-A676-0E711D4A7AF9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27" name="TextBox 926">
              <a:extLst>
                <a:ext uri="{FF2B5EF4-FFF2-40B4-BE49-F238E27FC236}">
                  <a16:creationId xmlns:a16="http://schemas.microsoft.com/office/drawing/2014/main" id="{CAA54BED-2415-452F-A676-0E711D4A7AF9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8" name="TextBox 927">
              <a:extLst>
                <a:ext uri="{FF2B5EF4-FFF2-40B4-BE49-F238E27FC236}">
                  <a16:creationId xmlns:a16="http://schemas.microsoft.com/office/drawing/2014/main" id="{4621D71C-AA34-4A03-A143-8C68E3362669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28" name="TextBox 927">
              <a:extLst>
                <a:ext uri="{FF2B5EF4-FFF2-40B4-BE49-F238E27FC236}">
                  <a16:creationId xmlns:a16="http://schemas.microsoft.com/office/drawing/2014/main" id="{4621D71C-AA34-4A03-A143-8C68E3362669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9" name="TextBox 928">
              <a:extLst>
                <a:ext uri="{FF2B5EF4-FFF2-40B4-BE49-F238E27FC236}">
                  <a16:creationId xmlns:a16="http://schemas.microsoft.com/office/drawing/2014/main" id="{98A234FF-DE1A-43D8-82A1-52FE5CB91474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29" name="TextBox 928">
              <a:extLst>
                <a:ext uri="{FF2B5EF4-FFF2-40B4-BE49-F238E27FC236}">
                  <a16:creationId xmlns:a16="http://schemas.microsoft.com/office/drawing/2014/main" id="{98A234FF-DE1A-43D8-82A1-52FE5CB91474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0" name="TextBox 929">
              <a:extLst>
                <a:ext uri="{FF2B5EF4-FFF2-40B4-BE49-F238E27FC236}">
                  <a16:creationId xmlns:a16="http://schemas.microsoft.com/office/drawing/2014/main" id="{58B13754-86B1-45EE-8644-01EC41FCEF9B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30" name="TextBox 929">
              <a:extLst>
                <a:ext uri="{FF2B5EF4-FFF2-40B4-BE49-F238E27FC236}">
                  <a16:creationId xmlns:a16="http://schemas.microsoft.com/office/drawing/2014/main" id="{58B13754-86B1-45EE-8644-01EC41FCEF9B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1" name="TextBox 930">
              <a:extLst>
                <a:ext uri="{FF2B5EF4-FFF2-40B4-BE49-F238E27FC236}">
                  <a16:creationId xmlns:a16="http://schemas.microsoft.com/office/drawing/2014/main" id="{3999CAB0-2014-4167-95BA-58B2F06BE7A7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31" name="TextBox 930">
              <a:extLst>
                <a:ext uri="{FF2B5EF4-FFF2-40B4-BE49-F238E27FC236}">
                  <a16:creationId xmlns:a16="http://schemas.microsoft.com/office/drawing/2014/main" id="{3999CAB0-2014-4167-95BA-58B2F06BE7A7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2" name="TextBox 931">
              <a:extLst>
                <a:ext uri="{FF2B5EF4-FFF2-40B4-BE49-F238E27FC236}">
                  <a16:creationId xmlns:a16="http://schemas.microsoft.com/office/drawing/2014/main" id="{E35771A7-73FD-48D0-853B-0888351B6296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32" name="TextBox 931">
              <a:extLst>
                <a:ext uri="{FF2B5EF4-FFF2-40B4-BE49-F238E27FC236}">
                  <a16:creationId xmlns:a16="http://schemas.microsoft.com/office/drawing/2014/main" id="{E35771A7-73FD-48D0-853B-0888351B6296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3" name="TextBox 932">
              <a:extLst>
                <a:ext uri="{FF2B5EF4-FFF2-40B4-BE49-F238E27FC236}">
                  <a16:creationId xmlns:a16="http://schemas.microsoft.com/office/drawing/2014/main" id="{23D4846B-31A1-4900-8A86-44D3DC147108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33" name="TextBox 932">
              <a:extLst>
                <a:ext uri="{FF2B5EF4-FFF2-40B4-BE49-F238E27FC236}">
                  <a16:creationId xmlns:a16="http://schemas.microsoft.com/office/drawing/2014/main" id="{23D4846B-31A1-4900-8A86-44D3DC147108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4" name="TextBox 933">
              <a:extLst>
                <a:ext uri="{FF2B5EF4-FFF2-40B4-BE49-F238E27FC236}">
                  <a16:creationId xmlns:a16="http://schemas.microsoft.com/office/drawing/2014/main" id="{6C12C58E-1DD6-4D49-A26E-C699681C755F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34" name="TextBox 933">
              <a:extLst>
                <a:ext uri="{FF2B5EF4-FFF2-40B4-BE49-F238E27FC236}">
                  <a16:creationId xmlns:a16="http://schemas.microsoft.com/office/drawing/2014/main" id="{6C12C58E-1DD6-4D49-A26E-C699681C755F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5" name="TextBox 934">
              <a:extLst>
                <a:ext uri="{FF2B5EF4-FFF2-40B4-BE49-F238E27FC236}">
                  <a16:creationId xmlns:a16="http://schemas.microsoft.com/office/drawing/2014/main" id="{E6AF9BFA-5EFE-4AED-AFE1-B69762716E99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35" name="TextBox 934">
              <a:extLst>
                <a:ext uri="{FF2B5EF4-FFF2-40B4-BE49-F238E27FC236}">
                  <a16:creationId xmlns:a16="http://schemas.microsoft.com/office/drawing/2014/main" id="{E6AF9BFA-5EFE-4AED-AFE1-B69762716E99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6" name="TextBox 935">
              <a:extLst>
                <a:ext uri="{FF2B5EF4-FFF2-40B4-BE49-F238E27FC236}">
                  <a16:creationId xmlns:a16="http://schemas.microsoft.com/office/drawing/2014/main" id="{CB80F396-4D41-4584-BE86-4D1A265372F1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36" name="TextBox 935">
              <a:extLst>
                <a:ext uri="{FF2B5EF4-FFF2-40B4-BE49-F238E27FC236}">
                  <a16:creationId xmlns:a16="http://schemas.microsoft.com/office/drawing/2014/main" id="{CB80F396-4D41-4584-BE86-4D1A265372F1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7" name="TextBox 936">
              <a:extLst>
                <a:ext uri="{FF2B5EF4-FFF2-40B4-BE49-F238E27FC236}">
                  <a16:creationId xmlns:a16="http://schemas.microsoft.com/office/drawing/2014/main" id="{816CE07C-6A50-4844-A919-5D8DAFE90C6C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37" name="TextBox 936">
              <a:extLst>
                <a:ext uri="{FF2B5EF4-FFF2-40B4-BE49-F238E27FC236}">
                  <a16:creationId xmlns:a16="http://schemas.microsoft.com/office/drawing/2014/main" id="{816CE07C-6A50-4844-A919-5D8DAFE90C6C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8" name="TextBox 937">
              <a:extLst>
                <a:ext uri="{FF2B5EF4-FFF2-40B4-BE49-F238E27FC236}">
                  <a16:creationId xmlns:a16="http://schemas.microsoft.com/office/drawing/2014/main" id="{D397D9CB-7B0B-4486-B3A3-C10DF8279D21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38" name="TextBox 937">
              <a:extLst>
                <a:ext uri="{FF2B5EF4-FFF2-40B4-BE49-F238E27FC236}">
                  <a16:creationId xmlns:a16="http://schemas.microsoft.com/office/drawing/2014/main" id="{D397D9CB-7B0B-4486-B3A3-C10DF8279D21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9" name="TextBox 938">
              <a:extLst>
                <a:ext uri="{FF2B5EF4-FFF2-40B4-BE49-F238E27FC236}">
                  <a16:creationId xmlns:a16="http://schemas.microsoft.com/office/drawing/2014/main" id="{378E2314-6A77-4DBB-8D42-E2AEE2909E1C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39" name="TextBox 938">
              <a:extLst>
                <a:ext uri="{FF2B5EF4-FFF2-40B4-BE49-F238E27FC236}">
                  <a16:creationId xmlns:a16="http://schemas.microsoft.com/office/drawing/2014/main" id="{378E2314-6A77-4DBB-8D42-E2AEE2909E1C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0" name="TextBox 939">
              <a:extLst>
                <a:ext uri="{FF2B5EF4-FFF2-40B4-BE49-F238E27FC236}">
                  <a16:creationId xmlns:a16="http://schemas.microsoft.com/office/drawing/2014/main" id="{CCEA1DAF-C721-46EF-A2C8-994900E8FA69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40" name="TextBox 939">
              <a:extLst>
                <a:ext uri="{FF2B5EF4-FFF2-40B4-BE49-F238E27FC236}">
                  <a16:creationId xmlns:a16="http://schemas.microsoft.com/office/drawing/2014/main" id="{CCEA1DAF-C721-46EF-A2C8-994900E8FA69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1" name="TextBox 940">
              <a:extLst>
                <a:ext uri="{FF2B5EF4-FFF2-40B4-BE49-F238E27FC236}">
                  <a16:creationId xmlns:a16="http://schemas.microsoft.com/office/drawing/2014/main" id="{5706D168-F82E-4694-996E-312617A01A19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41" name="TextBox 940">
              <a:extLst>
                <a:ext uri="{FF2B5EF4-FFF2-40B4-BE49-F238E27FC236}">
                  <a16:creationId xmlns:a16="http://schemas.microsoft.com/office/drawing/2014/main" id="{5706D168-F82E-4694-996E-312617A01A19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2" name="TextBox 941">
              <a:extLst>
                <a:ext uri="{FF2B5EF4-FFF2-40B4-BE49-F238E27FC236}">
                  <a16:creationId xmlns:a16="http://schemas.microsoft.com/office/drawing/2014/main" id="{2BA8147A-97AA-4EB4-9DB4-E81D46789987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42" name="TextBox 941">
              <a:extLst>
                <a:ext uri="{FF2B5EF4-FFF2-40B4-BE49-F238E27FC236}">
                  <a16:creationId xmlns:a16="http://schemas.microsoft.com/office/drawing/2014/main" id="{2BA8147A-97AA-4EB4-9DB4-E81D46789987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3" name="TextBox 942">
              <a:extLst>
                <a:ext uri="{FF2B5EF4-FFF2-40B4-BE49-F238E27FC236}">
                  <a16:creationId xmlns:a16="http://schemas.microsoft.com/office/drawing/2014/main" id="{0258F51F-C737-4A03-B589-EBE8CB689AA6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43" name="TextBox 942">
              <a:extLst>
                <a:ext uri="{FF2B5EF4-FFF2-40B4-BE49-F238E27FC236}">
                  <a16:creationId xmlns:a16="http://schemas.microsoft.com/office/drawing/2014/main" id="{0258F51F-C737-4A03-B589-EBE8CB689AA6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4" name="TextBox 943">
              <a:extLst>
                <a:ext uri="{FF2B5EF4-FFF2-40B4-BE49-F238E27FC236}">
                  <a16:creationId xmlns:a16="http://schemas.microsoft.com/office/drawing/2014/main" id="{E3EE6C9A-E453-4D39-B42D-2BB0974CDBAC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44" name="TextBox 943">
              <a:extLst>
                <a:ext uri="{FF2B5EF4-FFF2-40B4-BE49-F238E27FC236}">
                  <a16:creationId xmlns:a16="http://schemas.microsoft.com/office/drawing/2014/main" id="{E3EE6C9A-E453-4D39-B42D-2BB0974CDBAC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5" name="TextBox 944">
              <a:extLst>
                <a:ext uri="{FF2B5EF4-FFF2-40B4-BE49-F238E27FC236}">
                  <a16:creationId xmlns:a16="http://schemas.microsoft.com/office/drawing/2014/main" id="{AA69EEFE-8387-4FA0-85AB-FF24D76525AD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45" name="TextBox 944">
              <a:extLst>
                <a:ext uri="{FF2B5EF4-FFF2-40B4-BE49-F238E27FC236}">
                  <a16:creationId xmlns:a16="http://schemas.microsoft.com/office/drawing/2014/main" id="{AA69EEFE-8387-4FA0-85AB-FF24D76525AD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6" name="TextBox 945">
              <a:extLst>
                <a:ext uri="{FF2B5EF4-FFF2-40B4-BE49-F238E27FC236}">
                  <a16:creationId xmlns:a16="http://schemas.microsoft.com/office/drawing/2014/main" id="{C912EF57-8533-4006-87DE-88C099C26891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46" name="TextBox 945">
              <a:extLst>
                <a:ext uri="{FF2B5EF4-FFF2-40B4-BE49-F238E27FC236}">
                  <a16:creationId xmlns:a16="http://schemas.microsoft.com/office/drawing/2014/main" id="{C912EF57-8533-4006-87DE-88C099C26891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7" name="TextBox 946">
              <a:extLst>
                <a:ext uri="{FF2B5EF4-FFF2-40B4-BE49-F238E27FC236}">
                  <a16:creationId xmlns:a16="http://schemas.microsoft.com/office/drawing/2014/main" id="{2D386D2C-D3CD-416C-B63E-C3527713EF88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47" name="TextBox 946">
              <a:extLst>
                <a:ext uri="{FF2B5EF4-FFF2-40B4-BE49-F238E27FC236}">
                  <a16:creationId xmlns:a16="http://schemas.microsoft.com/office/drawing/2014/main" id="{2D386D2C-D3CD-416C-B63E-C3527713EF88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8" name="TextBox 947">
              <a:extLst>
                <a:ext uri="{FF2B5EF4-FFF2-40B4-BE49-F238E27FC236}">
                  <a16:creationId xmlns:a16="http://schemas.microsoft.com/office/drawing/2014/main" id="{7A8BCF4A-01E5-4E44-BABF-DE895234ADE5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48" name="TextBox 947">
              <a:extLst>
                <a:ext uri="{FF2B5EF4-FFF2-40B4-BE49-F238E27FC236}">
                  <a16:creationId xmlns:a16="http://schemas.microsoft.com/office/drawing/2014/main" id="{7A8BCF4A-01E5-4E44-BABF-DE895234ADE5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9" name="TextBox 948">
              <a:extLst>
                <a:ext uri="{FF2B5EF4-FFF2-40B4-BE49-F238E27FC236}">
                  <a16:creationId xmlns:a16="http://schemas.microsoft.com/office/drawing/2014/main" id="{F1DA6978-06C0-462A-9885-CE2F95E01F79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49" name="TextBox 948">
              <a:extLst>
                <a:ext uri="{FF2B5EF4-FFF2-40B4-BE49-F238E27FC236}">
                  <a16:creationId xmlns:a16="http://schemas.microsoft.com/office/drawing/2014/main" id="{F1DA6978-06C0-462A-9885-CE2F95E01F79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0" name="TextBox 949">
              <a:extLst>
                <a:ext uri="{FF2B5EF4-FFF2-40B4-BE49-F238E27FC236}">
                  <a16:creationId xmlns:a16="http://schemas.microsoft.com/office/drawing/2014/main" id="{D9FDF188-E6F1-44C6-8787-7EB7EE6739C6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50" name="TextBox 949">
              <a:extLst>
                <a:ext uri="{FF2B5EF4-FFF2-40B4-BE49-F238E27FC236}">
                  <a16:creationId xmlns:a16="http://schemas.microsoft.com/office/drawing/2014/main" id="{D9FDF188-E6F1-44C6-8787-7EB7EE6739C6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1" name="TextBox 950">
              <a:extLst>
                <a:ext uri="{FF2B5EF4-FFF2-40B4-BE49-F238E27FC236}">
                  <a16:creationId xmlns:a16="http://schemas.microsoft.com/office/drawing/2014/main" id="{F00D71A8-CCE8-45C3-880F-643EA6488A12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51" name="TextBox 950">
              <a:extLst>
                <a:ext uri="{FF2B5EF4-FFF2-40B4-BE49-F238E27FC236}">
                  <a16:creationId xmlns:a16="http://schemas.microsoft.com/office/drawing/2014/main" id="{F00D71A8-CCE8-45C3-880F-643EA6488A12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2" name="TextBox 951">
              <a:extLst>
                <a:ext uri="{FF2B5EF4-FFF2-40B4-BE49-F238E27FC236}">
                  <a16:creationId xmlns:a16="http://schemas.microsoft.com/office/drawing/2014/main" id="{7B1C5D16-A1F1-49B7-8E64-BF186F91C59A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52" name="TextBox 951">
              <a:extLst>
                <a:ext uri="{FF2B5EF4-FFF2-40B4-BE49-F238E27FC236}">
                  <a16:creationId xmlns:a16="http://schemas.microsoft.com/office/drawing/2014/main" id="{7B1C5D16-A1F1-49B7-8E64-BF186F91C59A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3" name="TextBox 952">
              <a:extLst>
                <a:ext uri="{FF2B5EF4-FFF2-40B4-BE49-F238E27FC236}">
                  <a16:creationId xmlns:a16="http://schemas.microsoft.com/office/drawing/2014/main" id="{89C79150-F6C7-421A-8629-FA3DA1C77557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53" name="TextBox 952">
              <a:extLst>
                <a:ext uri="{FF2B5EF4-FFF2-40B4-BE49-F238E27FC236}">
                  <a16:creationId xmlns:a16="http://schemas.microsoft.com/office/drawing/2014/main" id="{89C79150-F6C7-421A-8629-FA3DA1C77557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4" name="TextBox 953">
              <a:extLst>
                <a:ext uri="{FF2B5EF4-FFF2-40B4-BE49-F238E27FC236}">
                  <a16:creationId xmlns:a16="http://schemas.microsoft.com/office/drawing/2014/main" id="{C52F3517-CDD5-4362-ACED-2806D17C17D9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54" name="TextBox 953">
              <a:extLst>
                <a:ext uri="{FF2B5EF4-FFF2-40B4-BE49-F238E27FC236}">
                  <a16:creationId xmlns:a16="http://schemas.microsoft.com/office/drawing/2014/main" id="{C52F3517-CDD5-4362-ACED-2806D17C17D9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5" name="TextBox 954">
              <a:extLst>
                <a:ext uri="{FF2B5EF4-FFF2-40B4-BE49-F238E27FC236}">
                  <a16:creationId xmlns:a16="http://schemas.microsoft.com/office/drawing/2014/main" id="{E542E0DE-D946-4CF6-9F50-1D59D495C69E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55" name="TextBox 954">
              <a:extLst>
                <a:ext uri="{FF2B5EF4-FFF2-40B4-BE49-F238E27FC236}">
                  <a16:creationId xmlns:a16="http://schemas.microsoft.com/office/drawing/2014/main" id="{E542E0DE-D946-4CF6-9F50-1D59D495C69E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6" name="TextBox 955">
              <a:extLst>
                <a:ext uri="{FF2B5EF4-FFF2-40B4-BE49-F238E27FC236}">
                  <a16:creationId xmlns:a16="http://schemas.microsoft.com/office/drawing/2014/main" id="{D24F2A96-AD9C-431B-AE45-17F493159879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56" name="TextBox 955">
              <a:extLst>
                <a:ext uri="{FF2B5EF4-FFF2-40B4-BE49-F238E27FC236}">
                  <a16:creationId xmlns:a16="http://schemas.microsoft.com/office/drawing/2014/main" id="{D24F2A96-AD9C-431B-AE45-17F493159879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7" name="TextBox 956">
              <a:extLst>
                <a:ext uri="{FF2B5EF4-FFF2-40B4-BE49-F238E27FC236}">
                  <a16:creationId xmlns:a16="http://schemas.microsoft.com/office/drawing/2014/main" id="{6A44E87C-E94E-4D7A-A958-64A2F1797DEA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57" name="TextBox 956">
              <a:extLst>
                <a:ext uri="{FF2B5EF4-FFF2-40B4-BE49-F238E27FC236}">
                  <a16:creationId xmlns:a16="http://schemas.microsoft.com/office/drawing/2014/main" id="{6A44E87C-E94E-4D7A-A958-64A2F1797DEA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8" name="TextBox 957">
              <a:extLst>
                <a:ext uri="{FF2B5EF4-FFF2-40B4-BE49-F238E27FC236}">
                  <a16:creationId xmlns:a16="http://schemas.microsoft.com/office/drawing/2014/main" id="{57920B37-0AEF-41FB-BDE2-9FD06FF1076F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58" name="TextBox 957">
              <a:extLst>
                <a:ext uri="{FF2B5EF4-FFF2-40B4-BE49-F238E27FC236}">
                  <a16:creationId xmlns:a16="http://schemas.microsoft.com/office/drawing/2014/main" id="{57920B37-0AEF-41FB-BDE2-9FD06FF1076F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9" name="TextBox 958">
              <a:extLst>
                <a:ext uri="{FF2B5EF4-FFF2-40B4-BE49-F238E27FC236}">
                  <a16:creationId xmlns:a16="http://schemas.microsoft.com/office/drawing/2014/main" id="{40E0DA36-DC09-4098-9CA4-010491984D11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59" name="TextBox 958">
              <a:extLst>
                <a:ext uri="{FF2B5EF4-FFF2-40B4-BE49-F238E27FC236}">
                  <a16:creationId xmlns:a16="http://schemas.microsoft.com/office/drawing/2014/main" id="{40E0DA36-DC09-4098-9CA4-010491984D11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0" name="TextBox 959">
              <a:extLst>
                <a:ext uri="{FF2B5EF4-FFF2-40B4-BE49-F238E27FC236}">
                  <a16:creationId xmlns:a16="http://schemas.microsoft.com/office/drawing/2014/main" id="{DBE9B67A-E089-483D-A30D-825EA0E50104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60" name="TextBox 959">
              <a:extLst>
                <a:ext uri="{FF2B5EF4-FFF2-40B4-BE49-F238E27FC236}">
                  <a16:creationId xmlns:a16="http://schemas.microsoft.com/office/drawing/2014/main" id="{DBE9B67A-E089-483D-A30D-825EA0E50104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1" name="TextBox 960">
              <a:extLst>
                <a:ext uri="{FF2B5EF4-FFF2-40B4-BE49-F238E27FC236}">
                  <a16:creationId xmlns:a16="http://schemas.microsoft.com/office/drawing/2014/main" id="{C8EA50B4-A9CF-4DDD-90E1-3B00B4C6723D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61" name="TextBox 960">
              <a:extLst>
                <a:ext uri="{FF2B5EF4-FFF2-40B4-BE49-F238E27FC236}">
                  <a16:creationId xmlns:a16="http://schemas.microsoft.com/office/drawing/2014/main" id="{C8EA50B4-A9CF-4DDD-90E1-3B00B4C6723D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2" name="TextBox 961">
              <a:extLst>
                <a:ext uri="{FF2B5EF4-FFF2-40B4-BE49-F238E27FC236}">
                  <a16:creationId xmlns:a16="http://schemas.microsoft.com/office/drawing/2014/main" id="{884337CB-79D6-4916-93AE-2C1C7528F24D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62" name="TextBox 961">
              <a:extLst>
                <a:ext uri="{FF2B5EF4-FFF2-40B4-BE49-F238E27FC236}">
                  <a16:creationId xmlns:a16="http://schemas.microsoft.com/office/drawing/2014/main" id="{884337CB-79D6-4916-93AE-2C1C7528F24D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3" name="TextBox 962">
              <a:extLst>
                <a:ext uri="{FF2B5EF4-FFF2-40B4-BE49-F238E27FC236}">
                  <a16:creationId xmlns:a16="http://schemas.microsoft.com/office/drawing/2014/main" id="{35CF08FC-A438-41E4-BD80-EA044F27F996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63" name="TextBox 962">
              <a:extLst>
                <a:ext uri="{FF2B5EF4-FFF2-40B4-BE49-F238E27FC236}">
                  <a16:creationId xmlns:a16="http://schemas.microsoft.com/office/drawing/2014/main" id="{35CF08FC-A438-41E4-BD80-EA044F27F996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4" name="TextBox 963">
              <a:extLst>
                <a:ext uri="{FF2B5EF4-FFF2-40B4-BE49-F238E27FC236}">
                  <a16:creationId xmlns:a16="http://schemas.microsoft.com/office/drawing/2014/main" id="{BEC6BB07-2E00-4C8B-8427-6D69E59FBA18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64" name="TextBox 963">
              <a:extLst>
                <a:ext uri="{FF2B5EF4-FFF2-40B4-BE49-F238E27FC236}">
                  <a16:creationId xmlns:a16="http://schemas.microsoft.com/office/drawing/2014/main" id="{BEC6BB07-2E00-4C8B-8427-6D69E59FBA18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5" name="TextBox 964">
              <a:extLst>
                <a:ext uri="{FF2B5EF4-FFF2-40B4-BE49-F238E27FC236}">
                  <a16:creationId xmlns:a16="http://schemas.microsoft.com/office/drawing/2014/main" id="{388DDF7F-CCF4-407F-91D3-D95D5BD9E967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65" name="TextBox 964">
              <a:extLst>
                <a:ext uri="{FF2B5EF4-FFF2-40B4-BE49-F238E27FC236}">
                  <a16:creationId xmlns:a16="http://schemas.microsoft.com/office/drawing/2014/main" id="{388DDF7F-CCF4-407F-91D3-D95D5BD9E967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6" name="TextBox 965">
              <a:extLst>
                <a:ext uri="{FF2B5EF4-FFF2-40B4-BE49-F238E27FC236}">
                  <a16:creationId xmlns:a16="http://schemas.microsoft.com/office/drawing/2014/main" id="{E1E804F2-B0ED-4012-8B3E-91530F04AFCC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66" name="TextBox 965">
              <a:extLst>
                <a:ext uri="{FF2B5EF4-FFF2-40B4-BE49-F238E27FC236}">
                  <a16:creationId xmlns:a16="http://schemas.microsoft.com/office/drawing/2014/main" id="{E1E804F2-B0ED-4012-8B3E-91530F04AFCC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7" name="TextBox 966">
              <a:extLst>
                <a:ext uri="{FF2B5EF4-FFF2-40B4-BE49-F238E27FC236}">
                  <a16:creationId xmlns:a16="http://schemas.microsoft.com/office/drawing/2014/main" id="{D7ED6260-3045-4678-BD46-C4797B7E527A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67" name="TextBox 966">
              <a:extLst>
                <a:ext uri="{FF2B5EF4-FFF2-40B4-BE49-F238E27FC236}">
                  <a16:creationId xmlns:a16="http://schemas.microsoft.com/office/drawing/2014/main" id="{D7ED6260-3045-4678-BD46-C4797B7E527A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8" name="TextBox 967">
              <a:extLst>
                <a:ext uri="{FF2B5EF4-FFF2-40B4-BE49-F238E27FC236}">
                  <a16:creationId xmlns:a16="http://schemas.microsoft.com/office/drawing/2014/main" id="{1F36BFB9-7DA6-4DBC-82F7-71554EFA7F8A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68" name="TextBox 967">
              <a:extLst>
                <a:ext uri="{FF2B5EF4-FFF2-40B4-BE49-F238E27FC236}">
                  <a16:creationId xmlns:a16="http://schemas.microsoft.com/office/drawing/2014/main" id="{1F36BFB9-7DA6-4DBC-82F7-71554EFA7F8A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9" name="TextBox 968">
              <a:extLst>
                <a:ext uri="{FF2B5EF4-FFF2-40B4-BE49-F238E27FC236}">
                  <a16:creationId xmlns:a16="http://schemas.microsoft.com/office/drawing/2014/main" id="{2D3D108D-8C99-4CF5-8F4D-60E4933FAFAB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69" name="TextBox 968">
              <a:extLst>
                <a:ext uri="{FF2B5EF4-FFF2-40B4-BE49-F238E27FC236}">
                  <a16:creationId xmlns:a16="http://schemas.microsoft.com/office/drawing/2014/main" id="{2D3D108D-8C99-4CF5-8F4D-60E4933FAFAB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0" name="TextBox 969">
              <a:extLst>
                <a:ext uri="{FF2B5EF4-FFF2-40B4-BE49-F238E27FC236}">
                  <a16:creationId xmlns:a16="http://schemas.microsoft.com/office/drawing/2014/main" id="{55CAB6F1-CBAB-44AB-86E8-F6A87649D550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70" name="TextBox 969">
              <a:extLst>
                <a:ext uri="{FF2B5EF4-FFF2-40B4-BE49-F238E27FC236}">
                  <a16:creationId xmlns:a16="http://schemas.microsoft.com/office/drawing/2014/main" id="{55CAB6F1-CBAB-44AB-86E8-F6A87649D550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1" name="TextBox 970">
              <a:extLst>
                <a:ext uri="{FF2B5EF4-FFF2-40B4-BE49-F238E27FC236}">
                  <a16:creationId xmlns:a16="http://schemas.microsoft.com/office/drawing/2014/main" id="{B194F228-EAA5-41CD-86B4-1FE4EB401B01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71" name="TextBox 970">
              <a:extLst>
                <a:ext uri="{FF2B5EF4-FFF2-40B4-BE49-F238E27FC236}">
                  <a16:creationId xmlns:a16="http://schemas.microsoft.com/office/drawing/2014/main" id="{B194F228-EAA5-41CD-86B4-1FE4EB401B01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2" name="TextBox 971">
              <a:extLst>
                <a:ext uri="{FF2B5EF4-FFF2-40B4-BE49-F238E27FC236}">
                  <a16:creationId xmlns:a16="http://schemas.microsoft.com/office/drawing/2014/main" id="{DF73A916-8E6B-4F5A-8972-4BF067BD30F7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72" name="TextBox 971">
              <a:extLst>
                <a:ext uri="{FF2B5EF4-FFF2-40B4-BE49-F238E27FC236}">
                  <a16:creationId xmlns:a16="http://schemas.microsoft.com/office/drawing/2014/main" id="{DF73A916-8E6B-4F5A-8972-4BF067BD30F7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3" name="TextBox 972">
              <a:extLst>
                <a:ext uri="{FF2B5EF4-FFF2-40B4-BE49-F238E27FC236}">
                  <a16:creationId xmlns:a16="http://schemas.microsoft.com/office/drawing/2014/main" id="{9D78E060-EC8C-4219-80C2-FEC6BEE41D00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73" name="TextBox 972">
              <a:extLst>
                <a:ext uri="{FF2B5EF4-FFF2-40B4-BE49-F238E27FC236}">
                  <a16:creationId xmlns:a16="http://schemas.microsoft.com/office/drawing/2014/main" id="{9D78E060-EC8C-4219-80C2-FEC6BEE41D00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4" name="TextBox 973">
              <a:extLst>
                <a:ext uri="{FF2B5EF4-FFF2-40B4-BE49-F238E27FC236}">
                  <a16:creationId xmlns:a16="http://schemas.microsoft.com/office/drawing/2014/main" id="{D353E1BC-60F5-47C5-AAD7-1B949C738A83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74" name="TextBox 973">
              <a:extLst>
                <a:ext uri="{FF2B5EF4-FFF2-40B4-BE49-F238E27FC236}">
                  <a16:creationId xmlns:a16="http://schemas.microsoft.com/office/drawing/2014/main" id="{D353E1BC-60F5-47C5-AAD7-1B949C738A83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5" name="TextBox 974">
              <a:extLst>
                <a:ext uri="{FF2B5EF4-FFF2-40B4-BE49-F238E27FC236}">
                  <a16:creationId xmlns:a16="http://schemas.microsoft.com/office/drawing/2014/main" id="{4DBA159B-1A95-4AD8-8928-53140D83B810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75" name="TextBox 974">
              <a:extLst>
                <a:ext uri="{FF2B5EF4-FFF2-40B4-BE49-F238E27FC236}">
                  <a16:creationId xmlns:a16="http://schemas.microsoft.com/office/drawing/2014/main" id="{4DBA159B-1A95-4AD8-8928-53140D83B810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6" name="TextBox 975">
              <a:extLst>
                <a:ext uri="{FF2B5EF4-FFF2-40B4-BE49-F238E27FC236}">
                  <a16:creationId xmlns:a16="http://schemas.microsoft.com/office/drawing/2014/main" id="{433E1403-FD8D-4DA8-B9A8-6F3F137D32A6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76" name="TextBox 975">
              <a:extLst>
                <a:ext uri="{FF2B5EF4-FFF2-40B4-BE49-F238E27FC236}">
                  <a16:creationId xmlns:a16="http://schemas.microsoft.com/office/drawing/2014/main" id="{433E1403-FD8D-4DA8-B9A8-6F3F137D32A6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7" name="TextBox 976">
              <a:extLst>
                <a:ext uri="{FF2B5EF4-FFF2-40B4-BE49-F238E27FC236}">
                  <a16:creationId xmlns:a16="http://schemas.microsoft.com/office/drawing/2014/main" id="{37501DB8-E4FF-4061-B8C4-ADFA3D8CCFCA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77" name="TextBox 976">
              <a:extLst>
                <a:ext uri="{FF2B5EF4-FFF2-40B4-BE49-F238E27FC236}">
                  <a16:creationId xmlns:a16="http://schemas.microsoft.com/office/drawing/2014/main" id="{37501DB8-E4FF-4061-B8C4-ADFA3D8CCFCA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8" name="TextBox 977">
              <a:extLst>
                <a:ext uri="{FF2B5EF4-FFF2-40B4-BE49-F238E27FC236}">
                  <a16:creationId xmlns:a16="http://schemas.microsoft.com/office/drawing/2014/main" id="{6283EDB1-4F8D-4C53-857A-0259604652B0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78" name="TextBox 977">
              <a:extLst>
                <a:ext uri="{FF2B5EF4-FFF2-40B4-BE49-F238E27FC236}">
                  <a16:creationId xmlns:a16="http://schemas.microsoft.com/office/drawing/2014/main" id="{6283EDB1-4F8D-4C53-857A-0259604652B0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9" name="TextBox 978">
              <a:extLst>
                <a:ext uri="{FF2B5EF4-FFF2-40B4-BE49-F238E27FC236}">
                  <a16:creationId xmlns:a16="http://schemas.microsoft.com/office/drawing/2014/main" id="{0A490EC1-EFA5-476C-A7AC-3235A43DD766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79" name="TextBox 978">
              <a:extLst>
                <a:ext uri="{FF2B5EF4-FFF2-40B4-BE49-F238E27FC236}">
                  <a16:creationId xmlns:a16="http://schemas.microsoft.com/office/drawing/2014/main" id="{0A490EC1-EFA5-476C-A7AC-3235A43DD766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0" name="TextBox 979">
              <a:extLst>
                <a:ext uri="{FF2B5EF4-FFF2-40B4-BE49-F238E27FC236}">
                  <a16:creationId xmlns:a16="http://schemas.microsoft.com/office/drawing/2014/main" id="{77C9A898-FEEA-49CC-A1B2-4367AD45E2C9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80" name="TextBox 979">
              <a:extLst>
                <a:ext uri="{FF2B5EF4-FFF2-40B4-BE49-F238E27FC236}">
                  <a16:creationId xmlns:a16="http://schemas.microsoft.com/office/drawing/2014/main" id="{77C9A898-FEEA-49CC-A1B2-4367AD45E2C9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1" name="TextBox 980">
              <a:extLst>
                <a:ext uri="{FF2B5EF4-FFF2-40B4-BE49-F238E27FC236}">
                  <a16:creationId xmlns:a16="http://schemas.microsoft.com/office/drawing/2014/main" id="{A757D6C8-5FFB-48D1-85D6-3D855F9F1E5F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81" name="TextBox 980">
              <a:extLst>
                <a:ext uri="{FF2B5EF4-FFF2-40B4-BE49-F238E27FC236}">
                  <a16:creationId xmlns:a16="http://schemas.microsoft.com/office/drawing/2014/main" id="{A757D6C8-5FFB-48D1-85D6-3D855F9F1E5F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2" name="TextBox 981">
              <a:extLst>
                <a:ext uri="{FF2B5EF4-FFF2-40B4-BE49-F238E27FC236}">
                  <a16:creationId xmlns:a16="http://schemas.microsoft.com/office/drawing/2014/main" id="{867920B5-A807-4848-A25D-73B5E4499C94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82" name="TextBox 981">
              <a:extLst>
                <a:ext uri="{FF2B5EF4-FFF2-40B4-BE49-F238E27FC236}">
                  <a16:creationId xmlns:a16="http://schemas.microsoft.com/office/drawing/2014/main" id="{867920B5-A807-4848-A25D-73B5E4499C94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3" name="TextBox 982">
              <a:extLst>
                <a:ext uri="{FF2B5EF4-FFF2-40B4-BE49-F238E27FC236}">
                  <a16:creationId xmlns:a16="http://schemas.microsoft.com/office/drawing/2014/main" id="{33F4915D-E2F9-43D6-8AE4-DBA72A5012CB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83" name="TextBox 982">
              <a:extLst>
                <a:ext uri="{FF2B5EF4-FFF2-40B4-BE49-F238E27FC236}">
                  <a16:creationId xmlns:a16="http://schemas.microsoft.com/office/drawing/2014/main" id="{33F4915D-E2F9-43D6-8AE4-DBA72A5012CB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4" name="TextBox 983">
              <a:extLst>
                <a:ext uri="{FF2B5EF4-FFF2-40B4-BE49-F238E27FC236}">
                  <a16:creationId xmlns:a16="http://schemas.microsoft.com/office/drawing/2014/main" id="{AAC3C149-10D3-4849-B796-D4503E3B691E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84" name="TextBox 983">
              <a:extLst>
                <a:ext uri="{FF2B5EF4-FFF2-40B4-BE49-F238E27FC236}">
                  <a16:creationId xmlns:a16="http://schemas.microsoft.com/office/drawing/2014/main" id="{AAC3C149-10D3-4849-B796-D4503E3B691E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5" name="TextBox 984">
              <a:extLst>
                <a:ext uri="{FF2B5EF4-FFF2-40B4-BE49-F238E27FC236}">
                  <a16:creationId xmlns:a16="http://schemas.microsoft.com/office/drawing/2014/main" id="{5231D6D2-3D99-40BD-A698-7A9523A297F4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85" name="TextBox 984">
              <a:extLst>
                <a:ext uri="{FF2B5EF4-FFF2-40B4-BE49-F238E27FC236}">
                  <a16:creationId xmlns:a16="http://schemas.microsoft.com/office/drawing/2014/main" id="{5231D6D2-3D99-40BD-A698-7A9523A297F4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6" name="TextBox 985">
              <a:extLst>
                <a:ext uri="{FF2B5EF4-FFF2-40B4-BE49-F238E27FC236}">
                  <a16:creationId xmlns:a16="http://schemas.microsoft.com/office/drawing/2014/main" id="{37A94145-5A4B-4181-9491-65C2AED7BC18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86" name="TextBox 985">
              <a:extLst>
                <a:ext uri="{FF2B5EF4-FFF2-40B4-BE49-F238E27FC236}">
                  <a16:creationId xmlns:a16="http://schemas.microsoft.com/office/drawing/2014/main" id="{37A94145-5A4B-4181-9491-65C2AED7BC18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7" name="TextBox 986">
              <a:extLst>
                <a:ext uri="{FF2B5EF4-FFF2-40B4-BE49-F238E27FC236}">
                  <a16:creationId xmlns:a16="http://schemas.microsoft.com/office/drawing/2014/main" id="{A7DA0EBF-F5CE-4182-B5C4-88D41458854B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87" name="TextBox 986">
              <a:extLst>
                <a:ext uri="{FF2B5EF4-FFF2-40B4-BE49-F238E27FC236}">
                  <a16:creationId xmlns:a16="http://schemas.microsoft.com/office/drawing/2014/main" id="{A7DA0EBF-F5CE-4182-B5C4-88D41458854B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8" name="TextBox 987">
              <a:extLst>
                <a:ext uri="{FF2B5EF4-FFF2-40B4-BE49-F238E27FC236}">
                  <a16:creationId xmlns:a16="http://schemas.microsoft.com/office/drawing/2014/main" id="{E3DE87CE-DC9C-4AD8-AFC9-8AA03191365D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88" name="TextBox 987">
              <a:extLst>
                <a:ext uri="{FF2B5EF4-FFF2-40B4-BE49-F238E27FC236}">
                  <a16:creationId xmlns:a16="http://schemas.microsoft.com/office/drawing/2014/main" id="{E3DE87CE-DC9C-4AD8-AFC9-8AA03191365D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9" name="TextBox 988">
              <a:extLst>
                <a:ext uri="{FF2B5EF4-FFF2-40B4-BE49-F238E27FC236}">
                  <a16:creationId xmlns:a16="http://schemas.microsoft.com/office/drawing/2014/main" id="{8077D7F2-8C16-412F-A824-B8C9DFB5E3BD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89" name="TextBox 988">
              <a:extLst>
                <a:ext uri="{FF2B5EF4-FFF2-40B4-BE49-F238E27FC236}">
                  <a16:creationId xmlns:a16="http://schemas.microsoft.com/office/drawing/2014/main" id="{8077D7F2-8C16-412F-A824-B8C9DFB5E3BD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0" name="TextBox 989">
              <a:extLst>
                <a:ext uri="{FF2B5EF4-FFF2-40B4-BE49-F238E27FC236}">
                  <a16:creationId xmlns:a16="http://schemas.microsoft.com/office/drawing/2014/main" id="{D2960D4B-18D4-4040-BD8A-72C59DE4A925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90" name="TextBox 989">
              <a:extLst>
                <a:ext uri="{FF2B5EF4-FFF2-40B4-BE49-F238E27FC236}">
                  <a16:creationId xmlns:a16="http://schemas.microsoft.com/office/drawing/2014/main" id="{D2960D4B-18D4-4040-BD8A-72C59DE4A925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1" name="TextBox 990">
              <a:extLst>
                <a:ext uri="{FF2B5EF4-FFF2-40B4-BE49-F238E27FC236}">
                  <a16:creationId xmlns:a16="http://schemas.microsoft.com/office/drawing/2014/main" id="{49333DE9-6AB9-4049-B3D1-449AE8A94F43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91" name="TextBox 990">
              <a:extLst>
                <a:ext uri="{FF2B5EF4-FFF2-40B4-BE49-F238E27FC236}">
                  <a16:creationId xmlns:a16="http://schemas.microsoft.com/office/drawing/2014/main" id="{49333DE9-6AB9-4049-B3D1-449AE8A94F43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2" name="TextBox 991">
              <a:extLst>
                <a:ext uri="{FF2B5EF4-FFF2-40B4-BE49-F238E27FC236}">
                  <a16:creationId xmlns:a16="http://schemas.microsoft.com/office/drawing/2014/main" id="{2D1E32AE-C807-42E4-B563-F9B4E8703749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92" name="TextBox 991">
              <a:extLst>
                <a:ext uri="{FF2B5EF4-FFF2-40B4-BE49-F238E27FC236}">
                  <a16:creationId xmlns:a16="http://schemas.microsoft.com/office/drawing/2014/main" id="{2D1E32AE-C807-42E4-B563-F9B4E8703749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3" name="TextBox 992">
              <a:extLst>
                <a:ext uri="{FF2B5EF4-FFF2-40B4-BE49-F238E27FC236}">
                  <a16:creationId xmlns:a16="http://schemas.microsoft.com/office/drawing/2014/main" id="{55C13DD3-6FB4-4D2A-8482-8BD85DFA6FF6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93" name="TextBox 992">
              <a:extLst>
                <a:ext uri="{FF2B5EF4-FFF2-40B4-BE49-F238E27FC236}">
                  <a16:creationId xmlns:a16="http://schemas.microsoft.com/office/drawing/2014/main" id="{55C13DD3-6FB4-4D2A-8482-8BD85DFA6FF6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4" name="TextBox 993">
              <a:extLst>
                <a:ext uri="{FF2B5EF4-FFF2-40B4-BE49-F238E27FC236}">
                  <a16:creationId xmlns:a16="http://schemas.microsoft.com/office/drawing/2014/main" id="{338BDA01-CDA1-4F98-A810-515473557C09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94" name="TextBox 993">
              <a:extLst>
                <a:ext uri="{FF2B5EF4-FFF2-40B4-BE49-F238E27FC236}">
                  <a16:creationId xmlns:a16="http://schemas.microsoft.com/office/drawing/2014/main" id="{338BDA01-CDA1-4F98-A810-515473557C09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5" name="TextBox 994">
              <a:extLst>
                <a:ext uri="{FF2B5EF4-FFF2-40B4-BE49-F238E27FC236}">
                  <a16:creationId xmlns:a16="http://schemas.microsoft.com/office/drawing/2014/main" id="{6DBEABBC-6522-483D-81B9-72107B242880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95" name="TextBox 994">
              <a:extLst>
                <a:ext uri="{FF2B5EF4-FFF2-40B4-BE49-F238E27FC236}">
                  <a16:creationId xmlns:a16="http://schemas.microsoft.com/office/drawing/2014/main" id="{6DBEABBC-6522-483D-81B9-72107B242880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6" name="TextBox 995">
              <a:extLst>
                <a:ext uri="{FF2B5EF4-FFF2-40B4-BE49-F238E27FC236}">
                  <a16:creationId xmlns:a16="http://schemas.microsoft.com/office/drawing/2014/main" id="{07B39D81-059F-45BB-806C-927CBC9FC8B4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96" name="TextBox 995">
              <a:extLst>
                <a:ext uri="{FF2B5EF4-FFF2-40B4-BE49-F238E27FC236}">
                  <a16:creationId xmlns:a16="http://schemas.microsoft.com/office/drawing/2014/main" id="{07B39D81-059F-45BB-806C-927CBC9FC8B4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7" name="TextBox 996">
              <a:extLst>
                <a:ext uri="{FF2B5EF4-FFF2-40B4-BE49-F238E27FC236}">
                  <a16:creationId xmlns:a16="http://schemas.microsoft.com/office/drawing/2014/main" id="{ED37D9F9-2D6E-4BAA-80B1-310021903233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97" name="TextBox 996">
              <a:extLst>
                <a:ext uri="{FF2B5EF4-FFF2-40B4-BE49-F238E27FC236}">
                  <a16:creationId xmlns:a16="http://schemas.microsoft.com/office/drawing/2014/main" id="{ED37D9F9-2D6E-4BAA-80B1-310021903233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8" name="TextBox 997">
              <a:extLst>
                <a:ext uri="{FF2B5EF4-FFF2-40B4-BE49-F238E27FC236}">
                  <a16:creationId xmlns:a16="http://schemas.microsoft.com/office/drawing/2014/main" id="{38B5BD6A-54BC-4C3B-8EA7-27B2E6319286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98" name="TextBox 997">
              <a:extLst>
                <a:ext uri="{FF2B5EF4-FFF2-40B4-BE49-F238E27FC236}">
                  <a16:creationId xmlns:a16="http://schemas.microsoft.com/office/drawing/2014/main" id="{38B5BD6A-54BC-4C3B-8EA7-27B2E6319286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9" name="TextBox 998">
              <a:extLst>
                <a:ext uri="{FF2B5EF4-FFF2-40B4-BE49-F238E27FC236}">
                  <a16:creationId xmlns:a16="http://schemas.microsoft.com/office/drawing/2014/main" id="{293F91BB-9ACE-4B78-ACF1-0A650BA925B7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99" name="TextBox 998">
              <a:extLst>
                <a:ext uri="{FF2B5EF4-FFF2-40B4-BE49-F238E27FC236}">
                  <a16:creationId xmlns:a16="http://schemas.microsoft.com/office/drawing/2014/main" id="{293F91BB-9ACE-4B78-ACF1-0A650BA925B7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0" name="TextBox 999">
              <a:extLst>
                <a:ext uri="{FF2B5EF4-FFF2-40B4-BE49-F238E27FC236}">
                  <a16:creationId xmlns:a16="http://schemas.microsoft.com/office/drawing/2014/main" id="{50AF2CCD-7607-4764-84BA-A51E1B277780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00" name="TextBox 999">
              <a:extLst>
                <a:ext uri="{FF2B5EF4-FFF2-40B4-BE49-F238E27FC236}">
                  <a16:creationId xmlns:a16="http://schemas.microsoft.com/office/drawing/2014/main" id="{50AF2CCD-7607-4764-84BA-A51E1B277780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1" name="TextBox 1000">
              <a:extLst>
                <a:ext uri="{FF2B5EF4-FFF2-40B4-BE49-F238E27FC236}">
                  <a16:creationId xmlns:a16="http://schemas.microsoft.com/office/drawing/2014/main" id="{DD026672-7CB4-4AC3-8444-C9951D3806BA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01" name="TextBox 1000">
              <a:extLst>
                <a:ext uri="{FF2B5EF4-FFF2-40B4-BE49-F238E27FC236}">
                  <a16:creationId xmlns:a16="http://schemas.microsoft.com/office/drawing/2014/main" id="{DD026672-7CB4-4AC3-8444-C9951D3806BA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2" name="TextBox 1001">
              <a:extLst>
                <a:ext uri="{FF2B5EF4-FFF2-40B4-BE49-F238E27FC236}">
                  <a16:creationId xmlns:a16="http://schemas.microsoft.com/office/drawing/2014/main" id="{05A91B5B-61AF-4A88-AFFA-AD26990093CD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02" name="TextBox 1001">
              <a:extLst>
                <a:ext uri="{FF2B5EF4-FFF2-40B4-BE49-F238E27FC236}">
                  <a16:creationId xmlns:a16="http://schemas.microsoft.com/office/drawing/2014/main" id="{05A91B5B-61AF-4A88-AFFA-AD26990093CD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3" name="TextBox 1002">
              <a:extLst>
                <a:ext uri="{FF2B5EF4-FFF2-40B4-BE49-F238E27FC236}">
                  <a16:creationId xmlns:a16="http://schemas.microsoft.com/office/drawing/2014/main" id="{6085D692-EBC5-4BC0-9475-3C36BF7E7B77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03" name="TextBox 1002">
              <a:extLst>
                <a:ext uri="{FF2B5EF4-FFF2-40B4-BE49-F238E27FC236}">
                  <a16:creationId xmlns:a16="http://schemas.microsoft.com/office/drawing/2014/main" id="{6085D692-EBC5-4BC0-9475-3C36BF7E7B77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4" name="TextBox 1003">
              <a:extLst>
                <a:ext uri="{FF2B5EF4-FFF2-40B4-BE49-F238E27FC236}">
                  <a16:creationId xmlns:a16="http://schemas.microsoft.com/office/drawing/2014/main" id="{9F553EAB-D669-4ACA-B8D9-0A7873D5DF25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04" name="TextBox 1003">
              <a:extLst>
                <a:ext uri="{FF2B5EF4-FFF2-40B4-BE49-F238E27FC236}">
                  <a16:creationId xmlns:a16="http://schemas.microsoft.com/office/drawing/2014/main" id="{9F553EAB-D669-4ACA-B8D9-0A7873D5DF25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5" name="TextBox 1004">
              <a:extLst>
                <a:ext uri="{FF2B5EF4-FFF2-40B4-BE49-F238E27FC236}">
                  <a16:creationId xmlns:a16="http://schemas.microsoft.com/office/drawing/2014/main" id="{6BF5531D-01A8-45BC-967C-6922F71A9B54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05" name="TextBox 1004">
              <a:extLst>
                <a:ext uri="{FF2B5EF4-FFF2-40B4-BE49-F238E27FC236}">
                  <a16:creationId xmlns:a16="http://schemas.microsoft.com/office/drawing/2014/main" id="{6BF5531D-01A8-45BC-967C-6922F71A9B54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6" name="TextBox 1005">
              <a:extLst>
                <a:ext uri="{FF2B5EF4-FFF2-40B4-BE49-F238E27FC236}">
                  <a16:creationId xmlns:a16="http://schemas.microsoft.com/office/drawing/2014/main" id="{CB3DD57A-2BFC-4816-8CF0-01658F7F6F71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06" name="TextBox 1005">
              <a:extLst>
                <a:ext uri="{FF2B5EF4-FFF2-40B4-BE49-F238E27FC236}">
                  <a16:creationId xmlns:a16="http://schemas.microsoft.com/office/drawing/2014/main" id="{CB3DD57A-2BFC-4816-8CF0-01658F7F6F71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7" name="TextBox 1006">
              <a:extLst>
                <a:ext uri="{FF2B5EF4-FFF2-40B4-BE49-F238E27FC236}">
                  <a16:creationId xmlns:a16="http://schemas.microsoft.com/office/drawing/2014/main" id="{4E8F4A65-9446-4649-A5AC-F7AE3157E863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07" name="TextBox 1006">
              <a:extLst>
                <a:ext uri="{FF2B5EF4-FFF2-40B4-BE49-F238E27FC236}">
                  <a16:creationId xmlns:a16="http://schemas.microsoft.com/office/drawing/2014/main" id="{4E8F4A65-9446-4649-A5AC-F7AE3157E863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8" name="TextBox 1007">
              <a:extLst>
                <a:ext uri="{FF2B5EF4-FFF2-40B4-BE49-F238E27FC236}">
                  <a16:creationId xmlns:a16="http://schemas.microsoft.com/office/drawing/2014/main" id="{CE6F5EB5-C65A-46BA-849E-FF4AAAFF1CD0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08" name="TextBox 1007">
              <a:extLst>
                <a:ext uri="{FF2B5EF4-FFF2-40B4-BE49-F238E27FC236}">
                  <a16:creationId xmlns:a16="http://schemas.microsoft.com/office/drawing/2014/main" id="{CE6F5EB5-C65A-46BA-849E-FF4AAAFF1CD0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9" name="TextBox 1008">
              <a:extLst>
                <a:ext uri="{FF2B5EF4-FFF2-40B4-BE49-F238E27FC236}">
                  <a16:creationId xmlns:a16="http://schemas.microsoft.com/office/drawing/2014/main" id="{3A14B5E6-56DD-444B-B50B-E23CA8EC3AED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09" name="TextBox 1008">
              <a:extLst>
                <a:ext uri="{FF2B5EF4-FFF2-40B4-BE49-F238E27FC236}">
                  <a16:creationId xmlns:a16="http://schemas.microsoft.com/office/drawing/2014/main" id="{3A14B5E6-56DD-444B-B50B-E23CA8EC3AED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0" name="TextBox 1009">
              <a:extLst>
                <a:ext uri="{FF2B5EF4-FFF2-40B4-BE49-F238E27FC236}">
                  <a16:creationId xmlns:a16="http://schemas.microsoft.com/office/drawing/2014/main" id="{31CC5C18-E5A6-4839-A289-F22298E9343E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10" name="TextBox 1009">
              <a:extLst>
                <a:ext uri="{FF2B5EF4-FFF2-40B4-BE49-F238E27FC236}">
                  <a16:creationId xmlns:a16="http://schemas.microsoft.com/office/drawing/2014/main" id="{31CC5C18-E5A6-4839-A289-F22298E9343E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1" name="TextBox 1010">
              <a:extLst>
                <a:ext uri="{FF2B5EF4-FFF2-40B4-BE49-F238E27FC236}">
                  <a16:creationId xmlns:a16="http://schemas.microsoft.com/office/drawing/2014/main" id="{3E5A6D40-640E-44E3-855B-99151C413918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11" name="TextBox 1010">
              <a:extLst>
                <a:ext uri="{FF2B5EF4-FFF2-40B4-BE49-F238E27FC236}">
                  <a16:creationId xmlns:a16="http://schemas.microsoft.com/office/drawing/2014/main" id="{3E5A6D40-640E-44E3-855B-99151C413918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2" name="TextBox 1011">
              <a:extLst>
                <a:ext uri="{FF2B5EF4-FFF2-40B4-BE49-F238E27FC236}">
                  <a16:creationId xmlns:a16="http://schemas.microsoft.com/office/drawing/2014/main" id="{A77C492E-8AB7-49F3-91F1-9F0243492DEB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12" name="TextBox 1011">
              <a:extLst>
                <a:ext uri="{FF2B5EF4-FFF2-40B4-BE49-F238E27FC236}">
                  <a16:creationId xmlns:a16="http://schemas.microsoft.com/office/drawing/2014/main" id="{A77C492E-8AB7-49F3-91F1-9F0243492DEB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3" name="TextBox 1012">
              <a:extLst>
                <a:ext uri="{FF2B5EF4-FFF2-40B4-BE49-F238E27FC236}">
                  <a16:creationId xmlns:a16="http://schemas.microsoft.com/office/drawing/2014/main" id="{0F8226DA-0D3D-471B-8C53-5CB45123FB78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13" name="TextBox 1012">
              <a:extLst>
                <a:ext uri="{FF2B5EF4-FFF2-40B4-BE49-F238E27FC236}">
                  <a16:creationId xmlns:a16="http://schemas.microsoft.com/office/drawing/2014/main" id="{0F8226DA-0D3D-471B-8C53-5CB45123FB78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4" name="TextBox 1013">
              <a:extLst>
                <a:ext uri="{FF2B5EF4-FFF2-40B4-BE49-F238E27FC236}">
                  <a16:creationId xmlns:a16="http://schemas.microsoft.com/office/drawing/2014/main" id="{36A43E9A-0D2B-4E5B-A0B0-788A849EDFFE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14" name="TextBox 1013">
              <a:extLst>
                <a:ext uri="{FF2B5EF4-FFF2-40B4-BE49-F238E27FC236}">
                  <a16:creationId xmlns:a16="http://schemas.microsoft.com/office/drawing/2014/main" id="{36A43E9A-0D2B-4E5B-A0B0-788A849EDFFE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5" name="TextBox 1014">
              <a:extLst>
                <a:ext uri="{FF2B5EF4-FFF2-40B4-BE49-F238E27FC236}">
                  <a16:creationId xmlns:a16="http://schemas.microsoft.com/office/drawing/2014/main" id="{628EADEE-7A7A-4A4F-9FB7-F0E3EC9D72FB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15" name="TextBox 1014">
              <a:extLst>
                <a:ext uri="{FF2B5EF4-FFF2-40B4-BE49-F238E27FC236}">
                  <a16:creationId xmlns:a16="http://schemas.microsoft.com/office/drawing/2014/main" id="{628EADEE-7A7A-4A4F-9FB7-F0E3EC9D72FB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6" name="TextBox 1015">
              <a:extLst>
                <a:ext uri="{FF2B5EF4-FFF2-40B4-BE49-F238E27FC236}">
                  <a16:creationId xmlns:a16="http://schemas.microsoft.com/office/drawing/2014/main" id="{846647F2-A8CC-4608-A326-52D76FD92238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16" name="TextBox 1015">
              <a:extLst>
                <a:ext uri="{FF2B5EF4-FFF2-40B4-BE49-F238E27FC236}">
                  <a16:creationId xmlns:a16="http://schemas.microsoft.com/office/drawing/2014/main" id="{846647F2-A8CC-4608-A326-52D76FD92238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7" name="TextBox 1016">
              <a:extLst>
                <a:ext uri="{FF2B5EF4-FFF2-40B4-BE49-F238E27FC236}">
                  <a16:creationId xmlns:a16="http://schemas.microsoft.com/office/drawing/2014/main" id="{2E04F4AC-EE1B-406F-9F82-A26ADA3041F6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17" name="TextBox 1016">
              <a:extLst>
                <a:ext uri="{FF2B5EF4-FFF2-40B4-BE49-F238E27FC236}">
                  <a16:creationId xmlns:a16="http://schemas.microsoft.com/office/drawing/2014/main" id="{2E04F4AC-EE1B-406F-9F82-A26ADA3041F6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8" name="TextBox 1017">
              <a:extLst>
                <a:ext uri="{FF2B5EF4-FFF2-40B4-BE49-F238E27FC236}">
                  <a16:creationId xmlns:a16="http://schemas.microsoft.com/office/drawing/2014/main" id="{6FD12312-150A-475E-B713-2C7CD4826F32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18" name="TextBox 1017">
              <a:extLst>
                <a:ext uri="{FF2B5EF4-FFF2-40B4-BE49-F238E27FC236}">
                  <a16:creationId xmlns:a16="http://schemas.microsoft.com/office/drawing/2014/main" id="{6FD12312-150A-475E-B713-2C7CD4826F32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9" name="TextBox 1018">
              <a:extLst>
                <a:ext uri="{FF2B5EF4-FFF2-40B4-BE49-F238E27FC236}">
                  <a16:creationId xmlns:a16="http://schemas.microsoft.com/office/drawing/2014/main" id="{681F8DC4-B143-4AFD-AC14-52B01D71FB56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19" name="TextBox 1018">
              <a:extLst>
                <a:ext uri="{FF2B5EF4-FFF2-40B4-BE49-F238E27FC236}">
                  <a16:creationId xmlns:a16="http://schemas.microsoft.com/office/drawing/2014/main" id="{681F8DC4-B143-4AFD-AC14-52B01D71FB56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0" name="TextBox 1019">
              <a:extLst>
                <a:ext uri="{FF2B5EF4-FFF2-40B4-BE49-F238E27FC236}">
                  <a16:creationId xmlns:a16="http://schemas.microsoft.com/office/drawing/2014/main" id="{78CBD50E-0248-4FFE-9051-ADB1E4A646FA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20" name="TextBox 1019">
              <a:extLst>
                <a:ext uri="{FF2B5EF4-FFF2-40B4-BE49-F238E27FC236}">
                  <a16:creationId xmlns:a16="http://schemas.microsoft.com/office/drawing/2014/main" id="{78CBD50E-0248-4FFE-9051-ADB1E4A646FA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1" name="TextBox 1020">
              <a:extLst>
                <a:ext uri="{FF2B5EF4-FFF2-40B4-BE49-F238E27FC236}">
                  <a16:creationId xmlns:a16="http://schemas.microsoft.com/office/drawing/2014/main" id="{7539BEB8-19EA-485C-AD76-09579EC6C64C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21" name="TextBox 1020">
              <a:extLst>
                <a:ext uri="{FF2B5EF4-FFF2-40B4-BE49-F238E27FC236}">
                  <a16:creationId xmlns:a16="http://schemas.microsoft.com/office/drawing/2014/main" id="{7539BEB8-19EA-485C-AD76-09579EC6C64C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2" name="TextBox 1021">
              <a:extLst>
                <a:ext uri="{FF2B5EF4-FFF2-40B4-BE49-F238E27FC236}">
                  <a16:creationId xmlns:a16="http://schemas.microsoft.com/office/drawing/2014/main" id="{104782F6-0DCE-46E6-AF7E-D7454D225CB1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22" name="TextBox 1021">
              <a:extLst>
                <a:ext uri="{FF2B5EF4-FFF2-40B4-BE49-F238E27FC236}">
                  <a16:creationId xmlns:a16="http://schemas.microsoft.com/office/drawing/2014/main" id="{104782F6-0DCE-46E6-AF7E-D7454D225CB1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3" name="TextBox 1022">
              <a:extLst>
                <a:ext uri="{FF2B5EF4-FFF2-40B4-BE49-F238E27FC236}">
                  <a16:creationId xmlns:a16="http://schemas.microsoft.com/office/drawing/2014/main" id="{E6250B13-44D0-4B9A-8479-A3210E6C9E11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23" name="TextBox 1022">
              <a:extLst>
                <a:ext uri="{FF2B5EF4-FFF2-40B4-BE49-F238E27FC236}">
                  <a16:creationId xmlns:a16="http://schemas.microsoft.com/office/drawing/2014/main" id="{E6250B13-44D0-4B9A-8479-A3210E6C9E11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4" name="TextBox 1023">
              <a:extLst>
                <a:ext uri="{FF2B5EF4-FFF2-40B4-BE49-F238E27FC236}">
                  <a16:creationId xmlns:a16="http://schemas.microsoft.com/office/drawing/2014/main" id="{3DA38A6E-C7F8-4595-AF2C-27870A9856B1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24" name="TextBox 1023">
              <a:extLst>
                <a:ext uri="{FF2B5EF4-FFF2-40B4-BE49-F238E27FC236}">
                  <a16:creationId xmlns:a16="http://schemas.microsoft.com/office/drawing/2014/main" id="{3DA38A6E-C7F8-4595-AF2C-27870A9856B1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5" name="TextBox 1024">
              <a:extLst>
                <a:ext uri="{FF2B5EF4-FFF2-40B4-BE49-F238E27FC236}">
                  <a16:creationId xmlns:a16="http://schemas.microsoft.com/office/drawing/2014/main" id="{06283051-735C-41FA-A38B-0D5C65DCA649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25" name="TextBox 1024">
              <a:extLst>
                <a:ext uri="{FF2B5EF4-FFF2-40B4-BE49-F238E27FC236}">
                  <a16:creationId xmlns:a16="http://schemas.microsoft.com/office/drawing/2014/main" id="{06283051-735C-41FA-A38B-0D5C65DCA649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6" name="TextBox 1025">
              <a:extLst>
                <a:ext uri="{FF2B5EF4-FFF2-40B4-BE49-F238E27FC236}">
                  <a16:creationId xmlns:a16="http://schemas.microsoft.com/office/drawing/2014/main" id="{8FF01F78-9D58-41E4-B790-33CAEE4BA82B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26" name="TextBox 1025">
              <a:extLst>
                <a:ext uri="{FF2B5EF4-FFF2-40B4-BE49-F238E27FC236}">
                  <a16:creationId xmlns:a16="http://schemas.microsoft.com/office/drawing/2014/main" id="{8FF01F78-9D58-41E4-B790-33CAEE4BA82B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7" name="TextBox 1026">
              <a:extLst>
                <a:ext uri="{FF2B5EF4-FFF2-40B4-BE49-F238E27FC236}">
                  <a16:creationId xmlns:a16="http://schemas.microsoft.com/office/drawing/2014/main" id="{CC5CA4CC-01F0-4BBC-8C0F-5878F4E50804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27" name="TextBox 1026">
              <a:extLst>
                <a:ext uri="{FF2B5EF4-FFF2-40B4-BE49-F238E27FC236}">
                  <a16:creationId xmlns:a16="http://schemas.microsoft.com/office/drawing/2014/main" id="{CC5CA4CC-01F0-4BBC-8C0F-5878F4E50804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8" name="TextBox 1027">
              <a:extLst>
                <a:ext uri="{FF2B5EF4-FFF2-40B4-BE49-F238E27FC236}">
                  <a16:creationId xmlns:a16="http://schemas.microsoft.com/office/drawing/2014/main" id="{A5F2CFBF-4D75-4518-9CA2-5ADE35429BC4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28" name="TextBox 1027">
              <a:extLst>
                <a:ext uri="{FF2B5EF4-FFF2-40B4-BE49-F238E27FC236}">
                  <a16:creationId xmlns:a16="http://schemas.microsoft.com/office/drawing/2014/main" id="{A5F2CFBF-4D75-4518-9CA2-5ADE35429BC4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9" name="TextBox 1028">
              <a:extLst>
                <a:ext uri="{FF2B5EF4-FFF2-40B4-BE49-F238E27FC236}">
                  <a16:creationId xmlns:a16="http://schemas.microsoft.com/office/drawing/2014/main" id="{6D9FEC1A-0666-47DB-8129-07CB6742C0E0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29" name="TextBox 1028">
              <a:extLst>
                <a:ext uri="{FF2B5EF4-FFF2-40B4-BE49-F238E27FC236}">
                  <a16:creationId xmlns:a16="http://schemas.microsoft.com/office/drawing/2014/main" id="{6D9FEC1A-0666-47DB-8129-07CB6742C0E0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0" name="TextBox 1029">
              <a:extLst>
                <a:ext uri="{FF2B5EF4-FFF2-40B4-BE49-F238E27FC236}">
                  <a16:creationId xmlns:a16="http://schemas.microsoft.com/office/drawing/2014/main" id="{C8591016-8DE2-47D9-986E-FC01FE0B859A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30" name="TextBox 1029">
              <a:extLst>
                <a:ext uri="{FF2B5EF4-FFF2-40B4-BE49-F238E27FC236}">
                  <a16:creationId xmlns:a16="http://schemas.microsoft.com/office/drawing/2014/main" id="{C8591016-8DE2-47D9-986E-FC01FE0B859A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1" name="TextBox 1030">
              <a:extLst>
                <a:ext uri="{FF2B5EF4-FFF2-40B4-BE49-F238E27FC236}">
                  <a16:creationId xmlns:a16="http://schemas.microsoft.com/office/drawing/2014/main" id="{9D025601-E773-4ED1-BDA9-6F5299A1AA25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31" name="TextBox 1030">
              <a:extLst>
                <a:ext uri="{FF2B5EF4-FFF2-40B4-BE49-F238E27FC236}">
                  <a16:creationId xmlns:a16="http://schemas.microsoft.com/office/drawing/2014/main" id="{9D025601-E773-4ED1-BDA9-6F5299A1AA25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2" name="TextBox 1031">
              <a:extLst>
                <a:ext uri="{FF2B5EF4-FFF2-40B4-BE49-F238E27FC236}">
                  <a16:creationId xmlns:a16="http://schemas.microsoft.com/office/drawing/2014/main" id="{92439ED7-AB8A-4D23-A46F-30DBA84779A2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32" name="TextBox 1031">
              <a:extLst>
                <a:ext uri="{FF2B5EF4-FFF2-40B4-BE49-F238E27FC236}">
                  <a16:creationId xmlns:a16="http://schemas.microsoft.com/office/drawing/2014/main" id="{92439ED7-AB8A-4D23-A46F-30DBA84779A2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3" name="TextBox 1032">
              <a:extLst>
                <a:ext uri="{FF2B5EF4-FFF2-40B4-BE49-F238E27FC236}">
                  <a16:creationId xmlns:a16="http://schemas.microsoft.com/office/drawing/2014/main" id="{A48B5B37-B04A-4873-A626-B6B1167CBCEC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33" name="TextBox 1032">
              <a:extLst>
                <a:ext uri="{FF2B5EF4-FFF2-40B4-BE49-F238E27FC236}">
                  <a16:creationId xmlns:a16="http://schemas.microsoft.com/office/drawing/2014/main" id="{A48B5B37-B04A-4873-A626-B6B1167CBCEC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4" name="TextBox 1033">
              <a:extLst>
                <a:ext uri="{FF2B5EF4-FFF2-40B4-BE49-F238E27FC236}">
                  <a16:creationId xmlns:a16="http://schemas.microsoft.com/office/drawing/2014/main" id="{769F6E6E-0A04-4F3E-8BCA-6885A0208F45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34" name="TextBox 1033">
              <a:extLst>
                <a:ext uri="{FF2B5EF4-FFF2-40B4-BE49-F238E27FC236}">
                  <a16:creationId xmlns:a16="http://schemas.microsoft.com/office/drawing/2014/main" id="{769F6E6E-0A04-4F3E-8BCA-6885A0208F45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5" name="TextBox 1034">
              <a:extLst>
                <a:ext uri="{FF2B5EF4-FFF2-40B4-BE49-F238E27FC236}">
                  <a16:creationId xmlns:a16="http://schemas.microsoft.com/office/drawing/2014/main" id="{02AA4FA8-CBAB-4CEF-BC8D-3379BF446286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35" name="TextBox 1034">
              <a:extLst>
                <a:ext uri="{FF2B5EF4-FFF2-40B4-BE49-F238E27FC236}">
                  <a16:creationId xmlns:a16="http://schemas.microsoft.com/office/drawing/2014/main" id="{02AA4FA8-CBAB-4CEF-BC8D-3379BF446286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6" name="TextBox 1035">
              <a:extLst>
                <a:ext uri="{FF2B5EF4-FFF2-40B4-BE49-F238E27FC236}">
                  <a16:creationId xmlns:a16="http://schemas.microsoft.com/office/drawing/2014/main" id="{DFA6387F-99C5-477D-9E90-148E1321FA45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36" name="TextBox 1035">
              <a:extLst>
                <a:ext uri="{FF2B5EF4-FFF2-40B4-BE49-F238E27FC236}">
                  <a16:creationId xmlns:a16="http://schemas.microsoft.com/office/drawing/2014/main" id="{DFA6387F-99C5-477D-9E90-148E1321FA45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7" name="TextBox 1036">
              <a:extLst>
                <a:ext uri="{FF2B5EF4-FFF2-40B4-BE49-F238E27FC236}">
                  <a16:creationId xmlns:a16="http://schemas.microsoft.com/office/drawing/2014/main" id="{2C881BC4-DE0B-408C-B0FA-53A689107426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37" name="TextBox 1036">
              <a:extLst>
                <a:ext uri="{FF2B5EF4-FFF2-40B4-BE49-F238E27FC236}">
                  <a16:creationId xmlns:a16="http://schemas.microsoft.com/office/drawing/2014/main" id="{2C881BC4-DE0B-408C-B0FA-53A689107426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8" name="TextBox 1037">
              <a:extLst>
                <a:ext uri="{FF2B5EF4-FFF2-40B4-BE49-F238E27FC236}">
                  <a16:creationId xmlns:a16="http://schemas.microsoft.com/office/drawing/2014/main" id="{6A425F6A-5955-48E2-A251-DB672E61EB30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38" name="TextBox 1037">
              <a:extLst>
                <a:ext uri="{FF2B5EF4-FFF2-40B4-BE49-F238E27FC236}">
                  <a16:creationId xmlns:a16="http://schemas.microsoft.com/office/drawing/2014/main" id="{6A425F6A-5955-48E2-A251-DB672E61EB30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9" name="TextBox 1038">
              <a:extLst>
                <a:ext uri="{FF2B5EF4-FFF2-40B4-BE49-F238E27FC236}">
                  <a16:creationId xmlns:a16="http://schemas.microsoft.com/office/drawing/2014/main" id="{FFD453C9-02B5-4944-8B83-0DA6CB6304A3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39" name="TextBox 1038">
              <a:extLst>
                <a:ext uri="{FF2B5EF4-FFF2-40B4-BE49-F238E27FC236}">
                  <a16:creationId xmlns:a16="http://schemas.microsoft.com/office/drawing/2014/main" id="{FFD453C9-02B5-4944-8B83-0DA6CB6304A3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0" name="TextBox 1039">
              <a:extLst>
                <a:ext uri="{FF2B5EF4-FFF2-40B4-BE49-F238E27FC236}">
                  <a16:creationId xmlns:a16="http://schemas.microsoft.com/office/drawing/2014/main" id="{936AC347-360F-4875-B7D9-4942E3A6864A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40" name="TextBox 1039">
              <a:extLst>
                <a:ext uri="{FF2B5EF4-FFF2-40B4-BE49-F238E27FC236}">
                  <a16:creationId xmlns:a16="http://schemas.microsoft.com/office/drawing/2014/main" id="{936AC347-360F-4875-B7D9-4942E3A6864A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1" name="TextBox 1040">
              <a:extLst>
                <a:ext uri="{FF2B5EF4-FFF2-40B4-BE49-F238E27FC236}">
                  <a16:creationId xmlns:a16="http://schemas.microsoft.com/office/drawing/2014/main" id="{B2FB349B-72D0-46B2-B8F4-FB393F29EC8F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41" name="TextBox 1040">
              <a:extLst>
                <a:ext uri="{FF2B5EF4-FFF2-40B4-BE49-F238E27FC236}">
                  <a16:creationId xmlns:a16="http://schemas.microsoft.com/office/drawing/2014/main" id="{B2FB349B-72D0-46B2-B8F4-FB393F29EC8F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2" name="TextBox 1041">
              <a:extLst>
                <a:ext uri="{FF2B5EF4-FFF2-40B4-BE49-F238E27FC236}">
                  <a16:creationId xmlns:a16="http://schemas.microsoft.com/office/drawing/2014/main" id="{6DBC6D9E-AC06-4FC7-B113-37B08FCA2925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42" name="TextBox 1041">
              <a:extLst>
                <a:ext uri="{FF2B5EF4-FFF2-40B4-BE49-F238E27FC236}">
                  <a16:creationId xmlns:a16="http://schemas.microsoft.com/office/drawing/2014/main" id="{6DBC6D9E-AC06-4FC7-B113-37B08FCA2925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3" name="TextBox 1042">
              <a:extLst>
                <a:ext uri="{FF2B5EF4-FFF2-40B4-BE49-F238E27FC236}">
                  <a16:creationId xmlns:a16="http://schemas.microsoft.com/office/drawing/2014/main" id="{4C9BF0EA-C325-46CB-BE3C-5EB4EC48B68F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43" name="TextBox 1042">
              <a:extLst>
                <a:ext uri="{FF2B5EF4-FFF2-40B4-BE49-F238E27FC236}">
                  <a16:creationId xmlns:a16="http://schemas.microsoft.com/office/drawing/2014/main" id="{4C9BF0EA-C325-46CB-BE3C-5EB4EC48B68F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4" name="TextBox 1043">
              <a:extLst>
                <a:ext uri="{FF2B5EF4-FFF2-40B4-BE49-F238E27FC236}">
                  <a16:creationId xmlns:a16="http://schemas.microsoft.com/office/drawing/2014/main" id="{0BB7B500-8EE1-48D1-8740-2709E29AA1EB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44" name="TextBox 1043">
              <a:extLst>
                <a:ext uri="{FF2B5EF4-FFF2-40B4-BE49-F238E27FC236}">
                  <a16:creationId xmlns:a16="http://schemas.microsoft.com/office/drawing/2014/main" id="{0BB7B500-8EE1-48D1-8740-2709E29AA1EB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5" name="TextBox 1044">
              <a:extLst>
                <a:ext uri="{FF2B5EF4-FFF2-40B4-BE49-F238E27FC236}">
                  <a16:creationId xmlns:a16="http://schemas.microsoft.com/office/drawing/2014/main" id="{3BF1FDFA-2188-4183-A5E5-845D4F929F00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45" name="TextBox 1044">
              <a:extLst>
                <a:ext uri="{FF2B5EF4-FFF2-40B4-BE49-F238E27FC236}">
                  <a16:creationId xmlns:a16="http://schemas.microsoft.com/office/drawing/2014/main" id="{3BF1FDFA-2188-4183-A5E5-845D4F929F00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6" name="TextBox 1045">
              <a:extLst>
                <a:ext uri="{FF2B5EF4-FFF2-40B4-BE49-F238E27FC236}">
                  <a16:creationId xmlns:a16="http://schemas.microsoft.com/office/drawing/2014/main" id="{12C004C9-4568-45A5-AE92-DAC9377396FF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46" name="TextBox 1045">
              <a:extLst>
                <a:ext uri="{FF2B5EF4-FFF2-40B4-BE49-F238E27FC236}">
                  <a16:creationId xmlns:a16="http://schemas.microsoft.com/office/drawing/2014/main" id="{12C004C9-4568-45A5-AE92-DAC9377396FF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7" name="TextBox 1046">
              <a:extLst>
                <a:ext uri="{FF2B5EF4-FFF2-40B4-BE49-F238E27FC236}">
                  <a16:creationId xmlns:a16="http://schemas.microsoft.com/office/drawing/2014/main" id="{1BD065FC-097C-49A2-8734-AB57A2475A55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47" name="TextBox 1046">
              <a:extLst>
                <a:ext uri="{FF2B5EF4-FFF2-40B4-BE49-F238E27FC236}">
                  <a16:creationId xmlns:a16="http://schemas.microsoft.com/office/drawing/2014/main" id="{1BD065FC-097C-49A2-8734-AB57A2475A55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8" name="TextBox 1047">
              <a:extLst>
                <a:ext uri="{FF2B5EF4-FFF2-40B4-BE49-F238E27FC236}">
                  <a16:creationId xmlns:a16="http://schemas.microsoft.com/office/drawing/2014/main" id="{987D8943-D0A1-4206-9933-68F2FCF36540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48" name="TextBox 1047">
              <a:extLst>
                <a:ext uri="{FF2B5EF4-FFF2-40B4-BE49-F238E27FC236}">
                  <a16:creationId xmlns:a16="http://schemas.microsoft.com/office/drawing/2014/main" id="{987D8943-D0A1-4206-9933-68F2FCF36540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9" name="TextBox 1048">
              <a:extLst>
                <a:ext uri="{FF2B5EF4-FFF2-40B4-BE49-F238E27FC236}">
                  <a16:creationId xmlns:a16="http://schemas.microsoft.com/office/drawing/2014/main" id="{9940FD59-43A4-4EC3-A9E7-AD0AD8F27620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49" name="TextBox 1048">
              <a:extLst>
                <a:ext uri="{FF2B5EF4-FFF2-40B4-BE49-F238E27FC236}">
                  <a16:creationId xmlns:a16="http://schemas.microsoft.com/office/drawing/2014/main" id="{9940FD59-43A4-4EC3-A9E7-AD0AD8F27620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0" name="TextBox 1049">
              <a:extLst>
                <a:ext uri="{FF2B5EF4-FFF2-40B4-BE49-F238E27FC236}">
                  <a16:creationId xmlns:a16="http://schemas.microsoft.com/office/drawing/2014/main" id="{E718DF9B-AD3E-48F4-9BC1-7F91F2097A58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50" name="TextBox 1049">
              <a:extLst>
                <a:ext uri="{FF2B5EF4-FFF2-40B4-BE49-F238E27FC236}">
                  <a16:creationId xmlns:a16="http://schemas.microsoft.com/office/drawing/2014/main" id="{E718DF9B-AD3E-48F4-9BC1-7F91F2097A58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1" name="TextBox 1050">
              <a:extLst>
                <a:ext uri="{FF2B5EF4-FFF2-40B4-BE49-F238E27FC236}">
                  <a16:creationId xmlns:a16="http://schemas.microsoft.com/office/drawing/2014/main" id="{68EA73DC-01F3-488E-8442-EF44574A4D25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51" name="TextBox 1050">
              <a:extLst>
                <a:ext uri="{FF2B5EF4-FFF2-40B4-BE49-F238E27FC236}">
                  <a16:creationId xmlns:a16="http://schemas.microsoft.com/office/drawing/2014/main" id="{68EA73DC-01F3-488E-8442-EF44574A4D25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2" name="TextBox 1051">
              <a:extLst>
                <a:ext uri="{FF2B5EF4-FFF2-40B4-BE49-F238E27FC236}">
                  <a16:creationId xmlns:a16="http://schemas.microsoft.com/office/drawing/2014/main" id="{4BBB0047-4555-4B46-B992-ED7345A79448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52" name="TextBox 1051">
              <a:extLst>
                <a:ext uri="{FF2B5EF4-FFF2-40B4-BE49-F238E27FC236}">
                  <a16:creationId xmlns:a16="http://schemas.microsoft.com/office/drawing/2014/main" id="{4BBB0047-4555-4B46-B992-ED7345A79448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3" name="TextBox 1052">
              <a:extLst>
                <a:ext uri="{FF2B5EF4-FFF2-40B4-BE49-F238E27FC236}">
                  <a16:creationId xmlns:a16="http://schemas.microsoft.com/office/drawing/2014/main" id="{9A3D5B4C-5F79-4EEF-9A14-891E54EC14D6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53" name="TextBox 1052">
              <a:extLst>
                <a:ext uri="{FF2B5EF4-FFF2-40B4-BE49-F238E27FC236}">
                  <a16:creationId xmlns:a16="http://schemas.microsoft.com/office/drawing/2014/main" id="{9A3D5B4C-5F79-4EEF-9A14-891E54EC14D6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4" name="TextBox 1053">
              <a:extLst>
                <a:ext uri="{FF2B5EF4-FFF2-40B4-BE49-F238E27FC236}">
                  <a16:creationId xmlns:a16="http://schemas.microsoft.com/office/drawing/2014/main" id="{7F96A04E-3816-4A7B-9D43-4733CE175761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54" name="TextBox 1053">
              <a:extLst>
                <a:ext uri="{FF2B5EF4-FFF2-40B4-BE49-F238E27FC236}">
                  <a16:creationId xmlns:a16="http://schemas.microsoft.com/office/drawing/2014/main" id="{7F96A04E-3816-4A7B-9D43-4733CE175761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5" name="TextBox 1054">
              <a:extLst>
                <a:ext uri="{FF2B5EF4-FFF2-40B4-BE49-F238E27FC236}">
                  <a16:creationId xmlns:a16="http://schemas.microsoft.com/office/drawing/2014/main" id="{1BD4437A-3240-4BDE-852D-2219AA476971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55" name="TextBox 1054">
              <a:extLst>
                <a:ext uri="{FF2B5EF4-FFF2-40B4-BE49-F238E27FC236}">
                  <a16:creationId xmlns:a16="http://schemas.microsoft.com/office/drawing/2014/main" id="{1BD4437A-3240-4BDE-852D-2219AA476971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6" name="TextBox 1055">
              <a:extLst>
                <a:ext uri="{FF2B5EF4-FFF2-40B4-BE49-F238E27FC236}">
                  <a16:creationId xmlns:a16="http://schemas.microsoft.com/office/drawing/2014/main" id="{21F440E6-CF4D-4A98-AC10-3D9391AF8C53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56" name="TextBox 1055">
              <a:extLst>
                <a:ext uri="{FF2B5EF4-FFF2-40B4-BE49-F238E27FC236}">
                  <a16:creationId xmlns:a16="http://schemas.microsoft.com/office/drawing/2014/main" id="{21F440E6-CF4D-4A98-AC10-3D9391AF8C53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7" name="TextBox 1056">
              <a:extLst>
                <a:ext uri="{FF2B5EF4-FFF2-40B4-BE49-F238E27FC236}">
                  <a16:creationId xmlns:a16="http://schemas.microsoft.com/office/drawing/2014/main" id="{40BEF334-38CA-43E4-AC4F-5684B048020F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57" name="TextBox 1056">
              <a:extLst>
                <a:ext uri="{FF2B5EF4-FFF2-40B4-BE49-F238E27FC236}">
                  <a16:creationId xmlns:a16="http://schemas.microsoft.com/office/drawing/2014/main" id="{40BEF334-38CA-43E4-AC4F-5684B048020F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8" name="TextBox 1057">
              <a:extLst>
                <a:ext uri="{FF2B5EF4-FFF2-40B4-BE49-F238E27FC236}">
                  <a16:creationId xmlns:a16="http://schemas.microsoft.com/office/drawing/2014/main" id="{403A1E4E-3B55-424D-A926-A421B56AA6EC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58" name="TextBox 1057">
              <a:extLst>
                <a:ext uri="{FF2B5EF4-FFF2-40B4-BE49-F238E27FC236}">
                  <a16:creationId xmlns:a16="http://schemas.microsoft.com/office/drawing/2014/main" id="{403A1E4E-3B55-424D-A926-A421B56AA6EC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9" name="TextBox 1058">
              <a:extLst>
                <a:ext uri="{FF2B5EF4-FFF2-40B4-BE49-F238E27FC236}">
                  <a16:creationId xmlns:a16="http://schemas.microsoft.com/office/drawing/2014/main" id="{68DEB64A-68E3-420D-BEA6-28C28B9B4D45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59" name="TextBox 1058">
              <a:extLst>
                <a:ext uri="{FF2B5EF4-FFF2-40B4-BE49-F238E27FC236}">
                  <a16:creationId xmlns:a16="http://schemas.microsoft.com/office/drawing/2014/main" id="{68DEB64A-68E3-420D-BEA6-28C28B9B4D45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0" name="TextBox 1059">
              <a:extLst>
                <a:ext uri="{FF2B5EF4-FFF2-40B4-BE49-F238E27FC236}">
                  <a16:creationId xmlns:a16="http://schemas.microsoft.com/office/drawing/2014/main" id="{F6C3C292-EE37-4E8C-BAF8-0AF713126ABF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60" name="TextBox 1059">
              <a:extLst>
                <a:ext uri="{FF2B5EF4-FFF2-40B4-BE49-F238E27FC236}">
                  <a16:creationId xmlns:a16="http://schemas.microsoft.com/office/drawing/2014/main" id="{F6C3C292-EE37-4E8C-BAF8-0AF713126ABF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1" name="TextBox 1060">
              <a:extLst>
                <a:ext uri="{FF2B5EF4-FFF2-40B4-BE49-F238E27FC236}">
                  <a16:creationId xmlns:a16="http://schemas.microsoft.com/office/drawing/2014/main" id="{3CFEB88D-29D9-4930-AED4-080E4A0EC66C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61" name="TextBox 1060">
              <a:extLst>
                <a:ext uri="{FF2B5EF4-FFF2-40B4-BE49-F238E27FC236}">
                  <a16:creationId xmlns:a16="http://schemas.microsoft.com/office/drawing/2014/main" id="{3CFEB88D-29D9-4930-AED4-080E4A0EC66C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2" name="TextBox 1061">
              <a:extLst>
                <a:ext uri="{FF2B5EF4-FFF2-40B4-BE49-F238E27FC236}">
                  <a16:creationId xmlns:a16="http://schemas.microsoft.com/office/drawing/2014/main" id="{D807A043-76A5-48C3-AE29-48C3AA753E26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62" name="TextBox 1061">
              <a:extLst>
                <a:ext uri="{FF2B5EF4-FFF2-40B4-BE49-F238E27FC236}">
                  <a16:creationId xmlns:a16="http://schemas.microsoft.com/office/drawing/2014/main" id="{D807A043-76A5-48C3-AE29-48C3AA753E26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3" name="TextBox 1062">
              <a:extLst>
                <a:ext uri="{FF2B5EF4-FFF2-40B4-BE49-F238E27FC236}">
                  <a16:creationId xmlns:a16="http://schemas.microsoft.com/office/drawing/2014/main" id="{CECD65F9-DD9D-441B-ADAF-85967DFA34E2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63" name="TextBox 1062">
              <a:extLst>
                <a:ext uri="{FF2B5EF4-FFF2-40B4-BE49-F238E27FC236}">
                  <a16:creationId xmlns:a16="http://schemas.microsoft.com/office/drawing/2014/main" id="{CECD65F9-DD9D-441B-ADAF-85967DFA34E2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4" name="TextBox 1063">
              <a:extLst>
                <a:ext uri="{FF2B5EF4-FFF2-40B4-BE49-F238E27FC236}">
                  <a16:creationId xmlns:a16="http://schemas.microsoft.com/office/drawing/2014/main" id="{FEC211EA-4625-4BF9-8AEF-656034EB5E7B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64" name="TextBox 1063">
              <a:extLst>
                <a:ext uri="{FF2B5EF4-FFF2-40B4-BE49-F238E27FC236}">
                  <a16:creationId xmlns:a16="http://schemas.microsoft.com/office/drawing/2014/main" id="{FEC211EA-4625-4BF9-8AEF-656034EB5E7B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5" name="TextBox 1064">
              <a:extLst>
                <a:ext uri="{FF2B5EF4-FFF2-40B4-BE49-F238E27FC236}">
                  <a16:creationId xmlns:a16="http://schemas.microsoft.com/office/drawing/2014/main" id="{AC24012B-1950-45A0-AD3C-D8258D834717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65" name="TextBox 1064">
              <a:extLst>
                <a:ext uri="{FF2B5EF4-FFF2-40B4-BE49-F238E27FC236}">
                  <a16:creationId xmlns:a16="http://schemas.microsoft.com/office/drawing/2014/main" id="{AC24012B-1950-45A0-AD3C-D8258D834717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6" name="TextBox 1065">
              <a:extLst>
                <a:ext uri="{FF2B5EF4-FFF2-40B4-BE49-F238E27FC236}">
                  <a16:creationId xmlns:a16="http://schemas.microsoft.com/office/drawing/2014/main" id="{12C132A8-AB41-4004-A46E-5326F47F0DFF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66" name="TextBox 1065">
              <a:extLst>
                <a:ext uri="{FF2B5EF4-FFF2-40B4-BE49-F238E27FC236}">
                  <a16:creationId xmlns:a16="http://schemas.microsoft.com/office/drawing/2014/main" id="{12C132A8-AB41-4004-A46E-5326F47F0DFF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7" name="TextBox 1066">
              <a:extLst>
                <a:ext uri="{FF2B5EF4-FFF2-40B4-BE49-F238E27FC236}">
                  <a16:creationId xmlns:a16="http://schemas.microsoft.com/office/drawing/2014/main" id="{E4F80771-ABDC-4AC7-9DA7-876A7F879806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67" name="TextBox 1066">
              <a:extLst>
                <a:ext uri="{FF2B5EF4-FFF2-40B4-BE49-F238E27FC236}">
                  <a16:creationId xmlns:a16="http://schemas.microsoft.com/office/drawing/2014/main" id="{E4F80771-ABDC-4AC7-9DA7-876A7F879806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8" name="TextBox 1067">
              <a:extLst>
                <a:ext uri="{FF2B5EF4-FFF2-40B4-BE49-F238E27FC236}">
                  <a16:creationId xmlns:a16="http://schemas.microsoft.com/office/drawing/2014/main" id="{7D64802A-CEFC-4254-91FC-DD994A1D4543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68" name="TextBox 1067">
              <a:extLst>
                <a:ext uri="{FF2B5EF4-FFF2-40B4-BE49-F238E27FC236}">
                  <a16:creationId xmlns:a16="http://schemas.microsoft.com/office/drawing/2014/main" id="{7D64802A-CEFC-4254-91FC-DD994A1D4543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9" name="TextBox 1068">
              <a:extLst>
                <a:ext uri="{FF2B5EF4-FFF2-40B4-BE49-F238E27FC236}">
                  <a16:creationId xmlns:a16="http://schemas.microsoft.com/office/drawing/2014/main" id="{D1B0F75B-8C10-48A9-8CC6-383D790E5DA7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69" name="TextBox 1068">
              <a:extLst>
                <a:ext uri="{FF2B5EF4-FFF2-40B4-BE49-F238E27FC236}">
                  <a16:creationId xmlns:a16="http://schemas.microsoft.com/office/drawing/2014/main" id="{D1B0F75B-8C10-48A9-8CC6-383D790E5DA7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0" name="TextBox 1069">
              <a:extLst>
                <a:ext uri="{FF2B5EF4-FFF2-40B4-BE49-F238E27FC236}">
                  <a16:creationId xmlns:a16="http://schemas.microsoft.com/office/drawing/2014/main" id="{CB58CA73-65DE-4883-8C6D-7C805FFDAF3E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70" name="TextBox 1069">
              <a:extLst>
                <a:ext uri="{FF2B5EF4-FFF2-40B4-BE49-F238E27FC236}">
                  <a16:creationId xmlns:a16="http://schemas.microsoft.com/office/drawing/2014/main" id="{CB58CA73-65DE-4883-8C6D-7C805FFDAF3E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1" name="TextBox 1070">
              <a:extLst>
                <a:ext uri="{FF2B5EF4-FFF2-40B4-BE49-F238E27FC236}">
                  <a16:creationId xmlns:a16="http://schemas.microsoft.com/office/drawing/2014/main" id="{B6A6896D-232E-4101-A901-82E93865509F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71" name="TextBox 1070">
              <a:extLst>
                <a:ext uri="{FF2B5EF4-FFF2-40B4-BE49-F238E27FC236}">
                  <a16:creationId xmlns:a16="http://schemas.microsoft.com/office/drawing/2014/main" id="{B6A6896D-232E-4101-A901-82E93865509F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2" name="TextBox 1071">
              <a:extLst>
                <a:ext uri="{FF2B5EF4-FFF2-40B4-BE49-F238E27FC236}">
                  <a16:creationId xmlns:a16="http://schemas.microsoft.com/office/drawing/2014/main" id="{7F9325EE-A829-4E02-9576-94006271F936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72" name="TextBox 1071">
              <a:extLst>
                <a:ext uri="{FF2B5EF4-FFF2-40B4-BE49-F238E27FC236}">
                  <a16:creationId xmlns:a16="http://schemas.microsoft.com/office/drawing/2014/main" id="{7F9325EE-A829-4E02-9576-94006271F936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3" name="TextBox 1072">
              <a:extLst>
                <a:ext uri="{FF2B5EF4-FFF2-40B4-BE49-F238E27FC236}">
                  <a16:creationId xmlns:a16="http://schemas.microsoft.com/office/drawing/2014/main" id="{92998641-129D-4FDA-9337-06058DA4D2D5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73" name="TextBox 1072">
              <a:extLst>
                <a:ext uri="{FF2B5EF4-FFF2-40B4-BE49-F238E27FC236}">
                  <a16:creationId xmlns:a16="http://schemas.microsoft.com/office/drawing/2014/main" id="{92998641-129D-4FDA-9337-06058DA4D2D5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4" name="TextBox 1073">
              <a:extLst>
                <a:ext uri="{FF2B5EF4-FFF2-40B4-BE49-F238E27FC236}">
                  <a16:creationId xmlns:a16="http://schemas.microsoft.com/office/drawing/2014/main" id="{D9EA3A16-D091-4A1F-886E-51D288EF6BBE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74" name="TextBox 1073">
              <a:extLst>
                <a:ext uri="{FF2B5EF4-FFF2-40B4-BE49-F238E27FC236}">
                  <a16:creationId xmlns:a16="http://schemas.microsoft.com/office/drawing/2014/main" id="{D9EA3A16-D091-4A1F-886E-51D288EF6BBE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5" name="TextBox 1074">
              <a:extLst>
                <a:ext uri="{FF2B5EF4-FFF2-40B4-BE49-F238E27FC236}">
                  <a16:creationId xmlns:a16="http://schemas.microsoft.com/office/drawing/2014/main" id="{81B4205B-C58A-40C0-B6B0-5184C615767E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75" name="TextBox 1074">
              <a:extLst>
                <a:ext uri="{FF2B5EF4-FFF2-40B4-BE49-F238E27FC236}">
                  <a16:creationId xmlns:a16="http://schemas.microsoft.com/office/drawing/2014/main" id="{81B4205B-C58A-40C0-B6B0-5184C615767E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6" name="TextBox 1075">
              <a:extLst>
                <a:ext uri="{FF2B5EF4-FFF2-40B4-BE49-F238E27FC236}">
                  <a16:creationId xmlns:a16="http://schemas.microsoft.com/office/drawing/2014/main" id="{2B7E8080-67BA-4F47-94B2-1104D82A601B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76" name="TextBox 1075">
              <a:extLst>
                <a:ext uri="{FF2B5EF4-FFF2-40B4-BE49-F238E27FC236}">
                  <a16:creationId xmlns:a16="http://schemas.microsoft.com/office/drawing/2014/main" id="{2B7E8080-67BA-4F47-94B2-1104D82A601B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7" name="TextBox 1076">
              <a:extLst>
                <a:ext uri="{FF2B5EF4-FFF2-40B4-BE49-F238E27FC236}">
                  <a16:creationId xmlns:a16="http://schemas.microsoft.com/office/drawing/2014/main" id="{24D0DD5A-EE45-4B5B-81AE-1B32C9C7479A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77" name="TextBox 1076">
              <a:extLst>
                <a:ext uri="{FF2B5EF4-FFF2-40B4-BE49-F238E27FC236}">
                  <a16:creationId xmlns:a16="http://schemas.microsoft.com/office/drawing/2014/main" id="{24D0DD5A-EE45-4B5B-81AE-1B32C9C7479A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8" name="TextBox 1077">
              <a:extLst>
                <a:ext uri="{FF2B5EF4-FFF2-40B4-BE49-F238E27FC236}">
                  <a16:creationId xmlns:a16="http://schemas.microsoft.com/office/drawing/2014/main" id="{D2BC8C89-F5C4-461A-B5B4-D63E70426DA4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78" name="TextBox 1077">
              <a:extLst>
                <a:ext uri="{FF2B5EF4-FFF2-40B4-BE49-F238E27FC236}">
                  <a16:creationId xmlns:a16="http://schemas.microsoft.com/office/drawing/2014/main" id="{D2BC8C89-F5C4-461A-B5B4-D63E70426DA4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9" name="TextBox 1078">
              <a:extLst>
                <a:ext uri="{FF2B5EF4-FFF2-40B4-BE49-F238E27FC236}">
                  <a16:creationId xmlns:a16="http://schemas.microsoft.com/office/drawing/2014/main" id="{6E07942C-152E-4A9A-BE1D-7F37BAB880DC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79" name="TextBox 1078">
              <a:extLst>
                <a:ext uri="{FF2B5EF4-FFF2-40B4-BE49-F238E27FC236}">
                  <a16:creationId xmlns:a16="http://schemas.microsoft.com/office/drawing/2014/main" id="{6E07942C-152E-4A9A-BE1D-7F37BAB880DC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0" name="TextBox 1079">
              <a:extLst>
                <a:ext uri="{FF2B5EF4-FFF2-40B4-BE49-F238E27FC236}">
                  <a16:creationId xmlns:a16="http://schemas.microsoft.com/office/drawing/2014/main" id="{CE426DFE-BBDE-4520-9BE6-2964859E7E9E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80" name="TextBox 1079">
              <a:extLst>
                <a:ext uri="{FF2B5EF4-FFF2-40B4-BE49-F238E27FC236}">
                  <a16:creationId xmlns:a16="http://schemas.microsoft.com/office/drawing/2014/main" id="{CE426DFE-BBDE-4520-9BE6-2964859E7E9E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1" name="TextBox 1080">
              <a:extLst>
                <a:ext uri="{FF2B5EF4-FFF2-40B4-BE49-F238E27FC236}">
                  <a16:creationId xmlns:a16="http://schemas.microsoft.com/office/drawing/2014/main" id="{D5F62596-CE54-4942-BE40-8D47BE3FAA4B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81" name="TextBox 1080">
              <a:extLst>
                <a:ext uri="{FF2B5EF4-FFF2-40B4-BE49-F238E27FC236}">
                  <a16:creationId xmlns:a16="http://schemas.microsoft.com/office/drawing/2014/main" id="{D5F62596-CE54-4942-BE40-8D47BE3FAA4B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2" name="TextBox 1081">
              <a:extLst>
                <a:ext uri="{FF2B5EF4-FFF2-40B4-BE49-F238E27FC236}">
                  <a16:creationId xmlns:a16="http://schemas.microsoft.com/office/drawing/2014/main" id="{C47BA706-34CA-47F9-911A-5B5A7C8C5EF0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82" name="TextBox 1081">
              <a:extLst>
                <a:ext uri="{FF2B5EF4-FFF2-40B4-BE49-F238E27FC236}">
                  <a16:creationId xmlns:a16="http://schemas.microsoft.com/office/drawing/2014/main" id="{C47BA706-34CA-47F9-911A-5B5A7C8C5EF0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3" name="TextBox 1082">
              <a:extLst>
                <a:ext uri="{FF2B5EF4-FFF2-40B4-BE49-F238E27FC236}">
                  <a16:creationId xmlns:a16="http://schemas.microsoft.com/office/drawing/2014/main" id="{1F8E23EB-7909-4250-9C34-BB50B778CA81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83" name="TextBox 1082">
              <a:extLst>
                <a:ext uri="{FF2B5EF4-FFF2-40B4-BE49-F238E27FC236}">
                  <a16:creationId xmlns:a16="http://schemas.microsoft.com/office/drawing/2014/main" id="{1F8E23EB-7909-4250-9C34-BB50B778CA81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4" name="TextBox 1083">
              <a:extLst>
                <a:ext uri="{FF2B5EF4-FFF2-40B4-BE49-F238E27FC236}">
                  <a16:creationId xmlns:a16="http://schemas.microsoft.com/office/drawing/2014/main" id="{9798FCEF-7B06-4FFC-8BF6-C75DD51D5FCD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84" name="TextBox 1083">
              <a:extLst>
                <a:ext uri="{FF2B5EF4-FFF2-40B4-BE49-F238E27FC236}">
                  <a16:creationId xmlns:a16="http://schemas.microsoft.com/office/drawing/2014/main" id="{9798FCEF-7B06-4FFC-8BF6-C75DD51D5FCD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5" name="TextBox 1084">
              <a:extLst>
                <a:ext uri="{FF2B5EF4-FFF2-40B4-BE49-F238E27FC236}">
                  <a16:creationId xmlns:a16="http://schemas.microsoft.com/office/drawing/2014/main" id="{06CC32F8-ED85-4EAF-A470-D39E15EBE168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85" name="TextBox 1084">
              <a:extLst>
                <a:ext uri="{FF2B5EF4-FFF2-40B4-BE49-F238E27FC236}">
                  <a16:creationId xmlns:a16="http://schemas.microsoft.com/office/drawing/2014/main" id="{06CC32F8-ED85-4EAF-A470-D39E15EBE168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6" name="TextBox 1085">
              <a:extLst>
                <a:ext uri="{FF2B5EF4-FFF2-40B4-BE49-F238E27FC236}">
                  <a16:creationId xmlns:a16="http://schemas.microsoft.com/office/drawing/2014/main" id="{1ED32ABD-E645-4B25-B905-C6C4E79B72AF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86" name="TextBox 1085">
              <a:extLst>
                <a:ext uri="{FF2B5EF4-FFF2-40B4-BE49-F238E27FC236}">
                  <a16:creationId xmlns:a16="http://schemas.microsoft.com/office/drawing/2014/main" id="{1ED32ABD-E645-4B25-B905-C6C4E79B72AF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7" name="TextBox 1086">
              <a:extLst>
                <a:ext uri="{FF2B5EF4-FFF2-40B4-BE49-F238E27FC236}">
                  <a16:creationId xmlns:a16="http://schemas.microsoft.com/office/drawing/2014/main" id="{8CBAF4B0-F0DE-485E-A5F4-41B0A28AE9DE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87" name="TextBox 1086">
              <a:extLst>
                <a:ext uri="{FF2B5EF4-FFF2-40B4-BE49-F238E27FC236}">
                  <a16:creationId xmlns:a16="http://schemas.microsoft.com/office/drawing/2014/main" id="{8CBAF4B0-F0DE-485E-A5F4-41B0A28AE9DE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8" name="TextBox 1087">
              <a:extLst>
                <a:ext uri="{FF2B5EF4-FFF2-40B4-BE49-F238E27FC236}">
                  <a16:creationId xmlns:a16="http://schemas.microsoft.com/office/drawing/2014/main" id="{027AAA10-2B20-4B38-AE2F-6C206E6193FE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88" name="TextBox 1087">
              <a:extLst>
                <a:ext uri="{FF2B5EF4-FFF2-40B4-BE49-F238E27FC236}">
                  <a16:creationId xmlns:a16="http://schemas.microsoft.com/office/drawing/2014/main" id="{027AAA10-2B20-4B38-AE2F-6C206E6193FE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9" name="TextBox 1088">
              <a:extLst>
                <a:ext uri="{FF2B5EF4-FFF2-40B4-BE49-F238E27FC236}">
                  <a16:creationId xmlns:a16="http://schemas.microsoft.com/office/drawing/2014/main" id="{201A3BF3-8A67-491C-B82B-00ECEC3883D2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89" name="TextBox 1088">
              <a:extLst>
                <a:ext uri="{FF2B5EF4-FFF2-40B4-BE49-F238E27FC236}">
                  <a16:creationId xmlns:a16="http://schemas.microsoft.com/office/drawing/2014/main" id="{201A3BF3-8A67-491C-B82B-00ECEC3883D2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0" name="TextBox 1089">
              <a:extLst>
                <a:ext uri="{FF2B5EF4-FFF2-40B4-BE49-F238E27FC236}">
                  <a16:creationId xmlns:a16="http://schemas.microsoft.com/office/drawing/2014/main" id="{E4C85671-36D5-4B42-B477-510F222A12FA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90" name="TextBox 1089">
              <a:extLst>
                <a:ext uri="{FF2B5EF4-FFF2-40B4-BE49-F238E27FC236}">
                  <a16:creationId xmlns:a16="http://schemas.microsoft.com/office/drawing/2014/main" id="{E4C85671-36D5-4B42-B477-510F222A12FA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1" name="TextBox 1090">
              <a:extLst>
                <a:ext uri="{FF2B5EF4-FFF2-40B4-BE49-F238E27FC236}">
                  <a16:creationId xmlns:a16="http://schemas.microsoft.com/office/drawing/2014/main" id="{50A9EB0C-21CC-4F33-A834-D884E94DFBB4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91" name="TextBox 1090">
              <a:extLst>
                <a:ext uri="{FF2B5EF4-FFF2-40B4-BE49-F238E27FC236}">
                  <a16:creationId xmlns:a16="http://schemas.microsoft.com/office/drawing/2014/main" id="{50A9EB0C-21CC-4F33-A834-D884E94DFBB4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2" name="TextBox 1091">
              <a:extLst>
                <a:ext uri="{FF2B5EF4-FFF2-40B4-BE49-F238E27FC236}">
                  <a16:creationId xmlns:a16="http://schemas.microsoft.com/office/drawing/2014/main" id="{231E8C09-3085-41D4-846E-73804058AE7A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92" name="TextBox 1091">
              <a:extLst>
                <a:ext uri="{FF2B5EF4-FFF2-40B4-BE49-F238E27FC236}">
                  <a16:creationId xmlns:a16="http://schemas.microsoft.com/office/drawing/2014/main" id="{231E8C09-3085-41D4-846E-73804058AE7A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3" name="TextBox 1092">
              <a:extLst>
                <a:ext uri="{FF2B5EF4-FFF2-40B4-BE49-F238E27FC236}">
                  <a16:creationId xmlns:a16="http://schemas.microsoft.com/office/drawing/2014/main" id="{F3763137-BB14-4D4E-B50F-0C3ABCD689C7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93" name="TextBox 1092">
              <a:extLst>
                <a:ext uri="{FF2B5EF4-FFF2-40B4-BE49-F238E27FC236}">
                  <a16:creationId xmlns:a16="http://schemas.microsoft.com/office/drawing/2014/main" id="{F3763137-BB14-4D4E-B50F-0C3ABCD689C7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4" name="TextBox 1093">
              <a:extLst>
                <a:ext uri="{FF2B5EF4-FFF2-40B4-BE49-F238E27FC236}">
                  <a16:creationId xmlns:a16="http://schemas.microsoft.com/office/drawing/2014/main" id="{E4FB3F96-163E-4D91-A139-E9E0E01AC81F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94" name="TextBox 1093">
              <a:extLst>
                <a:ext uri="{FF2B5EF4-FFF2-40B4-BE49-F238E27FC236}">
                  <a16:creationId xmlns:a16="http://schemas.microsoft.com/office/drawing/2014/main" id="{E4FB3F96-163E-4D91-A139-E9E0E01AC81F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5" name="TextBox 1094">
              <a:extLst>
                <a:ext uri="{FF2B5EF4-FFF2-40B4-BE49-F238E27FC236}">
                  <a16:creationId xmlns:a16="http://schemas.microsoft.com/office/drawing/2014/main" id="{A63FF8FE-2EA7-4687-A8E4-8064000D5ED9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95" name="TextBox 1094">
              <a:extLst>
                <a:ext uri="{FF2B5EF4-FFF2-40B4-BE49-F238E27FC236}">
                  <a16:creationId xmlns:a16="http://schemas.microsoft.com/office/drawing/2014/main" id="{A63FF8FE-2EA7-4687-A8E4-8064000D5ED9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6" name="TextBox 1095">
              <a:extLst>
                <a:ext uri="{FF2B5EF4-FFF2-40B4-BE49-F238E27FC236}">
                  <a16:creationId xmlns:a16="http://schemas.microsoft.com/office/drawing/2014/main" id="{35F25F50-4971-42E8-BEA0-71E6A782AD61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96" name="TextBox 1095">
              <a:extLst>
                <a:ext uri="{FF2B5EF4-FFF2-40B4-BE49-F238E27FC236}">
                  <a16:creationId xmlns:a16="http://schemas.microsoft.com/office/drawing/2014/main" id="{35F25F50-4971-42E8-BEA0-71E6A782AD61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7" name="TextBox 1096">
              <a:extLst>
                <a:ext uri="{FF2B5EF4-FFF2-40B4-BE49-F238E27FC236}">
                  <a16:creationId xmlns:a16="http://schemas.microsoft.com/office/drawing/2014/main" id="{0E1DACF2-43EE-49CF-BEA1-4FDA01DF1BE1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97" name="TextBox 1096">
              <a:extLst>
                <a:ext uri="{FF2B5EF4-FFF2-40B4-BE49-F238E27FC236}">
                  <a16:creationId xmlns:a16="http://schemas.microsoft.com/office/drawing/2014/main" id="{0E1DACF2-43EE-49CF-BEA1-4FDA01DF1BE1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8" name="TextBox 1097">
              <a:extLst>
                <a:ext uri="{FF2B5EF4-FFF2-40B4-BE49-F238E27FC236}">
                  <a16:creationId xmlns:a16="http://schemas.microsoft.com/office/drawing/2014/main" id="{1A60AA21-54A6-4B25-954D-76EBE7C592AC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98" name="TextBox 1097">
              <a:extLst>
                <a:ext uri="{FF2B5EF4-FFF2-40B4-BE49-F238E27FC236}">
                  <a16:creationId xmlns:a16="http://schemas.microsoft.com/office/drawing/2014/main" id="{1A60AA21-54A6-4B25-954D-76EBE7C592AC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9" name="TextBox 1098">
              <a:extLst>
                <a:ext uri="{FF2B5EF4-FFF2-40B4-BE49-F238E27FC236}">
                  <a16:creationId xmlns:a16="http://schemas.microsoft.com/office/drawing/2014/main" id="{A4C25D71-D9EB-4581-B54E-C3F64B527C98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99" name="TextBox 1098">
              <a:extLst>
                <a:ext uri="{FF2B5EF4-FFF2-40B4-BE49-F238E27FC236}">
                  <a16:creationId xmlns:a16="http://schemas.microsoft.com/office/drawing/2014/main" id="{A4C25D71-D9EB-4581-B54E-C3F64B527C98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0" name="TextBox 1099">
              <a:extLst>
                <a:ext uri="{FF2B5EF4-FFF2-40B4-BE49-F238E27FC236}">
                  <a16:creationId xmlns:a16="http://schemas.microsoft.com/office/drawing/2014/main" id="{CCAC0DDE-4D90-4671-B727-EA5BBC231F0D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00" name="TextBox 1099">
              <a:extLst>
                <a:ext uri="{FF2B5EF4-FFF2-40B4-BE49-F238E27FC236}">
                  <a16:creationId xmlns:a16="http://schemas.microsoft.com/office/drawing/2014/main" id="{CCAC0DDE-4D90-4671-B727-EA5BBC231F0D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1" name="TextBox 1100">
              <a:extLst>
                <a:ext uri="{FF2B5EF4-FFF2-40B4-BE49-F238E27FC236}">
                  <a16:creationId xmlns:a16="http://schemas.microsoft.com/office/drawing/2014/main" id="{F1FFA8E1-ACDE-48EB-ADD8-9F749B9571D0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01" name="TextBox 1100">
              <a:extLst>
                <a:ext uri="{FF2B5EF4-FFF2-40B4-BE49-F238E27FC236}">
                  <a16:creationId xmlns:a16="http://schemas.microsoft.com/office/drawing/2014/main" id="{F1FFA8E1-ACDE-48EB-ADD8-9F749B9571D0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2" name="TextBox 1101">
              <a:extLst>
                <a:ext uri="{FF2B5EF4-FFF2-40B4-BE49-F238E27FC236}">
                  <a16:creationId xmlns:a16="http://schemas.microsoft.com/office/drawing/2014/main" id="{27BE3523-64B0-481B-B26C-6726D759C63C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02" name="TextBox 1101">
              <a:extLst>
                <a:ext uri="{FF2B5EF4-FFF2-40B4-BE49-F238E27FC236}">
                  <a16:creationId xmlns:a16="http://schemas.microsoft.com/office/drawing/2014/main" id="{27BE3523-64B0-481B-B26C-6726D759C63C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3" name="TextBox 1102">
              <a:extLst>
                <a:ext uri="{FF2B5EF4-FFF2-40B4-BE49-F238E27FC236}">
                  <a16:creationId xmlns:a16="http://schemas.microsoft.com/office/drawing/2014/main" id="{63896E02-C96C-44A6-9025-086C9C64D426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03" name="TextBox 1102">
              <a:extLst>
                <a:ext uri="{FF2B5EF4-FFF2-40B4-BE49-F238E27FC236}">
                  <a16:creationId xmlns:a16="http://schemas.microsoft.com/office/drawing/2014/main" id="{63896E02-C96C-44A6-9025-086C9C64D426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4" name="TextBox 1103">
              <a:extLst>
                <a:ext uri="{FF2B5EF4-FFF2-40B4-BE49-F238E27FC236}">
                  <a16:creationId xmlns:a16="http://schemas.microsoft.com/office/drawing/2014/main" id="{7ADF689A-132F-4848-9EC5-A54C011C3701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04" name="TextBox 1103">
              <a:extLst>
                <a:ext uri="{FF2B5EF4-FFF2-40B4-BE49-F238E27FC236}">
                  <a16:creationId xmlns:a16="http://schemas.microsoft.com/office/drawing/2014/main" id="{7ADF689A-132F-4848-9EC5-A54C011C3701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5" name="TextBox 1104">
              <a:extLst>
                <a:ext uri="{FF2B5EF4-FFF2-40B4-BE49-F238E27FC236}">
                  <a16:creationId xmlns:a16="http://schemas.microsoft.com/office/drawing/2014/main" id="{89AB470C-7D8A-4C8C-AFB0-7F0D1386841E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05" name="TextBox 1104">
              <a:extLst>
                <a:ext uri="{FF2B5EF4-FFF2-40B4-BE49-F238E27FC236}">
                  <a16:creationId xmlns:a16="http://schemas.microsoft.com/office/drawing/2014/main" id="{89AB470C-7D8A-4C8C-AFB0-7F0D1386841E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6" name="TextBox 1105">
              <a:extLst>
                <a:ext uri="{FF2B5EF4-FFF2-40B4-BE49-F238E27FC236}">
                  <a16:creationId xmlns:a16="http://schemas.microsoft.com/office/drawing/2014/main" id="{14FB4A61-210C-469D-98E4-C45EDCFBCDCE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06" name="TextBox 1105">
              <a:extLst>
                <a:ext uri="{FF2B5EF4-FFF2-40B4-BE49-F238E27FC236}">
                  <a16:creationId xmlns:a16="http://schemas.microsoft.com/office/drawing/2014/main" id="{14FB4A61-210C-469D-98E4-C45EDCFBCDCE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7" name="TextBox 1106">
              <a:extLst>
                <a:ext uri="{FF2B5EF4-FFF2-40B4-BE49-F238E27FC236}">
                  <a16:creationId xmlns:a16="http://schemas.microsoft.com/office/drawing/2014/main" id="{C21B8032-8273-499A-8772-E99B1F9DF2FA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07" name="TextBox 1106">
              <a:extLst>
                <a:ext uri="{FF2B5EF4-FFF2-40B4-BE49-F238E27FC236}">
                  <a16:creationId xmlns:a16="http://schemas.microsoft.com/office/drawing/2014/main" id="{C21B8032-8273-499A-8772-E99B1F9DF2FA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8" name="TextBox 1107">
              <a:extLst>
                <a:ext uri="{FF2B5EF4-FFF2-40B4-BE49-F238E27FC236}">
                  <a16:creationId xmlns:a16="http://schemas.microsoft.com/office/drawing/2014/main" id="{7E2B90F5-B8A9-48E1-AB2E-09EC87079FB7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08" name="TextBox 1107">
              <a:extLst>
                <a:ext uri="{FF2B5EF4-FFF2-40B4-BE49-F238E27FC236}">
                  <a16:creationId xmlns:a16="http://schemas.microsoft.com/office/drawing/2014/main" id="{7E2B90F5-B8A9-48E1-AB2E-09EC87079FB7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9" name="TextBox 1108">
              <a:extLst>
                <a:ext uri="{FF2B5EF4-FFF2-40B4-BE49-F238E27FC236}">
                  <a16:creationId xmlns:a16="http://schemas.microsoft.com/office/drawing/2014/main" id="{5737F983-E64F-4520-82E2-39A555F7F0CC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09" name="TextBox 1108">
              <a:extLst>
                <a:ext uri="{FF2B5EF4-FFF2-40B4-BE49-F238E27FC236}">
                  <a16:creationId xmlns:a16="http://schemas.microsoft.com/office/drawing/2014/main" id="{5737F983-E64F-4520-82E2-39A555F7F0CC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0" name="TextBox 1109">
              <a:extLst>
                <a:ext uri="{FF2B5EF4-FFF2-40B4-BE49-F238E27FC236}">
                  <a16:creationId xmlns:a16="http://schemas.microsoft.com/office/drawing/2014/main" id="{81EAE02E-140E-4C24-8420-DD1176EB28D3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10" name="TextBox 1109">
              <a:extLst>
                <a:ext uri="{FF2B5EF4-FFF2-40B4-BE49-F238E27FC236}">
                  <a16:creationId xmlns:a16="http://schemas.microsoft.com/office/drawing/2014/main" id="{81EAE02E-140E-4C24-8420-DD1176EB28D3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1" name="TextBox 1110">
              <a:extLst>
                <a:ext uri="{FF2B5EF4-FFF2-40B4-BE49-F238E27FC236}">
                  <a16:creationId xmlns:a16="http://schemas.microsoft.com/office/drawing/2014/main" id="{035C2280-6BC7-4FEC-9E9D-0148CF087F07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11" name="TextBox 1110">
              <a:extLst>
                <a:ext uri="{FF2B5EF4-FFF2-40B4-BE49-F238E27FC236}">
                  <a16:creationId xmlns:a16="http://schemas.microsoft.com/office/drawing/2014/main" id="{035C2280-6BC7-4FEC-9E9D-0148CF087F07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2" name="TextBox 1111">
              <a:extLst>
                <a:ext uri="{FF2B5EF4-FFF2-40B4-BE49-F238E27FC236}">
                  <a16:creationId xmlns:a16="http://schemas.microsoft.com/office/drawing/2014/main" id="{A0C6DF78-927F-4EAD-A0E6-85159B2FB39C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12" name="TextBox 1111">
              <a:extLst>
                <a:ext uri="{FF2B5EF4-FFF2-40B4-BE49-F238E27FC236}">
                  <a16:creationId xmlns:a16="http://schemas.microsoft.com/office/drawing/2014/main" id="{A0C6DF78-927F-4EAD-A0E6-85159B2FB39C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3" name="TextBox 1112">
              <a:extLst>
                <a:ext uri="{FF2B5EF4-FFF2-40B4-BE49-F238E27FC236}">
                  <a16:creationId xmlns:a16="http://schemas.microsoft.com/office/drawing/2014/main" id="{426B4397-591B-4344-8E66-5639572551E3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13" name="TextBox 1112">
              <a:extLst>
                <a:ext uri="{FF2B5EF4-FFF2-40B4-BE49-F238E27FC236}">
                  <a16:creationId xmlns:a16="http://schemas.microsoft.com/office/drawing/2014/main" id="{426B4397-591B-4344-8E66-5639572551E3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4" name="TextBox 1113">
              <a:extLst>
                <a:ext uri="{FF2B5EF4-FFF2-40B4-BE49-F238E27FC236}">
                  <a16:creationId xmlns:a16="http://schemas.microsoft.com/office/drawing/2014/main" id="{9639732F-ECBA-47FD-8EFD-B6F2FA7D9240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14" name="TextBox 1113">
              <a:extLst>
                <a:ext uri="{FF2B5EF4-FFF2-40B4-BE49-F238E27FC236}">
                  <a16:creationId xmlns:a16="http://schemas.microsoft.com/office/drawing/2014/main" id="{9639732F-ECBA-47FD-8EFD-B6F2FA7D9240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5" name="TextBox 1114">
              <a:extLst>
                <a:ext uri="{FF2B5EF4-FFF2-40B4-BE49-F238E27FC236}">
                  <a16:creationId xmlns:a16="http://schemas.microsoft.com/office/drawing/2014/main" id="{5270E29B-FF36-4B82-B333-A1FB0A4CEE43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15" name="TextBox 1114">
              <a:extLst>
                <a:ext uri="{FF2B5EF4-FFF2-40B4-BE49-F238E27FC236}">
                  <a16:creationId xmlns:a16="http://schemas.microsoft.com/office/drawing/2014/main" id="{5270E29B-FF36-4B82-B333-A1FB0A4CEE43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6" name="TextBox 1115">
              <a:extLst>
                <a:ext uri="{FF2B5EF4-FFF2-40B4-BE49-F238E27FC236}">
                  <a16:creationId xmlns:a16="http://schemas.microsoft.com/office/drawing/2014/main" id="{498001C9-42F8-405B-B618-4CFB285888F2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16" name="TextBox 1115">
              <a:extLst>
                <a:ext uri="{FF2B5EF4-FFF2-40B4-BE49-F238E27FC236}">
                  <a16:creationId xmlns:a16="http://schemas.microsoft.com/office/drawing/2014/main" id="{498001C9-42F8-405B-B618-4CFB285888F2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7" name="TextBox 1116">
              <a:extLst>
                <a:ext uri="{FF2B5EF4-FFF2-40B4-BE49-F238E27FC236}">
                  <a16:creationId xmlns:a16="http://schemas.microsoft.com/office/drawing/2014/main" id="{CFD35021-9BA5-459C-AC50-ECDBFC588E2C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17" name="TextBox 1116">
              <a:extLst>
                <a:ext uri="{FF2B5EF4-FFF2-40B4-BE49-F238E27FC236}">
                  <a16:creationId xmlns:a16="http://schemas.microsoft.com/office/drawing/2014/main" id="{CFD35021-9BA5-459C-AC50-ECDBFC588E2C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8" name="TextBox 1117">
              <a:extLst>
                <a:ext uri="{FF2B5EF4-FFF2-40B4-BE49-F238E27FC236}">
                  <a16:creationId xmlns:a16="http://schemas.microsoft.com/office/drawing/2014/main" id="{B74889FB-1CDE-4775-B320-72CF8B8FB568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18" name="TextBox 1117">
              <a:extLst>
                <a:ext uri="{FF2B5EF4-FFF2-40B4-BE49-F238E27FC236}">
                  <a16:creationId xmlns:a16="http://schemas.microsoft.com/office/drawing/2014/main" id="{B74889FB-1CDE-4775-B320-72CF8B8FB568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9" name="TextBox 1118">
              <a:extLst>
                <a:ext uri="{FF2B5EF4-FFF2-40B4-BE49-F238E27FC236}">
                  <a16:creationId xmlns:a16="http://schemas.microsoft.com/office/drawing/2014/main" id="{EE8AB514-4AB4-4709-A13E-09E882711FE7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19" name="TextBox 1118">
              <a:extLst>
                <a:ext uri="{FF2B5EF4-FFF2-40B4-BE49-F238E27FC236}">
                  <a16:creationId xmlns:a16="http://schemas.microsoft.com/office/drawing/2014/main" id="{EE8AB514-4AB4-4709-A13E-09E882711FE7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0" name="TextBox 1119">
              <a:extLst>
                <a:ext uri="{FF2B5EF4-FFF2-40B4-BE49-F238E27FC236}">
                  <a16:creationId xmlns:a16="http://schemas.microsoft.com/office/drawing/2014/main" id="{25B8642B-BF74-47FD-A6B4-4E385AF53C3D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20" name="TextBox 1119">
              <a:extLst>
                <a:ext uri="{FF2B5EF4-FFF2-40B4-BE49-F238E27FC236}">
                  <a16:creationId xmlns:a16="http://schemas.microsoft.com/office/drawing/2014/main" id="{25B8642B-BF74-47FD-A6B4-4E385AF53C3D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1" name="TextBox 1120">
              <a:extLst>
                <a:ext uri="{FF2B5EF4-FFF2-40B4-BE49-F238E27FC236}">
                  <a16:creationId xmlns:a16="http://schemas.microsoft.com/office/drawing/2014/main" id="{B177B221-D8B3-4925-84F1-4D033A5828ED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21" name="TextBox 1120">
              <a:extLst>
                <a:ext uri="{FF2B5EF4-FFF2-40B4-BE49-F238E27FC236}">
                  <a16:creationId xmlns:a16="http://schemas.microsoft.com/office/drawing/2014/main" id="{B177B221-D8B3-4925-84F1-4D033A5828ED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2" name="TextBox 1121">
              <a:extLst>
                <a:ext uri="{FF2B5EF4-FFF2-40B4-BE49-F238E27FC236}">
                  <a16:creationId xmlns:a16="http://schemas.microsoft.com/office/drawing/2014/main" id="{B1C05DC8-E426-4814-8EED-6BFE27C8342D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22" name="TextBox 1121">
              <a:extLst>
                <a:ext uri="{FF2B5EF4-FFF2-40B4-BE49-F238E27FC236}">
                  <a16:creationId xmlns:a16="http://schemas.microsoft.com/office/drawing/2014/main" id="{B1C05DC8-E426-4814-8EED-6BFE27C8342D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3" name="TextBox 1122">
              <a:extLst>
                <a:ext uri="{FF2B5EF4-FFF2-40B4-BE49-F238E27FC236}">
                  <a16:creationId xmlns:a16="http://schemas.microsoft.com/office/drawing/2014/main" id="{10F2C4D3-03DD-4220-891D-CB16F144E130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23" name="TextBox 1122">
              <a:extLst>
                <a:ext uri="{FF2B5EF4-FFF2-40B4-BE49-F238E27FC236}">
                  <a16:creationId xmlns:a16="http://schemas.microsoft.com/office/drawing/2014/main" id="{10F2C4D3-03DD-4220-891D-CB16F144E130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4" name="TextBox 1123">
              <a:extLst>
                <a:ext uri="{FF2B5EF4-FFF2-40B4-BE49-F238E27FC236}">
                  <a16:creationId xmlns:a16="http://schemas.microsoft.com/office/drawing/2014/main" id="{F01BA9F3-AC85-4F63-80B2-D137DB925BD1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24" name="TextBox 1123">
              <a:extLst>
                <a:ext uri="{FF2B5EF4-FFF2-40B4-BE49-F238E27FC236}">
                  <a16:creationId xmlns:a16="http://schemas.microsoft.com/office/drawing/2014/main" id="{F01BA9F3-AC85-4F63-80B2-D137DB925BD1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5" name="TextBox 1124">
              <a:extLst>
                <a:ext uri="{FF2B5EF4-FFF2-40B4-BE49-F238E27FC236}">
                  <a16:creationId xmlns:a16="http://schemas.microsoft.com/office/drawing/2014/main" id="{AD795409-19A5-4960-BFC7-137917A66831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25" name="TextBox 1124">
              <a:extLst>
                <a:ext uri="{FF2B5EF4-FFF2-40B4-BE49-F238E27FC236}">
                  <a16:creationId xmlns:a16="http://schemas.microsoft.com/office/drawing/2014/main" id="{AD795409-19A5-4960-BFC7-137917A66831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6" name="TextBox 1125">
              <a:extLst>
                <a:ext uri="{FF2B5EF4-FFF2-40B4-BE49-F238E27FC236}">
                  <a16:creationId xmlns:a16="http://schemas.microsoft.com/office/drawing/2014/main" id="{B52C1367-1BE1-4A0C-BFBC-7824753B18EB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26" name="TextBox 1125">
              <a:extLst>
                <a:ext uri="{FF2B5EF4-FFF2-40B4-BE49-F238E27FC236}">
                  <a16:creationId xmlns:a16="http://schemas.microsoft.com/office/drawing/2014/main" id="{B52C1367-1BE1-4A0C-BFBC-7824753B18EB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7" name="TextBox 1126">
              <a:extLst>
                <a:ext uri="{FF2B5EF4-FFF2-40B4-BE49-F238E27FC236}">
                  <a16:creationId xmlns:a16="http://schemas.microsoft.com/office/drawing/2014/main" id="{8E2D6572-5182-4D1D-A54B-4644FAA09E3E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27" name="TextBox 1126">
              <a:extLst>
                <a:ext uri="{FF2B5EF4-FFF2-40B4-BE49-F238E27FC236}">
                  <a16:creationId xmlns:a16="http://schemas.microsoft.com/office/drawing/2014/main" id="{8E2D6572-5182-4D1D-A54B-4644FAA09E3E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8" name="TextBox 1127">
              <a:extLst>
                <a:ext uri="{FF2B5EF4-FFF2-40B4-BE49-F238E27FC236}">
                  <a16:creationId xmlns:a16="http://schemas.microsoft.com/office/drawing/2014/main" id="{C916B6EC-F555-48E6-9929-3C678E8F8C83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28" name="TextBox 1127">
              <a:extLst>
                <a:ext uri="{FF2B5EF4-FFF2-40B4-BE49-F238E27FC236}">
                  <a16:creationId xmlns:a16="http://schemas.microsoft.com/office/drawing/2014/main" id="{C916B6EC-F555-48E6-9929-3C678E8F8C83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9" name="TextBox 1128">
              <a:extLst>
                <a:ext uri="{FF2B5EF4-FFF2-40B4-BE49-F238E27FC236}">
                  <a16:creationId xmlns:a16="http://schemas.microsoft.com/office/drawing/2014/main" id="{E55B68E0-2961-4FB2-ABD6-2DEDF4C5FD38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29" name="TextBox 1128">
              <a:extLst>
                <a:ext uri="{FF2B5EF4-FFF2-40B4-BE49-F238E27FC236}">
                  <a16:creationId xmlns:a16="http://schemas.microsoft.com/office/drawing/2014/main" id="{E55B68E0-2961-4FB2-ABD6-2DEDF4C5FD38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0" name="TextBox 1129">
              <a:extLst>
                <a:ext uri="{FF2B5EF4-FFF2-40B4-BE49-F238E27FC236}">
                  <a16:creationId xmlns:a16="http://schemas.microsoft.com/office/drawing/2014/main" id="{07EEEBE3-0124-4703-8E07-D41D24ACC4D9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30" name="TextBox 1129">
              <a:extLst>
                <a:ext uri="{FF2B5EF4-FFF2-40B4-BE49-F238E27FC236}">
                  <a16:creationId xmlns:a16="http://schemas.microsoft.com/office/drawing/2014/main" id="{07EEEBE3-0124-4703-8E07-D41D24ACC4D9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1" name="TextBox 1130">
              <a:extLst>
                <a:ext uri="{FF2B5EF4-FFF2-40B4-BE49-F238E27FC236}">
                  <a16:creationId xmlns:a16="http://schemas.microsoft.com/office/drawing/2014/main" id="{082FC2E3-A2B0-447C-97A7-8366A0B3D01B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31" name="TextBox 1130">
              <a:extLst>
                <a:ext uri="{FF2B5EF4-FFF2-40B4-BE49-F238E27FC236}">
                  <a16:creationId xmlns:a16="http://schemas.microsoft.com/office/drawing/2014/main" id="{082FC2E3-A2B0-447C-97A7-8366A0B3D01B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2" name="TextBox 1131">
              <a:extLst>
                <a:ext uri="{FF2B5EF4-FFF2-40B4-BE49-F238E27FC236}">
                  <a16:creationId xmlns:a16="http://schemas.microsoft.com/office/drawing/2014/main" id="{85761EC5-07A7-47B0-B0C6-6FD7A66FE5C0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32" name="TextBox 1131">
              <a:extLst>
                <a:ext uri="{FF2B5EF4-FFF2-40B4-BE49-F238E27FC236}">
                  <a16:creationId xmlns:a16="http://schemas.microsoft.com/office/drawing/2014/main" id="{85761EC5-07A7-47B0-B0C6-6FD7A66FE5C0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3" name="TextBox 1132">
              <a:extLst>
                <a:ext uri="{FF2B5EF4-FFF2-40B4-BE49-F238E27FC236}">
                  <a16:creationId xmlns:a16="http://schemas.microsoft.com/office/drawing/2014/main" id="{64842FDE-6247-4F27-881C-35BBBA76103D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33" name="TextBox 1132">
              <a:extLst>
                <a:ext uri="{FF2B5EF4-FFF2-40B4-BE49-F238E27FC236}">
                  <a16:creationId xmlns:a16="http://schemas.microsoft.com/office/drawing/2014/main" id="{64842FDE-6247-4F27-881C-35BBBA76103D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4" name="TextBox 1133">
              <a:extLst>
                <a:ext uri="{FF2B5EF4-FFF2-40B4-BE49-F238E27FC236}">
                  <a16:creationId xmlns:a16="http://schemas.microsoft.com/office/drawing/2014/main" id="{87E805C3-5657-4356-AEB8-9A9C0A2345C9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34" name="TextBox 1133">
              <a:extLst>
                <a:ext uri="{FF2B5EF4-FFF2-40B4-BE49-F238E27FC236}">
                  <a16:creationId xmlns:a16="http://schemas.microsoft.com/office/drawing/2014/main" id="{87E805C3-5657-4356-AEB8-9A9C0A2345C9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5" name="TextBox 1134">
              <a:extLst>
                <a:ext uri="{FF2B5EF4-FFF2-40B4-BE49-F238E27FC236}">
                  <a16:creationId xmlns:a16="http://schemas.microsoft.com/office/drawing/2014/main" id="{3265709B-9C43-4A69-86D6-6A31FEACAEBE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35" name="TextBox 1134">
              <a:extLst>
                <a:ext uri="{FF2B5EF4-FFF2-40B4-BE49-F238E27FC236}">
                  <a16:creationId xmlns:a16="http://schemas.microsoft.com/office/drawing/2014/main" id="{3265709B-9C43-4A69-86D6-6A31FEACAEBE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6" name="TextBox 1135">
              <a:extLst>
                <a:ext uri="{FF2B5EF4-FFF2-40B4-BE49-F238E27FC236}">
                  <a16:creationId xmlns:a16="http://schemas.microsoft.com/office/drawing/2014/main" id="{CBF866E5-BB03-47C2-87EB-823D0DACEFB1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36" name="TextBox 1135">
              <a:extLst>
                <a:ext uri="{FF2B5EF4-FFF2-40B4-BE49-F238E27FC236}">
                  <a16:creationId xmlns:a16="http://schemas.microsoft.com/office/drawing/2014/main" id="{CBF866E5-BB03-47C2-87EB-823D0DACEFB1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7" name="TextBox 1136">
              <a:extLst>
                <a:ext uri="{FF2B5EF4-FFF2-40B4-BE49-F238E27FC236}">
                  <a16:creationId xmlns:a16="http://schemas.microsoft.com/office/drawing/2014/main" id="{6423A631-C23F-4B89-8DDF-32AFCC51B982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37" name="TextBox 1136">
              <a:extLst>
                <a:ext uri="{FF2B5EF4-FFF2-40B4-BE49-F238E27FC236}">
                  <a16:creationId xmlns:a16="http://schemas.microsoft.com/office/drawing/2014/main" id="{6423A631-C23F-4B89-8DDF-32AFCC51B982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8" name="TextBox 1137">
              <a:extLst>
                <a:ext uri="{FF2B5EF4-FFF2-40B4-BE49-F238E27FC236}">
                  <a16:creationId xmlns:a16="http://schemas.microsoft.com/office/drawing/2014/main" id="{D942CB7B-20B0-4FFD-B610-72E5BA7ED3DD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38" name="TextBox 1137">
              <a:extLst>
                <a:ext uri="{FF2B5EF4-FFF2-40B4-BE49-F238E27FC236}">
                  <a16:creationId xmlns:a16="http://schemas.microsoft.com/office/drawing/2014/main" id="{D942CB7B-20B0-4FFD-B610-72E5BA7ED3DD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9" name="TextBox 1138">
              <a:extLst>
                <a:ext uri="{FF2B5EF4-FFF2-40B4-BE49-F238E27FC236}">
                  <a16:creationId xmlns:a16="http://schemas.microsoft.com/office/drawing/2014/main" id="{AAE4B203-AE65-4630-A885-6880BF64D681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39" name="TextBox 1138">
              <a:extLst>
                <a:ext uri="{FF2B5EF4-FFF2-40B4-BE49-F238E27FC236}">
                  <a16:creationId xmlns:a16="http://schemas.microsoft.com/office/drawing/2014/main" id="{AAE4B203-AE65-4630-A885-6880BF64D681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0" name="TextBox 1139">
              <a:extLst>
                <a:ext uri="{FF2B5EF4-FFF2-40B4-BE49-F238E27FC236}">
                  <a16:creationId xmlns:a16="http://schemas.microsoft.com/office/drawing/2014/main" id="{813776CE-E36A-4922-97E9-95BAF600AB9B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40" name="TextBox 1139">
              <a:extLst>
                <a:ext uri="{FF2B5EF4-FFF2-40B4-BE49-F238E27FC236}">
                  <a16:creationId xmlns:a16="http://schemas.microsoft.com/office/drawing/2014/main" id="{813776CE-E36A-4922-97E9-95BAF600AB9B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1" name="TextBox 1140">
              <a:extLst>
                <a:ext uri="{FF2B5EF4-FFF2-40B4-BE49-F238E27FC236}">
                  <a16:creationId xmlns:a16="http://schemas.microsoft.com/office/drawing/2014/main" id="{B34662C5-DC9F-4228-9624-976D8D052EB5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41" name="TextBox 1140">
              <a:extLst>
                <a:ext uri="{FF2B5EF4-FFF2-40B4-BE49-F238E27FC236}">
                  <a16:creationId xmlns:a16="http://schemas.microsoft.com/office/drawing/2014/main" id="{B34662C5-DC9F-4228-9624-976D8D052EB5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2" name="TextBox 1141">
              <a:extLst>
                <a:ext uri="{FF2B5EF4-FFF2-40B4-BE49-F238E27FC236}">
                  <a16:creationId xmlns:a16="http://schemas.microsoft.com/office/drawing/2014/main" id="{EE621A3D-10B3-4CEE-886B-7A35500FA37D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42" name="TextBox 1141">
              <a:extLst>
                <a:ext uri="{FF2B5EF4-FFF2-40B4-BE49-F238E27FC236}">
                  <a16:creationId xmlns:a16="http://schemas.microsoft.com/office/drawing/2014/main" id="{EE621A3D-10B3-4CEE-886B-7A35500FA37D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3" name="TextBox 1142">
              <a:extLst>
                <a:ext uri="{FF2B5EF4-FFF2-40B4-BE49-F238E27FC236}">
                  <a16:creationId xmlns:a16="http://schemas.microsoft.com/office/drawing/2014/main" id="{00116067-2454-450F-BA09-720D9B2BC64F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43" name="TextBox 1142">
              <a:extLst>
                <a:ext uri="{FF2B5EF4-FFF2-40B4-BE49-F238E27FC236}">
                  <a16:creationId xmlns:a16="http://schemas.microsoft.com/office/drawing/2014/main" id="{00116067-2454-450F-BA09-720D9B2BC64F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4" name="TextBox 1143">
              <a:extLst>
                <a:ext uri="{FF2B5EF4-FFF2-40B4-BE49-F238E27FC236}">
                  <a16:creationId xmlns:a16="http://schemas.microsoft.com/office/drawing/2014/main" id="{FAEEA2E7-6533-40C6-A112-8320960C1BE5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44" name="TextBox 1143">
              <a:extLst>
                <a:ext uri="{FF2B5EF4-FFF2-40B4-BE49-F238E27FC236}">
                  <a16:creationId xmlns:a16="http://schemas.microsoft.com/office/drawing/2014/main" id="{FAEEA2E7-6533-40C6-A112-8320960C1BE5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5" name="TextBox 1144">
              <a:extLst>
                <a:ext uri="{FF2B5EF4-FFF2-40B4-BE49-F238E27FC236}">
                  <a16:creationId xmlns:a16="http://schemas.microsoft.com/office/drawing/2014/main" id="{84B61D45-8635-4D7D-B6B5-943A1A4A67B7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45" name="TextBox 1144">
              <a:extLst>
                <a:ext uri="{FF2B5EF4-FFF2-40B4-BE49-F238E27FC236}">
                  <a16:creationId xmlns:a16="http://schemas.microsoft.com/office/drawing/2014/main" id="{84B61D45-8635-4D7D-B6B5-943A1A4A67B7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6" name="TextBox 1145">
              <a:extLst>
                <a:ext uri="{FF2B5EF4-FFF2-40B4-BE49-F238E27FC236}">
                  <a16:creationId xmlns:a16="http://schemas.microsoft.com/office/drawing/2014/main" id="{E5369EA1-DFBC-4EFD-8D86-CDDA5F20651C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46" name="TextBox 1145">
              <a:extLst>
                <a:ext uri="{FF2B5EF4-FFF2-40B4-BE49-F238E27FC236}">
                  <a16:creationId xmlns:a16="http://schemas.microsoft.com/office/drawing/2014/main" id="{E5369EA1-DFBC-4EFD-8D86-CDDA5F20651C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7" name="TextBox 1146">
              <a:extLst>
                <a:ext uri="{FF2B5EF4-FFF2-40B4-BE49-F238E27FC236}">
                  <a16:creationId xmlns:a16="http://schemas.microsoft.com/office/drawing/2014/main" id="{59A7B234-75E0-41BC-9B7F-2B45C812C845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47" name="TextBox 1146">
              <a:extLst>
                <a:ext uri="{FF2B5EF4-FFF2-40B4-BE49-F238E27FC236}">
                  <a16:creationId xmlns:a16="http://schemas.microsoft.com/office/drawing/2014/main" id="{59A7B234-75E0-41BC-9B7F-2B45C812C845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8" name="TextBox 1147">
              <a:extLst>
                <a:ext uri="{FF2B5EF4-FFF2-40B4-BE49-F238E27FC236}">
                  <a16:creationId xmlns:a16="http://schemas.microsoft.com/office/drawing/2014/main" id="{05967030-4220-4299-AB2D-85BC2343775D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48" name="TextBox 1147">
              <a:extLst>
                <a:ext uri="{FF2B5EF4-FFF2-40B4-BE49-F238E27FC236}">
                  <a16:creationId xmlns:a16="http://schemas.microsoft.com/office/drawing/2014/main" id="{05967030-4220-4299-AB2D-85BC2343775D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9" name="TextBox 1148">
              <a:extLst>
                <a:ext uri="{FF2B5EF4-FFF2-40B4-BE49-F238E27FC236}">
                  <a16:creationId xmlns:a16="http://schemas.microsoft.com/office/drawing/2014/main" id="{E35FAB11-59DD-4A37-8515-7BA8323DCA60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49" name="TextBox 1148">
              <a:extLst>
                <a:ext uri="{FF2B5EF4-FFF2-40B4-BE49-F238E27FC236}">
                  <a16:creationId xmlns:a16="http://schemas.microsoft.com/office/drawing/2014/main" id="{E35FAB11-59DD-4A37-8515-7BA8323DCA60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0" name="TextBox 1149">
              <a:extLst>
                <a:ext uri="{FF2B5EF4-FFF2-40B4-BE49-F238E27FC236}">
                  <a16:creationId xmlns:a16="http://schemas.microsoft.com/office/drawing/2014/main" id="{65B941D8-1D33-4049-A059-8AAACE8E9425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50" name="TextBox 1149">
              <a:extLst>
                <a:ext uri="{FF2B5EF4-FFF2-40B4-BE49-F238E27FC236}">
                  <a16:creationId xmlns:a16="http://schemas.microsoft.com/office/drawing/2014/main" id="{65B941D8-1D33-4049-A059-8AAACE8E9425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1" name="TextBox 1150">
              <a:extLst>
                <a:ext uri="{FF2B5EF4-FFF2-40B4-BE49-F238E27FC236}">
                  <a16:creationId xmlns:a16="http://schemas.microsoft.com/office/drawing/2014/main" id="{5CE6B172-CBA2-482D-8710-257F2F9FB1E2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51" name="TextBox 1150">
              <a:extLst>
                <a:ext uri="{FF2B5EF4-FFF2-40B4-BE49-F238E27FC236}">
                  <a16:creationId xmlns:a16="http://schemas.microsoft.com/office/drawing/2014/main" id="{5CE6B172-CBA2-482D-8710-257F2F9FB1E2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2" name="TextBox 1151">
              <a:extLst>
                <a:ext uri="{FF2B5EF4-FFF2-40B4-BE49-F238E27FC236}">
                  <a16:creationId xmlns:a16="http://schemas.microsoft.com/office/drawing/2014/main" id="{A061F0C4-68AE-41B7-BE91-5B4D0DB36F62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52" name="TextBox 1151">
              <a:extLst>
                <a:ext uri="{FF2B5EF4-FFF2-40B4-BE49-F238E27FC236}">
                  <a16:creationId xmlns:a16="http://schemas.microsoft.com/office/drawing/2014/main" id="{A061F0C4-68AE-41B7-BE91-5B4D0DB36F62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3" name="TextBox 1152">
              <a:extLst>
                <a:ext uri="{FF2B5EF4-FFF2-40B4-BE49-F238E27FC236}">
                  <a16:creationId xmlns:a16="http://schemas.microsoft.com/office/drawing/2014/main" id="{3EBD63FD-AE54-4E1C-B045-884D0D4C35F5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53" name="TextBox 1152">
              <a:extLst>
                <a:ext uri="{FF2B5EF4-FFF2-40B4-BE49-F238E27FC236}">
                  <a16:creationId xmlns:a16="http://schemas.microsoft.com/office/drawing/2014/main" id="{3EBD63FD-AE54-4E1C-B045-884D0D4C35F5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4" name="TextBox 1153">
              <a:extLst>
                <a:ext uri="{FF2B5EF4-FFF2-40B4-BE49-F238E27FC236}">
                  <a16:creationId xmlns:a16="http://schemas.microsoft.com/office/drawing/2014/main" id="{E658E8AD-D45F-419E-8387-9F4E8DD54316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54" name="TextBox 1153">
              <a:extLst>
                <a:ext uri="{FF2B5EF4-FFF2-40B4-BE49-F238E27FC236}">
                  <a16:creationId xmlns:a16="http://schemas.microsoft.com/office/drawing/2014/main" id="{E658E8AD-D45F-419E-8387-9F4E8DD54316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5" name="TextBox 1154">
              <a:extLst>
                <a:ext uri="{FF2B5EF4-FFF2-40B4-BE49-F238E27FC236}">
                  <a16:creationId xmlns:a16="http://schemas.microsoft.com/office/drawing/2014/main" id="{ACF0DED0-BA6D-4126-80ED-C984DDB6EC0D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55" name="TextBox 1154">
              <a:extLst>
                <a:ext uri="{FF2B5EF4-FFF2-40B4-BE49-F238E27FC236}">
                  <a16:creationId xmlns:a16="http://schemas.microsoft.com/office/drawing/2014/main" id="{ACF0DED0-BA6D-4126-80ED-C984DDB6EC0D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6" name="TextBox 1155">
              <a:extLst>
                <a:ext uri="{FF2B5EF4-FFF2-40B4-BE49-F238E27FC236}">
                  <a16:creationId xmlns:a16="http://schemas.microsoft.com/office/drawing/2014/main" id="{01A34181-FCEE-41F1-8968-467EF4757773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56" name="TextBox 1155">
              <a:extLst>
                <a:ext uri="{FF2B5EF4-FFF2-40B4-BE49-F238E27FC236}">
                  <a16:creationId xmlns:a16="http://schemas.microsoft.com/office/drawing/2014/main" id="{01A34181-FCEE-41F1-8968-467EF4757773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7" name="TextBox 1156">
              <a:extLst>
                <a:ext uri="{FF2B5EF4-FFF2-40B4-BE49-F238E27FC236}">
                  <a16:creationId xmlns:a16="http://schemas.microsoft.com/office/drawing/2014/main" id="{4B369A8B-0B40-4EC4-953B-B51F5DFD7A1F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57" name="TextBox 1156">
              <a:extLst>
                <a:ext uri="{FF2B5EF4-FFF2-40B4-BE49-F238E27FC236}">
                  <a16:creationId xmlns:a16="http://schemas.microsoft.com/office/drawing/2014/main" id="{4B369A8B-0B40-4EC4-953B-B51F5DFD7A1F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8" name="TextBox 1157">
              <a:extLst>
                <a:ext uri="{FF2B5EF4-FFF2-40B4-BE49-F238E27FC236}">
                  <a16:creationId xmlns:a16="http://schemas.microsoft.com/office/drawing/2014/main" id="{6B05DB42-9EBF-41C0-A1AC-6E4F008EE4BA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58" name="TextBox 1157">
              <a:extLst>
                <a:ext uri="{FF2B5EF4-FFF2-40B4-BE49-F238E27FC236}">
                  <a16:creationId xmlns:a16="http://schemas.microsoft.com/office/drawing/2014/main" id="{6B05DB42-9EBF-41C0-A1AC-6E4F008EE4BA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9" name="TextBox 1158">
              <a:extLst>
                <a:ext uri="{FF2B5EF4-FFF2-40B4-BE49-F238E27FC236}">
                  <a16:creationId xmlns:a16="http://schemas.microsoft.com/office/drawing/2014/main" id="{49BA004A-808E-4385-A3A2-6EA2F4EB2876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59" name="TextBox 1158">
              <a:extLst>
                <a:ext uri="{FF2B5EF4-FFF2-40B4-BE49-F238E27FC236}">
                  <a16:creationId xmlns:a16="http://schemas.microsoft.com/office/drawing/2014/main" id="{49BA004A-808E-4385-A3A2-6EA2F4EB2876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0" name="TextBox 1159">
              <a:extLst>
                <a:ext uri="{FF2B5EF4-FFF2-40B4-BE49-F238E27FC236}">
                  <a16:creationId xmlns:a16="http://schemas.microsoft.com/office/drawing/2014/main" id="{1EF1D13E-9F9E-4DF5-B210-14839E0C5315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60" name="TextBox 1159">
              <a:extLst>
                <a:ext uri="{FF2B5EF4-FFF2-40B4-BE49-F238E27FC236}">
                  <a16:creationId xmlns:a16="http://schemas.microsoft.com/office/drawing/2014/main" id="{1EF1D13E-9F9E-4DF5-B210-14839E0C5315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1" name="TextBox 1160">
              <a:extLst>
                <a:ext uri="{FF2B5EF4-FFF2-40B4-BE49-F238E27FC236}">
                  <a16:creationId xmlns:a16="http://schemas.microsoft.com/office/drawing/2014/main" id="{E7AD1454-9F8F-44C3-9583-6C9C0C101D03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61" name="TextBox 1160">
              <a:extLst>
                <a:ext uri="{FF2B5EF4-FFF2-40B4-BE49-F238E27FC236}">
                  <a16:creationId xmlns:a16="http://schemas.microsoft.com/office/drawing/2014/main" id="{E7AD1454-9F8F-44C3-9583-6C9C0C101D03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2" name="TextBox 1161">
              <a:extLst>
                <a:ext uri="{FF2B5EF4-FFF2-40B4-BE49-F238E27FC236}">
                  <a16:creationId xmlns:a16="http://schemas.microsoft.com/office/drawing/2014/main" id="{08C9D3F7-3505-403E-9805-236063A3A61F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62" name="TextBox 1161">
              <a:extLst>
                <a:ext uri="{FF2B5EF4-FFF2-40B4-BE49-F238E27FC236}">
                  <a16:creationId xmlns:a16="http://schemas.microsoft.com/office/drawing/2014/main" id="{08C9D3F7-3505-403E-9805-236063A3A61F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3" name="TextBox 1162">
              <a:extLst>
                <a:ext uri="{FF2B5EF4-FFF2-40B4-BE49-F238E27FC236}">
                  <a16:creationId xmlns:a16="http://schemas.microsoft.com/office/drawing/2014/main" id="{A1F1D923-9E4F-4D98-A5D3-18C4D5382012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63" name="TextBox 1162">
              <a:extLst>
                <a:ext uri="{FF2B5EF4-FFF2-40B4-BE49-F238E27FC236}">
                  <a16:creationId xmlns:a16="http://schemas.microsoft.com/office/drawing/2014/main" id="{A1F1D923-9E4F-4D98-A5D3-18C4D5382012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4" name="TextBox 1163">
              <a:extLst>
                <a:ext uri="{FF2B5EF4-FFF2-40B4-BE49-F238E27FC236}">
                  <a16:creationId xmlns:a16="http://schemas.microsoft.com/office/drawing/2014/main" id="{230C5190-0EFA-4FC2-8E27-C3C9B33DE59D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64" name="TextBox 1163">
              <a:extLst>
                <a:ext uri="{FF2B5EF4-FFF2-40B4-BE49-F238E27FC236}">
                  <a16:creationId xmlns:a16="http://schemas.microsoft.com/office/drawing/2014/main" id="{230C5190-0EFA-4FC2-8E27-C3C9B33DE59D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5" name="TextBox 1164">
              <a:extLst>
                <a:ext uri="{FF2B5EF4-FFF2-40B4-BE49-F238E27FC236}">
                  <a16:creationId xmlns:a16="http://schemas.microsoft.com/office/drawing/2014/main" id="{94F0E149-020A-4391-9CBB-4F836B00DE4E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65" name="TextBox 1164">
              <a:extLst>
                <a:ext uri="{FF2B5EF4-FFF2-40B4-BE49-F238E27FC236}">
                  <a16:creationId xmlns:a16="http://schemas.microsoft.com/office/drawing/2014/main" id="{94F0E149-020A-4391-9CBB-4F836B00DE4E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6" name="TextBox 1165">
              <a:extLst>
                <a:ext uri="{FF2B5EF4-FFF2-40B4-BE49-F238E27FC236}">
                  <a16:creationId xmlns:a16="http://schemas.microsoft.com/office/drawing/2014/main" id="{70338829-0161-4B62-AF39-CD6970104FD6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66" name="TextBox 1165">
              <a:extLst>
                <a:ext uri="{FF2B5EF4-FFF2-40B4-BE49-F238E27FC236}">
                  <a16:creationId xmlns:a16="http://schemas.microsoft.com/office/drawing/2014/main" id="{70338829-0161-4B62-AF39-CD6970104FD6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7" name="TextBox 1166">
              <a:extLst>
                <a:ext uri="{FF2B5EF4-FFF2-40B4-BE49-F238E27FC236}">
                  <a16:creationId xmlns:a16="http://schemas.microsoft.com/office/drawing/2014/main" id="{21A71B82-72AF-489E-9187-8506DD8F1691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67" name="TextBox 1166">
              <a:extLst>
                <a:ext uri="{FF2B5EF4-FFF2-40B4-BE49-F238E27FC236}">
                  <a16:creationId xmlns:a16="http://schemas.microsoft.com/office/drawing/2014/main" id="{21A71B82-72AF-489E-9187-8506DD8F1691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8" name="TextBox 1167">
              <a:extLst>
                <a:ext uri="{FF2B5EF4-FFF2-40B4-BE49-F238E27FC236}">
                  <a16:creationId xmlns:a16="http://schemas.microsoft.com/office/drawing/2014/main" id="{1E6BF441-DB0A-4327-A068-C33130CC3000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68" name="TextBox 1167">
              <a:extLst>
                <a:ext uri="{FF2B5EF4-FFF2-40B4-BE49-F238E27FC236}">
                  <a16:creationId xmlns:a16="http://schemas.microsoft.com/office/drawing/2014/main" id="{1E6BF441-DB0A-4327-A068-C33130CC3000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9" name="TextBox 1168">
              <a:extLst>
                <a:ext uri="{FF2B5EF4-FFF2-40B4-BE49-F238E27FC236}">
                  <a16:creationId xmlns:a16="http://schemas.microsoft.com/office/drawing/2014/main" id="{DEE244F3-3C4C-4BBA-81AB-EC4A41D31D7B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69" name="TextBox 1168">
              <a:extLst>
                <a:ext uri="{FF2B5EF4-FFF2-40B4-BE49-F238E27FC236}">
                  <a16:creationId xmlns:a16="http://schemas.microsoft.com/office/drawing/2014/main" id="{DEE244F3-3C4C-4BBA-81AB-EC4A41D31D7B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0" name="TextBox 1169">
              <a:extLst>
                <a:ext uri="{FF2B5EF4-FFF2-40B4-BE49-F238E27FC236}">
                  <a16:creationId xmlns:a16="http://schemas.microsoft.com/office/drawing/2014/main" id="{F449FC99-94D3-4246-B46F-F41FFD2EEFDA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70" name="TextBox 1169">
              <a:extLst>
                <a:ext uri="{FF2B5EF4-FFF2-40B4-BE49-F238E27FC236}">
                  <a16:creationId xmlns:a16="http://schemas.microsoft.com/office/drawing/2014/main" id="{F449FC99-94D3-4246-B46F-F41FFD2EEFDA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1" name="TextBox 1170">
              <a:extLst>
                <a:ext uri="{FF2B5EF4-FFF2-40B4-BE49-F238E27FC236}">
                  <a16:creationId xmlns:a16="http://schemas.microsoft.com/office/drawing/2014/main" id="{91ABEE29-24C3-47D2-B6A0-1EB461F84B40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71" name="TextBox 1170">
              <a:extLst>
                <a:ext uri="{FF2B5EF4-FFF2-40B4-BE49-F238E27FC236}">
                  <a16:creationId xmlns:a16="http://schemas.microsoft.com/office/drawing/2014/main" id="{91ABEE29-24C3-47D2-B6A0-1EB461F84B40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2" name="TextBox 1171">
              <a:extLst>
                <a:ext uri="{FF2B5EF4-FFF2-40B4-BE49-F238E27FC236}">
                  <a16:creationId xmlns:a16="http://schemas.microsoft.com/office/drawing/2014/main" id="{4DDF1BF8-947B-4987-B85C-C2709CC2F1E5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72" name="TextBox 1171">
              <a:extLst>
                <a:ext uri="{FF2B5EF4-FFF2-40B4-BE49-F238E27FC236}">
                  <a16:creationId xmlns:a16="http://schemas.microsoft.com/office/drawing/2014/main" id="{4DDF1BF8-947B-4987-B85C-C2709CC2F1E5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3" name="TextBox 1172">
              <a:extLst>
                <a:ext uri="{FF2B5EF4-FFF2-40B4-BE49-F238E27FC236}">
                  <a16:creationId xmlns:a16="http://schemas.microsoft.com/office/drawing/2014/main" id="{CE5C2AE1-884F-48FA-8DBB-68AD0D9F1CE2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73" name="TextBox 1172">
              <a:extLst>
                <a:ext uri="{FF2B5EF4-FFF2-40B4-BE49-F238E27FC236}">
                  <a16:creationId xmlns:a16="http://schemas.microsoft.com/office/drawing/2014/main" id="{CE5C2AE1-884F-48FA-8DBB-68AD0D9F1CE2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4" name="TextBox 1173">
              <a:extLst>
                <a:ext uri="{FF2B5EF4-FFF2-40B4-BE49-F238E27FC236}">
                  <a16:creationId xmlns:a16="http://schemas.microsoft.com/office/drawing/2014/main" id="{B06F5B3F-D2E6-49A4-AABD-D797A4AADB94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74" name="TextBox 1173">
              <a:extLst>
                <a:ext uri="{FF2B5EF4-FFF2-40B4-BE49-F238E27FC236}">
                  <a16:creationId xmlns:a16="http://schemas.microsoft.com/office/drawing/2014/main" id="{B06F5B3F-D2E6-49A4-AABD-D797A4AADB94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5" name="TextBox 1174">
              <a:extLst>
                <a:ext uri="{FF2B5EF4-FFF2-40B4-BE49-F238E27FC236}">
                  <a16:creationId xmlns:a16="http://schemas.microsoft.com/office/drawing/2014/main" id="{FE9EFDA8-B691-49CC-9D72-57F6C03433FE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75" name="TextBox 1174">
              <a:extLst>
                <a:ext uri="{FF2B5EF4-FFF2-40B4-BE49-F238E27FC236}">
                  <a16:creationId xmlns:a16="http://schemas.microsoft.com/office/drawing/2014/main" id="{FE9EFDA8-B691-49CC-9D72-57F6C03433FE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6" name="TextBox 1175">
              <a:extLst>
                <a:ext uri="{FF2B5EF4-FFF2-40B4-BE49-F238E27FC236}">
                  <a16:creationId xmlns:a16="http://schemas.microsoft.com/office/drawing/2014/main" id="{E4703295-1FB5-4F9E-8AED-D780CEBF0BBA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76" name="TextBox 1175">
              <a:extLst>
                <a:ext uri="{FF2B5EF4-FFF2-40B4-BE49-F238E27FC236}">
                  <a16:creationId xmlns:a16="http://schemas.microsoft.com/office/drawing/2014/main" id="{E4703295-1FB5-4F9E-8AED-D780CEBF0BBA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7" name="TextBox 1176">
              <a:extLst>
                <a:ext uri="{FF2B5EF4-FFF2-40B4-BE49-F238E27FC236}">
                  <a16:creationId xmlns:a16="http://schemas.microsoft.com/office/drawing/2014/main" id="{3DFD0057-B3C1-4579-939C-3A26DD8AF5BC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77" name="TextBox 1176">
              <a:extLst>
                <a:ext uri="{FF2B5EF4-FFF2-40B4-BE49-F238E27FC236}">
                  <a16:creationId xmlns:a16="http://schemas.microsoft.com/office/drawing/2014/main" id="{3DFD0057-B3C1-4579-939C-3A26DD8AF5BC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8" name="TextBox 1177">
              <a:extLst>
                <a:ext uri="{FF2B5EF4-FFF2-40B4-BE49-F238E27FC236}">
                  <a16:creationId xmlns:a16="http://schemas.microsoft.com/office/drawing/2014/main" id="{76F957F5-61EC-4221-A825-CC94A5DCD428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78" name="TextBox 1177">
              <a:extLst>
                <a:ext uri="{FF2B5EF4-FFF2-40B4-BE49-F238E27FC236}">
                  <a16:creationId xmlns:a16="http://schemas.microsoft.com/office/drawing/2014/main" id="{76F957F5-61EC-4221-A825-CC94A5DCD428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9" name="TextBox 1178">
              <a:extLst>
                <a:ext uri="{FF2B5EF4-FFF2-40B4-BE49-F238E27FC236}">
                  <a16:creationId xmlns:a16="http://schemas.microsoft.com/office/drawing/2014/main" id="{29E8A0DC-E271-4D39-A79B-3F9FF3B56D0C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79" name="TextBox 1178">
              <a:extLst>
                <a:ext uri="{FF2B5EF4-FFF2-40B4-BE49-F238E27FC236}">
                  <a16:creationId xmlns:a16="http://schemas.microsoft.com/office/drawing/2014/main" id="{29E8A0DC-E271-4D39-A79B-3F9FF3B56D0C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0" name="TextBox 1179">
              <a:extLst>
                <a:ext uri="{FF2B5EF4-FFF2-40B4-BE49-F238E27FC236}">
                  <a16:creationId xmlns:a16="http://schemas.microsoft.com/office/drawing/2014/main" id="{8C59D0F5-5163-4EA9-8AD1-5814CB3E0FB0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80" name="TextBox 1179">
              <a:extLst>
                <a:ext uri="{FF2B5EF4-FFF2-40B4-BE49-F238E27FC236}">
                  <a16:creationId xmlns:a16="http://schemas.microsoft.com/office/drawing/2014/main" id="{8C59D0F5-5163-4EA9-8AD1-5814CB3E0FB0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1" name="TextBox 1180">
              <a:extLst>
                <a:ext uri="{FF2B5EF4-FFF2-40B4-BE49-F238E27FC236}">
                  <a16:creationId xmlns:a16="http://schemas.microsoft.com/office/drawing/2014/main" id="{4BF0C272-26FD-4CB0-887A-E4498D34D16E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81" name="TextBox 1180">
              <a:extLst>
                <a:ext uri="{FF2B5EF4-FFF2-40B4-BE49-F238E27FC236}">
                  <a16:creationId xmlns:a16="http://schemas.microsoft.com/office/drawing/2014/main" id="{4BF0C272-26FD-4CB0-887A-E4498D34D16E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2" name="TextBox 1181">
              <a:extLst>
                <a:ext uri="{FF2B5EF4-FFF2-40B4-BE49-F238E27FC236}">
                  <a16:creationId xmlns:a16="http://schemas.microsoft.com/office/drawing/2014/main" id="{F8515B54-C114-4164-A9E9-92D503E29024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82" name="TextBox 1181">
              <a:extLst>
                <a:ext uri="{FF2B5EF4-FFF2-40B4-BE49-F238E27FC236}">
                  <a16:creationId xmlns:a16="http://schemas.microsoft.com/office/drawing/2014/main" id="{F8515B54-C114-4164-A9E9-92D503E29024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3" name="TextBox 1182">
              <a:extLst>
                <a:ext uri="{FF2B5EF4-FFF2-40B4-BE49-F238E27FC236}">
                  <a16:creationId xmlns:a16="http://schemas.microsoft.com/office/drawing/2014/main" id="{113B4C8E-93AC-4685-98C7-A928EB2F5AA4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83" name="TextBox 1182">
              <a:extLst>
                <a:ext uri="{FF2B5EF4-FFF2-40B4-BE49-F238E27FC236}">
                  <a16:creationId xmlns:a16="http://schemas.microsoft.com/office/drawing/2014/main" id="{113B4C8E-93AC-4685-98C7-A928EB2F5AA4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4" name="TextBox 1183">
              <a:extLst>
                <a:ext uri="{FF2B5EF4-FFF2-40B4-BE49-F238E27FC236}">
                  <a16:creationId xmlns:a16="http://schemas.microsoft.com/office/drawing/2014/main" id="{13DEF279-44A6-4B70-8998-5F9D3FA4F752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84" name="TextBox 1183">
              <a:extLst>
                <a:ext uri="{FF2B5EF4-FFF2-40B4-BE49-F238E27FC236}">
                  <a16:creationId xmlns:a16="http://schemas.microsoft.com/office/drawing/2014/main" id="{13DEF279-44A6-4B70-8998-5F9D3FA4F752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5" name="TextBox 1184">
              <a:extLst>
                <a:ext uri="{FF2B5EF4-FFF2-40B4-BE49-F238E27FC236}">
                  <a16:creationId xmlns:a16="http://schemas.microsoft.com/office/drawing/2014/main" id="{4537D6A0-76A3-4EA6-85BF-88CD2744FECE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85" name="TextBox 1184">
              <a:extLst>
                <a:ext uri="{FF2B5EF4-FFF2-40B4-BE49-F238E27FC236}">
                  <a16:creationId xmlns:a16="http://schemas.microsoft.com/office/drawing/2014/main" id="{4537D6A0-76A3-4EA6-85BF-88CD2744FECE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6" name="TextBox 1185">
              <a:extLst>
                <a:ext uri="{FF2B5EF4-FFF2-40B4-BE49-F238E27FC236}">
                  <a16:creationId xmlns:a16="http://schemas.microsoft.com/office/drawing/2014/main" id="{6C4EFDE3-B694-4D73-81F6-88DE32A98EB6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86" name="TextBox 1185">
              <a:extLst>
                <a:ext uri="{FF2B5EF4-FFF2-40B4-BE49-F238E27FC236}">
                  <a16:creationId xmlns:a16="http://schemas.microsoft.com/office/drawing/2014/main" id="{6C4EFDE3-B694-4D73-81F6-88DE32A98EB6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7" name="TextBox 1186">
              <a:extLst>
                <a:ext uri="{FF2B5EF4-FFF2-40B4-BE49-F238E27FC236}">
                  <a16:creationId xmlns:a16="http://schemas.microsoft.com/office/drawing/2014/main" id="{4C50827A-CC12-411F-A231-FF27AF704320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87" name="TextBox 1186">
              <a:extLst>
                <a:ext uri="{FF2B5EF4-FFF2-40B4-BE49-F238E27FC236}">
                  <a16:creationId xmlns:a16="http://schemas.microsoft.com/office/drawing/2014/main" id="{4C50827A-CC12-411F-A231-FF27AF704320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8" name="TextBox 1187">
              <a:extLst>
                <a:ext uri="{FF2B5EF4-FFF2-40B4-BE49-F238E27FC236}">
                  <a16:creationId xmlns:a16="http://schemas.microsoft.com/office/drawing/2014/main" id="{F98E0373-E69F-4EA7-B134-3A734F3EAA64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88" name="TextBox 1187">
              <a:extLst>
                <a:ext uri="{FF2B5EF4-FFF2-40B4-BE49-F238E27FC236}">
                  <a16:creationId xmlns:a16="http://schemas.microsoft.com/office/drawing/2014/main" id="{F98E0373-E69F-4EA7-B134-3A734F3EAA64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9" name="TextBox 1188">
              <a:extLst>
                <a:ext uri="{FF2B5EF4-FFF2-40B4-BE49-F238E27FC236}">
                  <a16:creationId xmlns:a16="http://schemas.microsoft.com/office/drawing/2014/main" id="{0C9072B9-B802-44D0-9889-87A78A0AA3F0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89" name="TextBox 1188">
              <a:extLst>
                <a:ext uri="{FF2B5EF4-FFF2-40B4-BE49-F238E27FC236}">
                  <a16:creationId xmlns:a16="http://schemas.microsoft.com/office/drawing/2014/main" id="{0C9072B9-B802-44D0-9889-87A78A0AA3F0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0" name="TextBox 1189">
              <a:extLst>
                <a:ext uri="{FF2B5EF4-FFF2-40B4-BE49-F238E27FC236}">
                  <a16:creationId xmlns:a16="http://schemas.microsoft.com/office/drawing/2014/main" id="{AFA02860-62C5-4B90-9A70-63521112864A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90" name="TextBox 1189">
              <a:extLst>
                <a:ext uri="{FF2B5EF4-FFF2-40B4-BE49-F238E27FC236}">
                  <a16:creationId xmlns:a16="http://schemas.microsoft.com/office/drawing/2014/main" id="{AFA02860-62C5-4B90-9A70-63521112864A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1" name="TextBox 1190">
              <a:extLst>
                <a:ext uri="{FF2B5EF4-FFF2-40B4-BE49-F238E27FC236}">
                  <a16:creationId xmlns:a16="http://schemas.microsoft.com/office/drawing/2014/main" id="{B34E2977-F4DA-4BFC-9B26-3FAA4264D9D8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91" name="TextBox 1190">
              <a:extLst>
                <a:ext uri="{FF2B5EF4-FFF2-40B4-BE49-F238E27FC236}">
                  <a16:creationId xmlns:a16="http://schemas.microsoft.com/office/drawing/2014/main" id="{B34E2977-F4DA-4BFC-9B26-3FAA4264D9D8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2" name="TextBox 1191">
              <a:extLst>
                <a:ext uri="{FF2B5EF4-FFF2-40B4-BE49-F238E27FC236}">
                  <a16:creationId xmlns:a16="http://schemas.microsoft.com/office/drawing/2014/main" id="{4E892C92-BFB9-43D4-BD74-92D3974E1A3C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92" name="TextBox 1191">
              <a:extLst>
                <a:ext uri="{FF2B5EF4-FFF2-40B4-BE49-F238E27FC236}">
                  <a16:creationId xmlns:a16="http://schemas.microsoft.com/office/drawing/2014/main" id="{4E892C92-BFB9-43D4-BD74-92D3974E1A3C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3" name="TextBox 1192">
              <a:extLst>
                <a:ext uri="{FF2B5EF4-FFF2-40B4-BE49-F238E27FC236}">
                  <a16:creationId xmlns:a16="http://schemas.microsoft.com/office/drawing/2014/main" id="{7C135237-3A9D-48FE-B7E8-67145BCD7508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93" name="TextBox 1192">
              <a:extLst>
                <a:ext uri="{FF2B5EF4-FFF2-40B4-BE49-F238E27FC236}">
                  <a16:creationId xmlns:a16="http://schemas.microsoft.com/office/drawing/2014/main" id="{7C135237-3A9D-48FE-B7E8-67145BCD7508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4" name="TextBox 1193">
              <a:extLst>
                <a:ext uri="{FF2B5EF4-FFF2-40B4-BE49-F238E27FC236}">
                  <a16:creationId xmlns:a16="http://schemas.microsoft.com/office/drawing/2014/main" id="{DCB83C6C-0462-4327-A909-9B4F1DCB2817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94" name="TextBox 1193">
              <a:extLst>
                <a:ext uri="{FF2B5EF4-FFF2-40B4-BE49-F238E27FC236}">
                  <a16:creationId xmlns:a16="http://schemas.microsoft.com/office/drawing/2014/main" id="{DCB83C6C-0462-4327-A909-9B4F1DCB2817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5" name="TextBox 1194">
              <a:extLst>
                <a:ext uri="{FF2B5EF4-FFF2-40B4-BE49-F238E27FC236}">
                  <a16:creationId xmlns:a16="http://schemas.microsoft.com/office/drawing/2014/main" id="{34DA1A68-4868-46CD-BC70-0AA8064410A8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95" name="TextBox 1194">
              <a:extLst>
                <a:ext uri="{FF2B5EF4-FFF2-40B4-BE49-F238E27FC236}">
                  <a16:creationId xmlns:a16="http://schemas.microsoft.com/office/drawing/2014/main" id="{34DA1A68-4868-46CD-BC70-0AA8064410A8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6" name="TextBox 1195">
              <a:extLst>
                <a:ext uri="{FF2B5EF4-FFF2-40B4-BE49-F238E27FC236}">
                  <a16:creationId xmlns:a16="http://schemas.microsoft.com/office/drawing/2014/main" id="{13303B6B-C815-4D0E-9ACB-C7612E7AF852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96" name="TextBox 1195">
              <a:extLst>
                <a:ext uri="{FF2B5EF4-FFF2-40B4-BE49-F238E27FC236}">
                  <a16:creationId xmlns:a16="http://schemas.microsoft.com/office/drawing/2014/main" id="{13303B6B-C815-4D0E-9ACB-C7612E7AF852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7" name="TextBox 1196">
              <a:extLst>
                <a:ext uri="{FF2B5EF4-FFF2-40B4-BE49-F238E27FC236}">
                  <a16:creationId xmlns:a16="http://schemas.microsoft.com/office/drawing/2014/main" id="{7A7603A9-D22B-444B-9DE0-3849D71800E2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97" name="TextBox 1196">
              <a:extLst>
                <a:ext uri="{FF2B5EF4-FFF2-40B4-BE49-F238E27FC236}">
                  <a16:creationId xmlns:a16="http://schemas.microsoft.com/office/drawing/2014/main" id="{7A7603A9-D22B-444B-9DE0-3849D71800E2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8" name="TextBox 1197">
              <a:extLst>
                <a:ext uri="{FF2B5EF4-FFF2-40B4-BE49-F238E27FC236}">
                  <a16:creationId xmlns:a16="http://schemas.microsoft.com/office/drawing/2014/main" id="{F322CCD0-9617-4670-B53E-282F48439C35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98" name="TextBox 1197">
              <a:extLst>
                <a:ext uri="{FF2B5EF4-FFF2-40B4-BE49-F238E27FC236}">
                  <a16:creationId xmlns:a16="http://schemas.microsoft.com/office/drawing/2014/main" id="{F322CCD0-9617-4670-B53E-282F48439C35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9" name="TextBox 1198">
              <a:extLst>
                <a:ext uri="{FF2B5EF4-FFF2-40B4-BE49-F238E27FC236}">
                  <a16:creationId xmlns:a16="http://schemas.microsoft.com/office/drawing/2014/main" id="{A8F6D748-7393-40D6-8FFB-A300ED5D8DD5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99" name="TextBox 1198">
              <a:extLst>
                <a:ext uri="{FF2B5EF4-FFF2-40B4-BE49-F238E27FC236}">
                  <a16:creationId xmlns:a16="http://schemas.microsoft.com/office/drawing/2014/main" id="{A8F6D748-7393-40D6-8FFB-A300ED5D8DD5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00" name="TextBox 1199">
              <a:extLst>
                <a:ext uri="{FF2B5EF4-FFF2-40B4-BE49-F238E27FC236}">
                  <a16:creationId xmlns:a16="http://schemas.microsoft.com/office/drawing/2014/main" id="{C04EBA47-9B16-40A2-9019-98FE56B93D01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00" name="TextBox 1199">
              <a:extLst>
                <a:ext uri="{FF2B5EF4-FFF2-40B4-BE49-F238E27FC236}">
                  <a16:creationId xmlns:a16="http://schemas.microsoft.com/office/drawing/2014/main" id="{C04EBA47-9B16-40A2-9019-98FE56B93D01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01" name="TextBox 1200">
              <a:extLst>
                <a:ext uri="{FF2B5EF4-FFF2-40B4-BE49-F238E27FC236}">
                  <a16:creationId xmlns:a16="http://schemas.microsoft.com/office/drawing/2014/main" id="{9EE687DC-CB10-4F2E-A659-02082865F8B5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01" name="TextBox 1200">
              <a:extLst>
                <a:ext uri="{FF2B5EF4-FFF2-40B4-BE49-F238E27FC236}">
                  <a16:creationId xmlns:a16="http://schemas.microsoft.com/office/drawing/2014/main" id="{9EE687DC-CB10-4F2E-A659-02082865F8B5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02" name="TextBox 1201">
              <a:extLst>
                <a:ext uri="{FF2B5EF4-FFF2-40B4-BE49-F238E27FC236}">
                  <a16:creationId xmlns:a16="http://schemas.microsoft.com/office/drawing/2014/main" id="{BD021825-99D5-45C2-B2CE-0DC03AACFFE9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02" name="TextBox 1201">
              <a:extLst>
                <a:ext uri="{FF2B5EF4-FFF2-40B4-BE49-F238E27FC236}">
                  <a16:creationId xmlns:a16="http://schemas.microsoft.com/office/drawing/2014/main" id="{BD021825-99D5-45C2-B2CE-0DC03AACFFE9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03" name="TextBox 1202">
              <a:extLst>
                <a:ext uri="{FF2B5EF4-FFF2-40B4-BE49-F238E27FC236}">
                  <a16:creationId xmlns:a16="http://schemas.microsoft.com/office/drawing/2014/main" id="{1F9F33AA-F1B5-4B38-A7D1-2B384B6D467B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03" name="TextBox 1202">
              <a:extLst>
                <a:ext uri="{FF2B5EF4-FFF2-40B4-BE49-F238E27FC236}">
                  <a16:creationId xmlns:a16="http://schemas.microsoft.com/office/drawing/2014/main" id="{1F9F33AA-F1B5-4B38-A7D1-2B384B6D467B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04" name="TextBox 1203">
              <a:extLst>
                <a:ext uri="{FF2B5EF4-FFF2-40B4-BE49-F238E27FC236}">
                  <a16:creationId xmlns:a16="http://schemas.microsoft.com/office/drawing/2014/main" id="{2DC669E3-C350-4C23-A547-97DD62F11F55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04" name="TextBox 1203">
              <a:extLst>
                <a:ext uri="{FF2B5EF4-FFF2-40B4-BE49-F238E27FC236}">
                  <a16:creationId xmlns:a16="http://schemas.microsoft.com/office/drawing/2014/main" id="{2DC669E3-C350-4C23-A547-97DD62F11F55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05" name="TextBox 1204">
              <a:extLst>
                <a:ext uri="{FF2B5EF4-FFF2-40B4-BE49-F238E27FC236}">
                  <a16:creationId xmlns:a16="http://schemas.microsoft.com/office/drawing/2014/main" id="{0D46F7FA-23A3-4F7F-A77A-225731D4E410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05" name="TextBox 1204">
              <a:extLst>
                <a:ext uri="{FF2B5EF4-FFF2-40B4-BE49-F238E27FC236}">
                  <a16:creationId xmlns:a16="http://schemas.microsoft.com/office/drawing/2014/main" id="{0D46F7FA-23A3-4F7F-A77A-225731D4E410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06" name="TextBox 1205">
              <a:extLst>
                <a:ext uri="{FF2B5EF4-FFF2-40B4-BE49-F238E27FC236}">
                  <a16:creationId xmlns:a16="http://schemas.microsoft.com/office/drawing/2014/main" id="{F9F31340-59D3-48B6-A914-715CE578E14E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06" name="TextBox 1205">
              <a:extLst>
                <a:ext uri="{FF2B5EF4-FFF2-40B4-BE49-F238E27FC236}">
                  <a16:creationId xmlns:a16="http://schemas.microsoft.com/office/drawing/2014/main" id="{F9F31340-59D3-48B6-A914-715CE578E14E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07" name="TextBox 1206">
              <a:extLst>
                <a:ext uri="{FF2B5EF4-FFF2-40B4-BE49-F238E27FC236}">
                  <a16:creationId xmlns:a16="http://schemas.microsoft.com/office/drawing/2014/main" id="{16EFBB82-5F77-40FC-A41B-21175DD33498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07" name="TextBox 1206">
              <a:extLst>
                <a:ext uri="{FF2B5EF4-FFF2-40B4-BE49-F238E27FC236}">
                  <a16:creationId xmlns:a16="http://schemas.microsoft.com/office/drawing/2014/main" id="{16EFBB82-5F77-40FC-A41B-21175DD33498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08" name="TextBox 1207">
              <a:extLst>
                <a:ext uri="{FF2B5EF4-FFF2-40B4-BE49-F238E27FC236}">
                  <a16:creationId xmlns:a16="http://schemas.microsoft.com/office/drawing/2014/main" id="{522E543E-09BD-478E-A192-F2265D1C444E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08" name="TextBox 1207">
              <a:extLst>
                <a:ext uri="{FF2B5EF4-FFF2-40B4-BE49-F238E27FC236}">
                  <a16:creationId xmlns:a16="http://schemas.microsoft.com/office/drawing/2014/main" id="{522E543E-09BD-478E-A192-F2265D1C444E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09" name="TextBox 1208">
              <a:extLst>
                <a:ext uri="{FF2B5EF4-FFF2-40B4-BE49-F238E27FC236}">
                  <a16:creationId xmlns:a16="http://schemas.microsoft.com/office/drawing/2014/main" id="{21706D0E-025F-416E-BBFC-67C6EEFCB22A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09" name="TextBox 1208">
              <a:extLst>
                <a:ext uri="{FF2B5EF4-FFF2-40B4-BE49-F238E27FC236}">
                  <a16:creationId xmlns:a16="http://schemas.microsoft.com/office/drawing/2014/main" id="{21706D0E-025F-416E-BBFC-67C6EEFCB22A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0" name="TextBox 1209">
              <a:extLst>
                <a:ext uri="{FF2B5EF4-FFF2-40B4-BE49-F238E27FC236}">
                  <a16:creationId xmlns:a16="http://schemas.microsoft.com/office/drawing/2014/main" id="{2F02A61C-E845-46A9-977B-C75604833F47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10" name="TextBox 1209">
              <a:extLst>
                <a:ext uri="{FF2B5EF4-FFF2-40B4-BE49-F238E27FC236}">
                  <a16:creationId xmlns:a16="http://schemas.microsoft.com/office/drawing/2014/main" id="{2F02A61C-E845-46A9-977B-C75604833F47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1" name="TextBox 1210">
              <a:extLst>
                <a:ext uri="{FF2B5EF4-FFF2-40B4-BE49-F238E27FC236}">
                  <a16:creationId xmlns:a16="http://schemas.microsoft.com/office/drawing/2014/main" id="{AF8DE5E7-597D-4D08-A1D5-C90D9A10D767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11" name="TextBox 1210">
              <a:extLst>
                <a:ext uri="{FF2B5EF4-FFF2-40B4-BE49-F238E27FC236}">
                  <a16:creationId xmlns:a16="http://schemas.microsoft.com/office/drawing/2014/main" id="{AF8DE5E7-597D-4D08-A1D5-C90D9A10D767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2" name="TextBox 1211">
              <a:extLst>
                <a:ext uri="{FF2B5EF4-FFF2-40B4-BE49-F238E27FC236}">
                  <a16:creationId xmlns:a16="http://schemas.microsoft.com/office/drawing/2014/main" id="{CE62FC43-1B6F-4F1E-93D0-FB5E41ECDE99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12" name="TextBox 1211">
              <a:extLst>
                <a:ext uri="{FF2B5EF4-FFF2-40B4-BE49-F238E27FC236}">
                  <a16:creationId xmlns:a16="http://schemas.microsoft.com/office/drawing/2014/main" id="{CE62FC43-1B6F-4F1E-93D0-FB5E41ECDE99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3" name="TextBox 1212">
              <a:extLst>
                <a:ext uri="{FF2B5EF4-FFF2-40B4-BE49-F238E27FC236}">
                  <a16:creationId xmlns:a16="http://schemas.microsoft.com/office/drawing/2014/main" id="{221BC625-0037-4D02-B4EE-15CCA1A77051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13" name="TextBox 1212">
              <a:extLst>
                <a:ext uri="{FF2B5EF4-FFF2-40B4-BE49-F238E27FC236}">
                  <a16:creationId xmlns:a16="http://schemas.microsoft.com/office/drawing/2014/main" id="{221BC625-0037-4D02-B4EE-15CCA1A77051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4" name="TextBox 1213">
              <a:extLst>
                <a:ext uri="{FF2B5EF4-FFF2-40B4-BE49-F238E27FC236}">
                  <a16:creationId xmlns:a16="http://schemas.microsoft.com/office/drawing/2014/main" id="{188B71B1-CA2C-4AE7-817C-CC22373F67DA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14" name="TextBox 1213">
              <a:extLst>
                <a:ext uri="{FF2B5EF4-FFF2-40B4-BE49-F238E27FC236}">
                  <a16:creationId xmlns:a16="http://schemas.microsoft.com/office/drawing/2014/main" id="{188B71B1-CA2C-4AE7-817C-CC22373F67DA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5" name="TextBox 1214">
              <a:extLst>
                <a:ext uri="{FF2B5EF4-FFF2-40B4-BE49-F238E27FC236}">
                  <a16:creationId xmlns:a16="http://schemas.microsoft.com/office/drawing/2014/main" id="{1318807E-66F2-4C83-AECB-1E6DA0B21224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15" name="TextBox 1214">
              <a:extLst>
                <a:ext uri="{FF2B5EF4-FFF2-40B4-BE49-F238E27FC236}">
                  <a16:creationId xmlns:a16="http://schemas.microsoft.com/office/drawing/2014/main" id="{1318807E-66F2-4C83-AECB-1E6DA0B21224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6" name="TextBox 1215">
              <a:extLst>
                <a:ext uri="{FF2B5EF4-FFF2-40B4-BE49-F238E27FC236}">
                  <a16:creationId xmlns:a16="http://schemas.microsoft.com/office/drawing/2014/main" id="{1B1DAE4F-CDD9-4128-A0AF-9BE3F8C40996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16" name="TextBox 1215">
              <a:extLst>
                <a:ext uri="{FF2B5EF4-FFF2-40B4-BE49-F238E27FC236}">
                  <a16:creationId xmlns:a16="http://schemas.microsoft.com/office/drawing/2014/main" id="{1B1DAE4F-CDD9-4128-A0AF-9BE3F8C40996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7" name="TextBox 1216">
              <a:extLst>
                <a:ext uri="{FF2B5EF4-FFF2-40B4-BE49-F238E27FC236}">
                  <a16:creationId xmlns:a16="http://schemas.microsoft.com/office/drawing/2014/main" id="{1C2C3EA9-EA07-4D49-A801-97883957882B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17" name="TextBox 1216">
              <a:extLst>
                <a:ext uri="{FF2B5EF4-FFF2-40B4-BE49-F238E27FC236}">
                  <a16:creationId xmlns:a16="http://schemas.microsoft.com/office/drawing/2014/main" id="{1C2C3EA9-EA07-4D49-A801-97883957882B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8" name="TextBox 1217">
              <a:extLst>
                <a:ext uri="{FF2B5EF4-FFF2-40B4-BE49-F238E27FC236}">
                  <a16:creationId xmlns:a16="http://schemas.microsoft.com/office/drawing/2014/main" id="{FD39F666-2973-4B9A-B707-E1040BCB7FBC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18" name="TextBox 1217">
              <a:extLst>
                <a:ext uri="{FF2B5EF4-FFF2-40B4-BE49-F238E27FC236}">
                  <a16:creationId xmlns:a16="http://schemas.microsoft.com/office/drawing/2014/main" id="{FD39F666-2973-4B9A-B707-E1040BCB7FBC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9" name="TextBox 1218">
              <a:extLst>
                <a:ext uri="{FF2B5EF4-FFF2-40B4-BE49-F238E27FC236}">
                  <a16:creationId xmlns:a16="http://schemas.microsoft.com/office/drawing/2014/main" id="{820AD952-57F4-45F2-B114-3D516F4268AD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19" name="TextBox 1218">
              <a:extLst>
                <a:ext uri="{FF2B5EF4-FFF2-40B4-BE49-F238E27FC236}">
                  <a16:creationId xmlns:a16="http://schemas.microsoft.com/office/drawing/2014/main" id="{820AD952-57F4-45F2-B114-3D516F4268AD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0" name="TextBox 1219">
              <a:extLst>
                <a:ext uri="{FF2B5EF4-FFF2-40B4-BE49-F238E27FC236}">
                  <a16:creationId xmlns:a16="http://schemas.microsoft.com/office/drawing/2014/main" id="{B484BC23-F7FD-4C24-AEEA-5B1C3D2658ED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20" name="TextBox 1219">
              <a:extLst>
                <a:ext uri="{FF2B5EF4-FFF2-40B4-BE49-F238E27FC236}">
                  <a16:creationId xmlns:a16="http://schemas.microsoft.com/office/drawing/2014/main" id="{B484BC23-F7FD-4C24-AEEA-5B1C3D2658ED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1" name="TextBox 1220">
              <a:extLst>
                <a:ext uri="{FF2B5EF4-FFF2-40B4-BE49-F238E27FC236}">
                  <a16:creationId xmlns:a16="http://schemas.microsoft.com/office/drawing/2014/main" id="{45002091-8C4A-4D07-8E21-6F75D11ECEEF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21" name="TextBox 1220">
              <a:extLst>
                <a:ext uri="{FF2B5EF4-FFF2-40B4-BE49-F238E27FC236}">
                  <a16:creationId xmlns:a16="http://schemas.microsoft.com/office/drawing/2014/main" id="{45002091-8C4A-4D07-8E21-6F75D11ECEEF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2" name="TextBox 1221">
              <a:extLst>
                <a:ext uri="{FF2B5EF4-FFF2-40B4-BE49-F238E27FC236}">
                  <a16:creationId xmlns:a16="http://schemas.microsoft.com/office/drawing/2014/main" id="{95B32F35-0407-4E8F-9AC5-228914A24362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22" name="TextBox 1221">
              <a:extLst>
                <a:ext uri="{FF2B5EF4-FFF2-40B4-BE49-F238E27FC236}">
                  <a16:creationId xmlns:a16="http://schemas.microsoft.com/office/drawing/2014/main" id="{95B32F35-0407-4E8F-9AC5-228914A24362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3" name="TextBox 1222">
              <a:extLst>
                <a:ext uri="{FF2B5EF4-FFF2-40B4-BE49-F238E27FC236}">
                  <a16:creationId xmlns:a16="http://schemas.microsoft.com/office/drawing/2014/main" id="{B9E1DACD-00C2-4037-B8B6-1A6F107B77EE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23" name="TextBox 1222">
              <a:extLst>
                <a:ext uri="{FF2B5EF4-FFF2-40B4-BE49-F238E27FC236}">
                  <a16:creationId xmlns:a16="http://schemas.microsoft.com/office/drawing/2014/main" id="{B9E1DACD-00C2-4037-B8B6-1A6F107B77EE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4" name="TextBox 1223">
              <a:extLst>
                <a:ext uri="{FF2B5EF4-FFF2-40B4-BE49-F238E27FC236}">
                  <a16:creationId xmlns:a16="http://schemas.microsoft.com/office/drawing/2014/main" id="{457F3607-4F7F-4D6F-AF31-58D6580FCDD5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24" name="TextBox 1223">
              <a:extLst>
                <a:ext uri="{FF2B5EF4-FFF2-40B4-BE49-F238E27FC236}">
                  <a16:creationId xmlns:a16="http://schemas.microsoft.com/office/drawing/2014/main" id="{457F3607-4F7F-4D6F-AF31-58D6580FCDD5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5" name="TextBox 1224">
              <a:extLst>
                <a:ext uri="{FF2B5EF4-FFF2-40B4-BE49-F238E27FC236}">
                  <a16:creationId xmlns:a16="http://schemas.microsoft.com/office/drawing/2014/main" id="{12F78445-7EF9-4528-B761-4C0A3A4913D3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25" name="TextBox 1224">
              <a:extLst>
                <a:ext uri="{FF2B5EF4-FFF2-40B4-BE49-F238E27FC236}">
                  <a16:creationId xmlns:a16="http://schemas.microsoft.com/office/drawing/2014/main" id="{12F78445-7EF9-4528-B761-4C0A3A4913D3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6" name="TextBox 1225">
              <a:extLst>
                <a:ext uri="{FF2B5EF4-FFF2-40B4-BE49-F238E27FC236}">
                  <a16:creationId xmlns:a16="http://schemas.microsoft.com/office/drawing/2014/main" id="{79663D75-043A-46A5-8032-C4D6FCC1C3EE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26" name="TextBox 1225">
              <a:extLst>
                <a:ext uri="{FF2B5EF4-FFF2-40B4-BE49-F238E27FC236}">
                  <a16:creationId xmlns:a16="http://schemas.microsoft.com/office/drawing/2014/main" id="{79663D75-043A-46A5-8032-C4D6FCC1C3EE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7" name="TextBox 1226">
              <a:extLst>
                <a:ext uri="{FF2B5EF4-FFF2-40B4-BE49-F238E27FC236}">
                  <a16:creationId xmlns:a16="http://schemas.microsoft.com/office/drawing/2014/main" id="{980578F7-36E9-4247-A211-0C9241275B9A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27" name="TextBox 1226">
              <a:extLst>
                <a:ext uri="{FF2B5EF4-FFF2-40B4-BE49-F238E27FC236}">
                  <a16:creationId xmlns:a16="http://schemas.microsoft.com/office/drawing/2014/main" id="{980578F7-36E9-4247-A211-0C9241275B9A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8" name="TextBox 1227">
              <a:extLst>
                <a:ext uri="{FF2B5EF4-FFF2-40B4-BE49-F238E27FC236}">
                  <a16:creationId xmlns:a16="http://schemas.microsoft.com/office/drawing/2014/main" id="{5CAB503B-9234-43C6-9E7B-09DE3E132F6D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28" name="TextBox 1227">
              <a:extLst>
                <a:ext uri="{FF2B5EF4-FFF2-40B4-BE49-F238E27FC236}">
                  <a16:creationId xmlns:a16="http://schemas.microsoft.com/office/drawing/2014/main" id="{5CAB503B-9234-43C6-9E7B-09DE3E132F6D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9" name="TextBox 1228">
              <a:extLst>
                <a:ext uri="{FF2B5EF4-FFF2-40B4-BE49-F238E27FC236}">
                  <a16:creationId xmlns:a16="http://schemas.microsoft.com/office/drawing/2014/main" id="{F095068C-0C25-4BC4-AD42-A965A02DDF03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29" name="TextBox 1228">
              <a:extLst>
                <a:ext uri="{FF2B5EF4-FFF2-40B4-BE49-F238E27FC236}">
                  <a16:creationId xmlns:a16="http://schemas.microsoft.com/office/drawing/2014/main" id="{F095068C-0C25-4BC4-AD42-A965A02DDF03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0" name="TextBox 1229">
              <a:extLst>
                <a:ext uri="{FF2B5EF4-FFF2-40B4-BE49-F238E27FC236}">
                  <a16:creationId xmlns:a16="http://schemas.microsoft.com/office/drawing/2014/main" id="{E0B66463-74F6-4F36-B15E-C0BC4128DCD1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30" name="TextBox 1229">
              <a:extLst>
                <a:ext uri="{FF2B5EF4-FFF2-40B4-BE49-F238E27FC236}">
                  <a16:creationId xmlns:a16="http://schemas.microsoft.com/office/drawing/2014/main" id="{E0B66463-74F6-4F36-B15E-C0BC4128DCD1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1" name="TextBox 1230">
              <a:extLst>
                <a:ext uri="{FF2B5EF4-FFF2-40B4-BE49-F238E27FC236}">
                  <a16:creationId xmlns:a16="http://schemas.microsoft.com/office/drawing/2014/main" id="{A1320646-1B49-42DB-8E30-D81D734CAF7E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31" name="TextBox 1230">
              <a:extLst>
                <a:ext uri="{FF2B5EF4-FFF2-40B4-BE49-F238E27FC236}">
                  <a16:creationId xmlns:a16="http://schemas.microsoft.com/office/drawing/2014/main" id="{A1320646-1B49-42DB-8E30-D81D734CAF7E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2" name="TextBox 1231">
              <a:extLst>
                <a:ext uri="{FF2B5EF4-FFF2-40B4-BE49-F238E27FC236}">
                  <a16:creationId xmlns:a16="http://schemas.microsoft.com/office/drawing/2014/main" id="{940023CF-7110-4D69-84A4-45FC603C6955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32" name="TextBox 1231">
              <a:extLst>
                <a:ext uri="{FF2B5EF4-FFF2-40B4-BE49-F238E27FC236}">
                  <a16:creationId xmlns:a16="http://schemas.microsoft.com/office/drawing/2014/main" id="{940023CF-7110-4D69-84A4-45FC603C6955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3" name="TextBox 1232">
              <a:extLst>
                <a:ext uri="{FF2B5EF4-FFF2-40B4-BE49-F238E27FC236}">
                  <a16:creationId xmlns:a16="http://schemas.microsoft.com/office/drawing/2014/main" id="{A60E422B-A4BE-4073-930F-E0C01FD3C17B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33" name="TextBox 1232">
              <a:extLst>
                <a:ext uri="{FF2B5EF4-FFF2-40B4-BE49-F238E27FC236}">
                  <a16:creationId xmlns:a16="http://schemas.microsoft.com/office/drawing/2014/main" id="{A60E422B-A4BE-4073-930F-E0C01FD3C17B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4" name="TextBox 1233">
              <a:extLst>
                <a:ext uri="{FF2B5EF4-FFF2-40B4-BE49-F238E27FC236}">
                  <a16:creationId xmlns:a16="http://schemas.microsoft.com/office/drawing/2014/main" id="{1D9FF03C-C421-45C4-BEAC-3F935B9E3E5C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34" name="TextBox 1233">
              <a:extLst>
                <a:ext uri="{FF2B5EF4-FFF2-40B4-BE49-F238E27FC236}">
                  <a16:creationId xmlns:a16="http://schemas.microsoft.com/office/drawing/2014/main" id="{1D9FF03C-C421-45C4-BEAC-3F935B9E3E5C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5" name="TextBox 1234">
              <a:extLst>
                <a:ext uri="{FF2B5EF4-FFF2-40B4-BE49-F238E27FC236}">
                  <a16:creationId xmlns:a16="http://schemas.microsoft.com/office/drawing/2014/main" id="{8C7750D3-C5A5-49E9-B699-EC58E135D2C8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35" name="TextBox 1234">
              <a:extLst>
                <a:ext uri="{FF2B5EF4-FFF2-40B4-BE49-F238E27FC236}">
                  <a16:creationId xmlns:a16="http://schemas.microsoft.com/office/drawing/2014/main" id="{8C7750D3-C5A5-49E9-B699-EC58E135D2C8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6" name="TextBox 1235">
              <a:extLst>
                <a:ext uri="{FF2B5EF4-FFF2-40B4-BE49-F238E27FC236}">
                  <a16:creationId xmlns:a16="http://schemas.microsoft.com/office/drawing/2014/main" id="{045A5CDC-E387-497B-9BFB-35C72785B85D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36" name="TextBox 1235">
              <a:extLst>
                <a:ext uri="{FF2B5EF4-FFF2-40B4-BE49-F238E27FC236}">
                  <a16:creationId xmlns:a16="http://schemas.microsoft.com/office/drawing/2014/main" id="{045A5CDC-E387-497B-9BFB-35C72785B85D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7" name="TextBox 1236">
              <a:extLst>
                <a:ext uri="{FF2B5EF4-FFF2-40B4-BE49-F238E27FC236}">
                  <a16:creationId xmlns:a16="http://schemas.microsoft.com/office/drawing/2014/main" id="{6E820067-78BE-491D-BB55-BECA93EA044C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37" name="TextBox 1236">
              <a:extLst>
                <a:ext uri="{FF2B5EF4-FFF2-40B4-BE49-F238E27FC236}">
                  <a16:creationId xmlns:a16="http://schemas.microsoft.com/office/drawing/2014/main" id="{6E820067-78BE-491D-BB55-BECA93EA044C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8" name="TextBox 1237">
              <a:extLst>
                <a:ext uri="{FF2B5EF4-FFF2-40B4-BE49-F238E27FC236}">
                  <a16:creationId xmlns:a16="http://schemas.microsoft.com/office/drawing/2014/main" id="{699CA9AA-9926-4C2C-BDC0-6D8D092967B9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38" name="TextBox 1237">
              <a:extLst>
                <a:ext uri="{FF2B5EF4-FFF2-40B4-BE49-F238E27FC236}">
                  <a16:creationId xmlns:a16="http://schemas.microsoft.com/office/drawing/2014/main" id="{699CA9AA-9926-4C2C-BDC0-6D8D092967B9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9" name="TextBox 1238">
              <a:extLst>
                <a:ext uri="{FF2B5EF4-FFF2-40B4-BE49-F238E27FC236}">
                  <a16:creationId xmlns:a16="http://schemas.microsoft.com/office/drawing/2014/main" id="{6512F4E7-7263-47B2-8662-DFD3D00B3902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39" name="TextBox 1238">
              <a:extLst>
                <a:ext uri="{FF2B5EF4-FFF2-40B4-BE49-F238E27FC236}">
                  <a16:creationId xmlns:a16="http://schemas.microsoft.com/office/drawing/2014/main" id="{6512F4E7-7263-47B2-8662-DFD3D00B3902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40" name="TextBox 1239">
              <a:extLst>
                <a:ext uri="{FF2B5EF4-FFF2-40B4-BE49-F238E27FC236}">
                  <a16:creationId xmlns:a16="http://schemas.microsoft.com/office/drawing/2014/main" id="{41D6F2AA-9D6D-4C41-9778-4478E1488098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40" name="TextBox 1239">
              <a:extLst>
                <a:ext uri="{FF2B5EF4-FFF2-40B4-BE49-F238E27FC236}">
                  <a16:creationId xmlns:a16="http://schemas.microsoft.com/office/drawing/2014/main" id="{41D6F2AA-9D6D-4C41-9778-4478E1488098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41" name="TextBox 1240">
              <a:extLst>
                <a:ext uri="{FF2B5EF4-FFF2-40B4-BE49-F238E27FC236}">
                  <a16:creationId xmlns:a16="http://schemas.microsoft.com/office/drawing/2014/main" id="{24C3E1BF-B3C0-425D-9138-AD9A01288C1B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41" name="TextBox 1240">
              <a:extLst>
                <a:ext uri="{FF2B5EF4-FFF2-40B4-BE49-F238E27FC236}">
                  <a16:creationId xmlns:a16="http://schemas.microsoft.com/office/drawing/2014/main" id="{24C3E1BF-B3C0-425D-9138-AD9A01288C1B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42" name="TextBox 1241">
              <a:extLst>
                <a:ext uri="{FF2B5EF4-FFF2-40B4-BE49-F238E27FC236}">
                  <a16:creationId xmlns:a16="http://schemas.microsoft.com/office/drawing/2014/main" id="{E61C26CA-6EA1-462D-9937-E0E13035B6A1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42" name="TextBox 1241">
              <a:extLst>
                <a:ext uri="{FF2B5EF4-FFF2-40B4-BE49-F238E27FC236}">
                  <a16:creationId xmlns:a16="http://schemas.microsoft.com/office/drawing/2014/main" id="{E61C26CA-6EA1-462D-9937-E0E13035B6A1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43" name="TextBox 1242">
              <a:extLst>
                <a:ext uri="{FF2B5EF4-FFF2-40B4-BE49-F238E27FC236}">
                  <a16:creationId xmlns:a16="http://schemas.microsoft.com/office/drawing/2014/main" id="{0F47C0EF-1C71-40D4-B1E3-6181507547EE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43" name="TextBox 1242">
              <a:extLst>
                <a:ext uri="{FF2B5EF4-FFF2-40B4-BE49-F238E27FC236}">
                  <a16:creationId xmlns:a16="http://schemas.microsoft.com/office/drawing/2014/main" id="{0F47C0EF-1C71-40D4-B1E3-6181507547EE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44" name="TextBox 1243">
              <a:extLst>
                <a:ext uri="{FF2B5EF4-FFF2-40B4-BE49-F238E27FC236}">
                  <a16:creationId xmlns:a16="http://schemas.microsoft.com/office/drawing/2014/main" id="{AEF77003-A81E-49B3-A09F-0450FA25B61F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44" name="TextBox 1243">
              <a:extLst>
                <a:ext uri="{FF2B5EF4-FFF2-40B4-BE49-F238E27FC236}">
                  <a16:creationId xmlns:a16="http://schemas.microsoft.com/office/drawing/2014/main" id="{AEF77003-A81E-49B3-A09F-0450FA25B61F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45" name="TextBox 1244">
              <a:extLst>
                <a:ext uri="{FF2B5EF4-FFF2-40B4-BE49-F238E27FC236}">
                  <a16:creationId xmlns:a16="http://schemas.microsoft.com/office/drawing/2014/main" id="{5EA41498-5837-413A-B204-1CFAF0842091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45" name="TextBox 1244">
              <a:extLst>
                <a:ext uri="{FF2B5EF4-FFF2-40B4-BE49-F238E27FC236}">
                  <a16:creationId xmlns:a16="http://schemas.microsoft.com/office/drawing/2014/main" id="{5EA41498-5837-413A-B204-1CFAF0842091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46" name="TextBox 1245">
              <a:extLst>
                <a:ext uri="{FF2B5EF4-FFF2-40B4-BE49-F238E27FC236}">
                  <a16:creationId xmlns:a16="http://schemas.microsoft.com/office/drawing/2014/main" id="{DA2450E9-6644-428C-BFDD-F2472AA86848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46" name="TextBox 1245">
              <a:extLst>
                <a:ext uri="{FF2B5EF4-FFF2-40B4-BE49-F238E27FC236}">
                  <a16:creationId xmlns:a16="http://schemas.microsoft.com/office/drawing/2014/main" id="{DA2450E9-6644-428C-BFDD-F2472AA86848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47" name="TextBox 1246">
              <a:extLst>
                <a:ext uri="{FF2B5EF4-FFF2-40B4-BE49-F238E27FC236}">
                  <a16:creationId xmlns:a16="http://schemas.microsoft.com/office/drawing/2014/main" id="{F5643557-E959-4EFE-9981-CA937B8B8438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47" name="TextBox 1246">
              <a:extLst>
                <a:ext uri="{FF2B5EF4-FFF2-40B4-BE49-F238E27FC236}">
                  <a16:creationId xmlns:a16="http://schemas.microsoft.com/office/drawing/2014/main" id="{F5643557-E959-4EFE-9981-CA937B8B8438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48" name="TextBox 1247">
              <a:extLst>
                <a:ext uri="{FF2B5EF4-FFF2-40B4-BE49-F238E27FC236}">
                  <a16:creationId xmlns:a16="http://schemas.microsoft.com/office/drawing/2014/main" id="{49E4EE70-E88E-42A7-92F5-BF3C7C64D2C4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48" name="TextBox 1247">
              <a:extLst>
                <a:ext uri="{FF2B5EF4-FFF2-40B4-BE49-F238E27FC236}">
                  <a16:creationId xmlns:a16="http://schemas.microsoft.com/office/drawing/2014/main" id="{49E4EE70-E88E-42A7-92F5-BF3C7C64D2C4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49" name="TextBox 1248">
              <a:extLst>
                <a:ext uri="{FF2B5EF4-FFF2-40B4-BE49-F238E27FC236}">
                  <a16:creationId xmlns:a16="http://schemas.microsoft.com/office/drawing/2014/main" id="{8C279EFB-F8F0-4308-ACEE-DD09B7F06A30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49" name="TextBox 1248">
              <a:extLst>
                <a:ext uri="{FF2B5EF4-FFF2-40B4-BE49-F238E27FC236}">
                  <a16:creationId xmlns:a16="http://schemas.microsoft.com/office/drawing/2014/main" id="{8C279EFB-F8F0-4308-ACEE-DD09B7F06A30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0" name="TextBox 1249">
              <a:extLst>
                <a:ext uri="{FF2B5EF4-FFF2-40B4-BE49-F238E27FC236}">
                  <a16:creationId xmlns:a16="http://schemas.microsoft.com/office/drawing/2014/main" id="{666433E5-8E01-4D11-A479-834BCE1AA985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50" name="TextBox 1249">
              <a:extLst>
                <a:ext uri="{FF2B5EF4-FFF2-40B4-BE49-F238E27FC236}">
                  <a16:creationId xmlns:a16="http://schemas.microsoft.com/office/drawing/2014/main" id="{666433E5-8E01-4D11-A479-834BCE1AA985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1" name="TextBox 1250">
              <a:extLst>
                <a:ext uri="{FF2B5EF4-FFF2-40B4-BE49-F238E27FC236}">
                  <a16:creationId xmlns:a16="http://schemas.microsoft.com/office/drawing/2014/main" id="{1327D3CF-A2D8-43A4-AD4D-E728EF729560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51" name="TextBox 1250">
              <a:extLst>
                <a:ext uri="{FF2B5EF4-FFF2-40B4-BE49-F238E27FC236}">
                  <a16:creationId xmlns:a16="http://schemas.microsoft.com/office/drawing/2014/main" id="{1327D3CF-A2D8-43A4-AD4D-E728EF729560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2" name="TextBox 1251">
              <a:extLst>
                <a:ext uri="{FF2B5EF4-FFF2-40B4-BE49-F238E27FC236}">
                  <a16:creationId xmlns:a16="http://schemas.microsoft.com/office/drawing/2014/main" id="{C8D888A8-2610-43D6-BAC9-53D710718A47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52" name="TextBox 1251">
              <a:extLst>
                <a:ext uri="{FF2B5EF4-FFF2-40B4-BE49-F238E27FC236}">
                  <a16:creationId xmlns:a16="http://schemas.microsoft.com/office/drawing/2014/main" id="{C8D888A8-2610-43D6-BAC9-53D710718A47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3" name="TextBox 1252">
              <a:extLst>
                <a:ext uri="{FF2B5EF4-FFF2-40B4-BE49-F238E27FC236}">
                  <a16:creationId xmlns:a16="http://schemas.microsoft.com/office/drawing/2014/main" id="{E85EA3B7-5A40-4D77-9594-9BE6B8571EDC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53" name="TextBox 1252">
              <a:extLst>
                <a:ext uri="{FF2B5EF4-FFF2-40B4-BE49-F238E27FC236}">
                  <a16:creationId xmlns:a16="http://schemas.microsoft.com/office/drawing/2014/main" id="{E85EA3B7-5A40-4D77-9594-9BE6B8571EDC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4" name="TextBox 1253">
              <a:extLst>
                <a:ext uri="{FF2B5EF4-FFF2-40B4-BE49-F238E27FC236}">
                  <a16:creationId xmlns:a16="http://schemas.microsoft.com/office/drawing/2014/main" id="{2DF5DA6D-D21E-498D-A3CD-F8B49A094B76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54" name="TextBox 1253">
              <a:extLst>
                <a:ext uri="{FF2B5EF4-FFF2-40B4-BE49-F238E27FC236}">
                  <a16:creationId xmlns:a16="http://schemas.microsoft.com/office/drawing/2014/main" id="{2DF5DA6D-D21E-498D-A3CD-F8B49A094B76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5" name="TextBox 1254">
              <a:extLst>
                <a:ext uri="{FF2B5EF4-FFF2-40B4-BE49-F238E27FC236}">
                  <a16:creationId xmlns:a16="http://schemas.microsoft.com/office/drawing/2014/main" id="{EB452C87-97B3-46F8-B5C7-166C3FC4E130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55" name="TextBox 1254">
              <a:extLst>
                <a:ext uri="{FF2B5EF4-FFF2-40B4-BE49-F238E27FC236}">
                  <a16:creationId xmlns:a16="http://schemas.microsoft.com/office/drawing/2014/main" id="{EB452C87-97B3-46F8-B5C7-166C3FC4E130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6" name="TextBox 1255">
              <a:extLst>
                <a:ext uri="{FF2B5EF4-FFF2-40B4-BE49-F238E27FC236}">
                  <a16:creationId xmlns:a16="http://schemas.microsoft.com/office/drawing/2014/main" id="{ED5229F7-5974-4326-BACD-C4893AC2E139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56" name="TextBox 1255">
              <a:extLst>
                <a:ext uri="{FF2B5EF4-FFF2-40B4-BE49-F238E27FC236}">
                  <a16:creationId xmlns:a16="http://schemas.microsoft.com/office/drawing/2014/main" id="{ED5229F7-5974-4326-BACD-C4893AC2E139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7" name="TextBox 1256">
              <a:extLst>
                <a:ext uri="{FF2B5EF4-FFF2-40B4-BE49-F238E27FC236}">
                  <a16:creationId xmlns:a16="http://schemas.microsoft.com/office/drawing/2014/main" id="{43AAE694-4B38-40CC-A038-06EDF4BA2DCE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57" name="TextBox 1256">
              <a:extLst>
                <a:ext uri="{FF2B5EF4-FFF2-40B4-BE49-F238E27FC236}">
                  <a16:creationId xmlns:a16="http://schemas.microsoft.com/office/drawing/2014/main" id="{43AAE694-4B38-40CC-A038-06EDF4BA2DCE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8" name="TextBox 1257">
              <a:extLst>
                <a:ext uri="{FF2B5EF4-FFF2-40B4-BE49-F238E27FC236}">
                  <a16:creationId xmlns:a16="http://schemas.microsoft.com/office/drawing/2014/main" id="{08160045-D9C6-4AFF-B825-281BB1C155CA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58" name="TextBox 1257">
              <a:extLst>
                <a:ext uri="{FF2B5EF4-FFF2-40B4-BE49-F238E27FC236}">
                  <a16:creationId xmlns:a16="http://schemas.microsoft.com/office/drawing/2014/main" id="{08160045-D9C6-4AFF-B825-281BB1C155CA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9" name="TextBox 1258">
              <a:extLst>
                <a:ext uri="{FF2B5EF4-FFF2-40B4-BE49-F238E27FC236}">
                  <a16:creationId xmlns:a16="http://schemas.microsoft.com/office/drawing/2014/main" id="{1461ABC6-2B55-446D-8C35-4F472F7AC271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59" name="TextBox 1258">
              <a:extLst>
                <a:ext uri="{FF2B5EF4-FFF2-40B4-BE49-F238E27FC236}">
                  <a16:creationId xmlns:a16="http://schemas.microsoft.com/office/drawing/2014/main" id="{1461ABC6-2B55-446D-8C35-4F472F7AC271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0" name="TextBox 1259">
              <a:extLst>
                <a:ext uri="{FF2B5EF4-FFF2-40B4-BE49-F238E27FC236}">
                  <a16:creationId xmlns:a16="http://schemas.microsoft.com/office/drawing/2014/main" id="{EE9A3F57-DD85-407F-BA9B-6ACB4BE5A6AD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60" name="TextBox 1259">
              <a:extLst>
                <a:ext uri="{FF2B5EF4-FFF2-40B4-BE49-F238E27FC236}">
                  <a16:creationId xmlns:a16="http://schemas.microsoft.com/office/drawing/2014/main" id="{EE9A3F57-DD85-407F-BA9B-6ACB4BE5A6AD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1" name="TextBox 1260">
              <a:extLst>
                <a:ext uri="{FF2B5EF4-FFF2-40B4-BE49-F238E27FC236}">
                  <a16:creationId xmlns:a16="http://schemas.microsoft.com/office/drawing/2014/main" id="{726BE4D8-C281-4F34-9C0B-02CF710BC3E2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61" name="TextBox 1260">
              <a:extLst>
                <a:ext uri="{FF2B5EF4-FFF2-40B4-BE49-F238E27FC236}">
                  <a16:creationId xmlns:a16="http://schemas.microsoft.com/office/drawing/2014/main" id="{726BE4D8-C281-4F34-9C0B-02CF710BC3E2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2" name="TextBox 1261">
              <a:extLst>
                <a:ext uri="{FF2B5EF4-FFF2-40B4-BE49-F238E27FC236}">
                  <a16:creationId xmlns:a16="http://schemas.microsoft.com/office/drawing/2014/main" id="{318103DB-B704-4232-BD90-16961CF1C9A8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62" name="TextBox 1261">
              <a:extLst>
                <a:ext uri="{FF2B5EF4-FFF2-40B4-BE49-F238E27FC236}">
                  <a16:creationId xmlns:a16="http://schemas.microsoft.com/office/drawing/2014/main" id="{318103DB-B704-4232-BD90-16961CF1C9A8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3" name="TextBox 1262">
              <a:extLst>
                <a:ext uri="{FF2B5EF4-FFF2-40B4-BE49-F238E27FC236}">
                  <a16:creationId xmlns:a16="http://schemas.microsoft.com/office/drawing/2014/main" id="{D7B5F824-8541-4CF1-BE60-0B0D8AC7D584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63" name="TextBox 1262">
              <a:extLst>
                <a:ext uri="{FF2B5EF4-FFF2-40B4-BE49-F238E27FC236}">
                  <a16:creationId xmlns:a16="http://schemas.microsoft.com/office/drawing/2014/main" id="{D7B5F824-8541-4CF1-BE60-0B0D8AC7D584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4" name="TextBox 1263">
              <a:extLst>
                <a:ext uri="{FF2B5EF4-FFF2-40B4-BE49-F238E27FC236}">
                  <a16:creationId xmlns:a16="http://schemas.microsoft.com/office/drawing/2014/main" id="{5176DFC3-C464-4C1F-899E-A94714F6F412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64" name="TextBox 1263">
              <a:extLst>
                <a:ext uri="{FF2B5EF4-FFF2-40B4-BE49-F238E27FC236}">
                  <a16:creationId xmlns:a16="http://schemas.microsoft.com/office/drawing/2014/main" id="{5176DFC3-C464-4C1F-899E-A94714F6F412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5" name="TextBox 1264">
              <a:extLst>
                <a:ext uri="{FF2B5EF4-FFF2-40B4-BE49-F238E27FC236}">
                  <a16:creationId xmlns:a16="http://schemas.microsoft.com/office/drawing/2014/main" id="{77D72E74-F712-4867-9E8A-0912444AA09D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65" name="TextBox 1264">
              <a:extLst>
                <a:ext uri="{FF2B5EF4-FFF2-40B4-BE49-F238E27FC236}">
                  <a16:creationId xmlns:a16="http://schemas.microsoft.com/office/drawing/2014/main" id="{77D72E74-F712-4867-9E8A-0912444AA09D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6" name="TextBox 1265">
              <a:extLst>
                <a:ext uri="{FF2B5EF4-FFF2-40B4-BE49-F238E27FC236}">
                  <a16:creationId xmlns:a16="http://schemas.microsoft.com/office/drawing/2014/main" id="{EF2D60B0-71E9-4EA9-A6A0-E76FF7206942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66" name="TextBox 1265">
              <a:extLst>
                <a:ext uri="{FF2B5EF4-FFF2-40B4-BE49-F238E27FC236}">
                  <a16:creationId xmlns:a16="http://schemas.microsoft.com/office/drawing/2014/main" id="{EF2D60B0-71E9-4EA9-A6A0-E76FF7206942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7" name="TextBox 1266">
              <a:extLst>
                <a:ext uri="{FF2B5EF4-FFF2-40B4-BE49-F238E27FC236}">
                  <a16:creationId xmlns:a16="http://schemas.microsoft.com/office/drawing/2014/main" id="{F31DAF6D-330D-4912-A1AE-EA20F4B68E6C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67" name="TextBox 1266">
              <a:extLst>
                <a:ext uri="{FF2B5EF4-FFF2-40B4-BE49-F238E27FC236}">
                  <a16:creationId xmlns:a16="http://schemas.microsoft.com/office/drawing/2014/main" id="{F31DAF6D-330D-4912-A1AE-EA20F4B68E6C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8" name="TextBox 1267">
              <a:extLst>
                <a:ext uri="{FF2B5EF4-FFF2-40B4-BE49-F238E27FC236}">
                  <a16:creationId xmlns:a16="http://schemas.microsoft.com/office/drawing/2014/main" id="{19A4735F-974D-4572-B29C-ACEEE4E3D3F9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68" name="TextBox 1267">
              <a:extLst>
                <a:ext uri="{FF2B5EF4-FFF2-40B4-BE49-F238E27FC236}">
                  <a16:creationId xmlns:a16="http://schemas.microsoft.com/office/drawing/2014/main" id="{19A4735F-974D-4572-B29C-ACEEE4E3D3F9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9" name="TextBox 1268">
              <a:extLst>
                <a:ext uri="{FF2B5EF4-FFF2-40B4-BE49-F238E27FC236}">
                  <a16:creationId xmlns:a16="http://schemas.microsoft.com/office/drawing/2014/main" id="{6B1305D1-0AE8-46C7-9912-D016EE23DC0B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69" name="TextBox 1268">
              <a:extLst>
                <a:ext uri="{FF2B5EF4-FFF2-40B4-BE49-F238E27FC236}">
                  <a16:creationId xmlns:a16="http://schemas.microsoft.com/office/drawing/2014/main" id="{6B1305D1-0AE8-46C7-9912-D016EE23DC0B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70" name="TextBox 1269">
              <a:extLst>
                <a:ext uri="{FF2B5EF4-FFF2-40B4-BE49-F238E27FC236}">
                  <a16:creationId xmlns:a16="http://schemas.microsoft.com/office/drawing/2014/main" id="{1C4B6BAE-0056-4F9D-85F7-9B363C659E44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70" name="TextBox 1269">
              <a:extLst>
                <a:ext uri="{FF2B5EF4-FFF2-40B4-BE49-F238E27FC236}">
                  <a16:creationId xmlns:a16="http://schemas.microsoft.com/office/drawing/2014/main" id="{1C4B6BAE-0056-4F9D-85F7-9B363C659E44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71" name="TextBox 1270">
              <a:extLst>
                <a:ext uri="{FF2B5EF4-FFF2-40B4-BE49-F238E27FC236}">
                  <a16:creationId xmlns:a16="http://schemas.microsoft.com/office/drawing/2014/main" id="{0E119414-A015-4EAD-AE5F-A5C907ADC791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71" name="TextBox 1270">
              <a:extLst>
                <a:ext uri="{FF2B5EF4-FFF2-40B4-BE49-F238E27FC236}">
                  <a16:creationId xmlns:a16="http://schemas.microsoft.com/office/drawing/2014/main" id="{0E119414-A015-4EAD-AE5F-A5C907ADC791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72" name="TextBox 1271">
              <a:extLst>
                <a:ext uri="{FF2B5EF4-FFF2-40B4-BE49-F238E27FC236}">
                  <a16:creationId xmlns:a16="http://schemas.microsoft.com/office/drawing/2014/main" id="{8A6AAFAF-EFA5-433F-81F4-42B1186AD04D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72" name="TextBox 1271">
              <a:extLst>
                <a:ext uri="{FF2B5EF4-FFF2-40B4-BE49-F238E27FC236}">
                  <a16:creationId xmlns:a16="http://schemas.microsoft.com/office/drawing/2014/main" id="{8A6AAFAF-EFA5-433F-81F4-42B1186AD04D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73" name="TextBox 1272">
              <a:extLst>
                <a:ext uri="{FF2B5EF4-FFF2-40B4-BE49-F238E27FC236}">
                  <a16:creationId xmlns:a16="http://schemas.microsoft.com/office/drawing/2014/main" id="{8073A9A8-8991-4E6C-8139-5CAD17221A08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73" name="TextBox 1272">
              <a:extLst>
                <a:ext uri="{FF2B5EF4-FFF2-40B4-BE49-F238E27FC236}">
                  <a16:creationId xmlns:a16="http://schemas.microsoft.com/office/drawing/2014/main" id="{8073A9A8-8991-4E6C-8139-5CAD17221A08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74" name="TextBox 1273">
              <a:extLst>
                <a:ext uri="{FF2B5EF4-FFF2-40B4-BE49-F238E27FC236}">
                  <a16:creationId xmlns:a16="http://schemas.microsoft.com/office/drawing/2014/main" id="{63318F16-A157-4FF2-A9E0-314FB6E5D242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74" name="TextBox 1273">
              <a:extLst>
                <a:ext uri="{FF2B5EF4-FFF2-40B4-BE49-F238E27FC236}">
                  <a16:creationId xmlns:a16="http://schemas.microsoft.com/office/drawing/2014/main" id="{63318F16-A157-4FF2-A9E0-314FB6E5D242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75" name="TextBox 1274">
              <a:extLst>
                <a:ext uri="{FF2B5EF4-FFF2-40B4-BE49-F238E27FC236}">
                  <a16:creationId xmlns:a16="http://schemas.microsoft.com/office/drawing/2014/main" id="{BC8ABD4E-83B2-4283-82BF-F61B6BDFF2FA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75" name="TextBox 1274">
              <a:extLst>
                <a:ext uri="{FF2B5EF4-FFF2-40B4-BE49-F238E27FC236}">
                  <a16:creationId xmlns:a16="http://schemas.microsoft.com/office/drawing/2014/main" id="{BC8ABD4E-83B2-4283-82BF-F61B6BDFF2FA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76" name="TextBox 1275">
              <a:extLst>
                <a:ext uri="{FF2B5EF4-FFF2-40B4-BE49-F238E27FC236}">
                  <a16:creationId xmlns:a16="http://schemas.microsoft.com/office/drawing/2014/main" id="{4F7590C8-4683-4EBC-B76D-320F5A755CCC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76" name="TextBox 1275">
              <a:extLst>
                <a:ext uri="{FF2B5EF4-FFF2-40B4-BE49-F238E27FC236}">
                  <a16:creationId xmlns:a16="http://schemas.microsoft.com/office/drawing/2014/main" id="{4F7590C8-4683-4EBC-B76D-320F5A755CCC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77" name="TextBox 1276">
              <a:extLst>
                <a:ext uri="{FF2B5EF4-FFF2-40B4-BE49-F238E27FC236}">
                  <a16:creationId xmlns:a16="http://schemas.microsoft.com/office/drawing/2014/main" id="{67EEA17E-6669-495F-9164-46F6C1A86729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77" name="TextBox 1276">
              <a:extLst>
                <a:ext uri="{FF2B5EF4-FFF2-40B4-BE49-F238E27FC236}">
                  <a16:creationId xmlns:a16="http://schemas.microsoft.com/office/drawing/2014/main" id="{67EEA17E-6669-495F-9164-46F6C1A86729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78" name="TextBox 1277">
              <a:extLst>
                <a:ext uri="{FF2B5EF4-FFF2-40B4-BE49-F238E27FC236}">
                  <a16:creationId xmlns:a16="http://schemas.microsoft.com/office/drawing/2014/main" id="{C7BA5220-F786-411D-BCC5-24A5A2E64296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78" name="TextBox 1277">
              <a:extLst>
                <a:ext uri="{FF2B5EF4-FFF2-40B4-BE49-F238E27FC236}">
                  <a16:creationId xmlns:a16="http://schemas.microsoft.com/office/drawing/2014/main" id="{C7BA5220-F786-411D-BCC5-24A5A2E64296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79" name="TextBox 1278">
              <a:extLst>
                <a:ext uri="{FF2B5EF4-FFF2-40B4-BE49-F238E27FC236}">
                  <a16:creationId xmlns:a16="http://schemas.microsoft.com/office/drawing/2014/main" id="{FFCBEB62-43BC-4D23-9521-F02BF5D64949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79" name="TextBox 1278">
              <a:extLst>
                <a:ext uri="{FF2B5EF4-FFF2-40B4-BE49-F238E27FC236}">
                  <a16:creationId xmlns:a16="http://schemas.microsoft.com/office/drawing/2014/main" id="{FFCBEB62-43BC-4D23-9521-F02BF5D64949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80" name="TextBox 1279">
              <a:extLst>
                <a:ext uri="{FF2B5EF4-FFF2-40B4-BE49-F238E27FC236}">
                  <a16:creationId xmlns:a16="http://schemas.microsoft.com/office/drawing/2014/main" id="{412371C3-1A3E-4973-A738-2F30E3BEB5C6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80" name="TextBox 1279">
              <a:extLst>
                <a:ext uri="{FF2B5EF4-FFF2-40B4-BE49-F238E27FC236}">
                  <a16:creationId xmlns:a16="http://schemas.microsoft.com/office/drawing/2014/main" id="{412371C3-1A3E-4973-A738-2F30E3BEB5C6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81" name="TextBox 1280">
              <a:extLst>
                <a:ext uri="{FF2B5EF4-FFF2-40B4-BE49-F238E27FC236}">
                  <a16:creationId xmlns:a16="http://schemas.microsoft.com/office/drawing/2014/main" id="{7C42B6DF-4D9A-42FA-B1A4-02248BE3100D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81" name="TextBox 1280">
              <a:extLst>
                <a:ext uri="{FF2B5EF4-FFF2-40B4-BE49-F238E27FC236}">
                  <a16:creationId xmlns:a16="http://schemas.microsoft.com/office/drawing/2014/main" id="{7C42B6DF-4D9A-42FA-B1A4-02248BE3100D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82" name="TextBox 1281">
              <a:extLst>
                <a:ext uri="{FF2B5EF4-FFF2-40B4-BE49-F238E27FC236}">
                  <a16:creationId xmlns:a16="http://schemas.microsoft.com/office/drawing/2014/main" id="{DE1A8B38-15E2-4BAB-A058-774C8D282591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82" name="TextBox 1281">
              <a:extLst>
                <a:ext uri="{FF2B5EF4-FFF2-40B4-BE49-F238E27FC236}">
                  <a16:creationId xmlns:a16="http://schemas.microsoft.com/office/drawing/2014/main" id="{DE1A8B38-15E2-4BAB-A058-774C8D282591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83" name="TextBox 1282">
              <a:extLst>
                <a:ext uri="{FF2B5EF4-FFF2-40B4-BE49-F238E27FC236}">
                  <a16:creationId xmlns:a16="http://schemas.microsoft.com/office/drawing/2014/main" id="{A94DE14C-EB3B-47E0-A19C-CCA66A1E34F3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83" name="TextBox 1282">
              <a:extLst>
                <a:ext uri="{FF2B5EF4-FFF2-40B4-BE49-F238E27FC236}">
                  <a16:creationId xmlns:a16="http://schemas.microsoft.com/office/drawing/2014/main" id="{A94DE14C-EB3B-47E0-A19C-CCA66A1E34F3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84" name="TextBox 1283">
              <a:extLst>
                <a:ext uri="{FF2B5EF4-FFF2-40B4-BE49-F238E27FC236}">
                  <a16:creationId xmlns:a16="http://schemas.microsoft.com/office/drawing/2014/main" id="{400C925B-7828-4FD6-9A90-E1EEE52B5155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84" name="TextBox 1283">
              <a:extLst>
                <a:ext uri="{FF2B5EF4-FFF2-40B4-BE49-F238E27FC236}">
                  <a16:creationId xmlns:a16="http://schemas.microsoft.com/office/drawing/2014/main" id="{400C925B-7828-4FD6-9A90-E1EEE52B5155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85" name="TextBox 1284">
              <a:extLst>
                <a:ext uri="{FF2B5EF4-FFF2-40B4-BE49-F238E27FC236}">
                  <a16:creationId xmlns:a16="http://schemas.microsoft.com/office/drawing/2014/main" id="{B23DE042-880D-4FCE-810E-1A2A76A2C715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85" name="TextBox 1284">
              <a:extLst>
                <a:ext uri="{FF2B5EF4-FFF2-40B4-BE49-F238E27FC236}">
                  <a16:creationId xmlns:a16="http://schemas.microsoft.com/office/drawing/2014/main" id="{B23DE042-880D-4FCE-810E-1A2A76A2C715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86" name="TextBox 1285">
              <a:extLst>
                <a:ext uri="{FF2B5EF4-FFF2-40B4-BE49-F238E27FC236}">
                  <a16:creationId xmlns:a16="http://schemas.microsoft.com/office/drawing/2014/main" id="{6F08EC40-5EF0-476B-9169-1CF9EFDA9BB4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86" name="TextBox 1285">
              <a:extLst>
                <a:ext uri="{FF2B5EF4-FFF2-40B4-BE49-F238E27FC236}">
                  <a16:creationId xmlns:a16="http://schemas.microsoft.com/office/drawing/2014/main" id="{6F08EC40-5EF0-476B-9169-1CF9EFDA9BB4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87" name="TextBox 1286">
              <a:extLst>
                <a:ext uri="{FF2B5EF4-FFF2-40B4-BE49-F238E27FC236}">
                  <a16:creationId xmlns:a16="http://schemas.microsoft.com/office/drawing/2014/main" id="{2FD74270-A600-4DA5-934F-74E182B2E74E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87" name="TextBox 1286">
              <a:extLst>
                <a:ext uri="{FF2B5EF4-FFF2-40B4-BE49-F238E27FC236}">
                  <a16:creationId xmlns:a16="http://schemas.microsoft.com/office/drawing/2014/main" id="{2FD74270-A600-4DA5-934F-74E182B2E74E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88" name="TextBox 1287">
              <a:extLst>
                <a:ext uri="{FF2B5EF4-FFF2-40B4-BE49-F238E27FC236}">
                  <a16:creationId xmlns:a16="http://schemas.microsoft.com/office/drawing/2014/main" id="{DFFC932F-683A-4F2E-B0A7-A4D918E6D5E0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88" name="TextBox 1287">
              <a:extLst>
                <a:ext uri="{FF2B5EF4-FFF2-40B4-BE49-F238E27FC236}">
                  <a16:creationId xmlns:a16="http://schemas.microsoft.com/office/drawing/2014/main" id="{DFFC932F-683A-4F2E-B0A7-A4D918E6D5E0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89" name="TextBox 1288">
              <a:extLst>
                <a:ext uri="{FF2B5EF4-FFF2-40B4-BE49-F238E27FC236}">
                  <a16:creationId xmlns:a16="http://schemas.microsoft.com/office/drawing/2014/main" id="{9D54590A-8D2F-4B99-A2BF-C0EB37568C36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89" name="TextBox 1288">
              <a:extLst>
                <a:ext uri="{FF2B5EF4-FFF2-40B4-BE49-F238E27FC236}">
                  <a16:creationId xmlns:a16="http://schemas.microsoft.com/office/drawing/2014/main" id="{9D54590A-8D2F-4B99-A2BF-C0EB37568C36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0" name="TextBox 1289">
              <a:extLst>
                <a:ext uri="{FF2B5EF4-FFF2-40B4-BE49-F238E27FC236}">
                  <a16:creationId xmlns:a16="http://schemas.microsoft.com/office/drawing/2014/main" id="{7340F69B-BE1B-4244-BA86-7ABAA8A3DBD6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90" name="TextBox 1289">
              <a:extLst>
                <a:ext uri="{FF2B5EF4-FFF2-40B4-BE49-F238E27FC236}">
                  <a16:creationId xmlns:a16="http://schemas.microsoft.com/office/drawing/2014/main" id="{7340F69B-BE1B-4244-BA86-7ABAA8A3DBD6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1" name="TextBox 1290">
              <a:extLst>
                <a:ext uri="{FF2B5EF4-FFF2-40B4-BE49-F238E27FC236}">
                  <a16:creationId xmlns:a16="http://schemas.microsoft.com/office/drawing/2014/main" id="{45E3AEEF-EC25-412F-A273-340866AA17EF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91" name="TextBox 1290">
              <a:extLst>
                <a:ext uri="{FF2B5EF4-FFF2-40B4-BE49-F238E27FC236}">
                  <a16:creationId xmlns:a16="http://schemas.microsoft.com/office/drawing/2014/main" id="{45E3AEEF-EC25-412F-A273-340866AA17EF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2" name="TextBox 1291">
              <a:extLst>
                <a:ext uri="{FF2B5EF4-FFF2-40B4-BE49-F238E27FC236}">
                  <a16:creationId xmlns:a16="http://schemas.microsoft.com/office/drawing/2014/main" id="{E6D02831-6787-48E3-A93D-DA1326D09E1C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92" name="TextBox 1291">
              <a:extLst>
                <a:ext uri="{FF2B5EF4-FFF2-40B4-BE49-F238E27FC236}">
                  <a16:creationId xmlns:a16="http://schemas.microsoft.com/office/drawing/2014/main" id="{E6D02831-6787-48E3-A93D-DA1326D09E1C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3" name="TextBox 1292">
              <a:extLst>
                <a:ext uri="{FF2B5EF4-FFF2-40B4-BE49-F238E27FC236}">
                  <a16:creationId xmlns:a16="http://schemas.microsoft.com/office/drawing/2014/main" id="{F1F1AB43-56FE-4842-8002-0F79F98C280E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93" name="TextBox 1292">
              <a:extLst>
                <a:ext uri="{FF2B5EF4-FFF2-40B4-BE49-F238E27FC236}">
                  <a16:creationId xmlns:a16="http://schemas.microsoft.com/office/drawing/2014/main" id="{F1F1AB43-56FE-4842-8002-0F79F98C280E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4" name="TextBox 1293">
              <a:extLst>
                <a:ext uri="{FF2B5EF4-FFF2-40B4-BE49-F238E27FC236}">
                  <a16:creationId xmlns:a16="http://schemas.microsoft.com/office/drawing/2014/main" id="{EA47AA4B-A326-40E4-8391-A3DA0C58F987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94" name="TextBox 1293">
              <a:extLst>
                <a:ext uri="{FF2B5EF4-FFF2-40B4-BE49-F238E27FC236}">
                  <a16:creationId xmlns:a16="http://schemas.microsoft.com/office/drawing/2014/main" id="{EA47AA4B-A326-40E4-8391-A3DA0C58F987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5" name="TextBox 1294">
              <a:extLst>
                <a:ext uri="{FF2B5EF4-FFF2-40B4-BE49-F238E27FC236}">
                  <a16:creationId xmlns:a16="http://schemas.microsoft.com/office/drawing/2014/main" id="{BEA74BC9-5881-4F14-A991-47774826FB22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95" name="TextBox 1294">
              <a:extLst>
                <a:ext uri="{FF2B5EF4-FFF2-40B4-BE49-F238E27FC236}">
                  <a16:creationId xmlns:a16="http://schemas.microsoft.com/office/drawing/2014/main" id="{BEA74BC9-5881-4F14-A991-47774826FB22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6" name="TextBox 1295">
              <a:extLst>
                <a:ext uri="{FF2B5EF4-FFF2-40B4-BE49-F238E27FC236}">
                  <a16:creationId xmlns:a16="http://schemas.microsoft.com/office/drawing/2014/main" id="{BFE801E5-657C-490B-96BB-B57D7F7D64A7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96" name="TextBox 1295">
              <a:extLst>
                <a:ext uri="{FF2B5EF4-FFF2-40B4-BE49-F238E27FC236}">
                  <a16:creationId xmlns:a16="http://schemas.microsoft.com/office/drawing/2014/main" id="{BFE801E5-657C-490B-96BB-B57D7F7D64A7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7" name="TextBox 1296">
              <a:extLst>
                <a:ext uri="{FF2B5EF4-FFF2-40B4-BE49-F238E27FC236}">
                  <a16:creationId xmlns:a16="http://schemas.microsoft.com/office/drawing/2014/main" id="{19A166B1-92E7-48C3-B323-5FC30E3BAF94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97" name="TextBox 1296">
              <a:extLst>
                <a:ext uri="{FF2B5EF4-FFF2-40B4-BE49-F238E27FC236}">
                  <a16:creationId xmlns:a16="http://schemas.microsoft.com/office/drawing/2014/main" id="{19A166B1-92E7-48C3-B323-5FC30E3BAF94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8" name="TextBox 1297">
              <a:extLst>
                <a:ext uri="{FF2B5EF4-FFF2-40B4-BE49-F238E27FC236}">
                  <a16:creationId xmlns:a16="http://schemas.microsoft.com/office/drawing/2014/main" id="{80ADD875-6B97-418C-9BB9-576F29C33879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98" name="TextBox 1297">
              <a:extLst>
                <a:ext uri="{FF2B5EF4-FFF2-40B4-BE49-F238E27FC236}">
                  <a16:creationId xmlns:a16="http://schemas.microsoft.com/office/drawing/2014/main" id="{80ADD875-6B97-418C-9BB9-576F29C33879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99" name="TextBox 1298">
              <a:extLst>
                <a:ext uri="{FF2B5EF4-FFF2-40B4-BE49-F238E27FC236}">
                  <a16:creationId xmlns:a16="http://schemas.microsoft.com/office/drawing/2014/main" id="{DA25AB70-A732-4E36-AF7F-BD3742DD979D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99" name="TextBox 1298">
              <a:extLst>
                <a:ext uri="{FF2B5EF4-FFF2-40B4-BE49-F238E27FC236}">
                  <a16:creationId xmlns:a16="http://schemas.microsoft.com/office/drawing/2014/main" id="{DA25AB70-A732-4E36-AF7F-BD3742DD979D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0" name="TextBox 1299">
              <a:extLst>
                <a:ext uri="{FF2B5EF4-FFF2-40B4-BE49-F238E27FC236}">
                  <a16:creationId xmlns:a16="http://schemas.microsoft.com/office/drawing/2014/main" id="{BEA2A847-84BF-4321-86C9-36877829FB64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00" name="TextBox 1299">
              <a:extLst>
                <a:ext uri="{FF2B5EF4-FFF2-40B4-BE49-F238E27FC236}">
                  <a16:creationId xmlns:a16="http://schemas.microsoft.com/office/drawing/2014/main" id="{BEA2A847-84BF-4321-86C9-36877829FB64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1" name="TextBox 1300">
              <a:extLst>
                <a:ext uri="{FF2B5EF4-FFF2-40B4-BE49-F238E27FC236}">
                  <a16:creationId xmlns:a16="http://schemas.microsoft.com/office/drawing/2014/main" id="{9F9510DA-F80C-4559-99C2-E05F4C1282D0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01" name="TextBox 1300">
              <a:extLst>
                <a:ext uri="{FF2B5EF4-FFF2-40B4-BE49-F238E27FC236}">
                  <a16:creationId xmlns:a16="http://schemas.microsoft.com/office/drawing/2014/main" id="{9F9510DA-F80C-4559-99C2-E05F4C1282D0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2" name="TextBox 1301">
              <a:extLst>
                <a:ext uri="{FF2B5EF4-FFF2-40B4-BE49-F238E27FC236}">
                  <a16:creationId xmlns:a16="http://schemas.microsoft.com/office/drawing/2014/main" id="{D39EE87E-2AAE-456C-83F9-2FE300560E43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02" name="TextBox 1301">
              <a:extLst>
                <a:ext uri="{FF2B5EF4-FFF2-40B4-BE49-F238E27FC236}">
                  <a16:creationId xmlns:a16="http://schemas.microsoft.com/office/drawing/2014/main" id="{D39EE87E-2AAE-456C-83F9-2FE300560E43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3" name="TextBox 1302">
              <a:extLst>
                <a:ext uri="{FF2B5EF4-FFF2-40B4-BE49-F238E27FC236}">
                  <a16:creationId xmlns:a16="http://schemas.microsoft.com/office/drawing/2014/main" id="{097F10A8-AA43-49A0-8B74-15B1DE725B46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03" name="TextBox 1302">
              <a:extLst>
                <a:ext uri="{FF2B5EF4-FFF2-40B4-BE49-F238E27FC236}">
                  <a16:creationId xmlns:a16="http://schemas.microsoft.com/office/drawing/2014/main" id="{097F10A8-AA43-49A0-8B74-15B1DE725B46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4" name="TextBox 1303">
              <a:extLst>
                <a:ext uri="{FF2B5EF4-FFF2-40B4-BE49-F238E27FC236}">
                  <a16:creationId xmlns:a16="http://schemas.microsoft.com/office/drawing/2014/main" id="{41BC45B4-2011-47AF-8D37-4FB08A181682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04" name="TextBox 1303">
              <a:extLst>
                <a:ext uri="{FF2B5EF4-FFF2-40B4-BE49-F238E27FC236}">
                  <a16:creationId xmlns:a16="http://schemas.microsoft.com/office/drawing/2014/main" id="{41BC45B4-2011-47AF-8D37-4FB08A181682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5" name="TextBox 1304">
              <a:extLst>
                <a:ext uri="{FF2B5EF4-FFF2-40B4-BE49-F238E27FC236}">
                  <a16:creationId xmlns:a16="http://schemas.microsoft.com/office/drawing/2014/main" id="{C6FE6457-3774-45F3-A187-24257440F881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05" name="TextBox 1304">
              <a:extLst>
                <a:ext uri="{FF2B5EF4-FFF2-40B4-BE49-F238E27FC236}">
                  <a16:creationId xmlns:a16="http://schemas.microsoft.com/office/drawing/2014/main" id="{C6FE6457-3774-45F3-A187-24257440F881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6" name="TextBox 1305">
              <a:extLst>
                <a:ext uri="{FF2B5EF4-FFF2-40B4-BE49-F238E27FC236}">
                  <a16:creationId xmlns:a16="http://schemas.microsoft.com/office/drawing/2014/main" id="{1A154EA8-FA84-4D5D-9F30-479E6F3C7D41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06" name="TextBox 1305">
              <a:extLst>
                <a:ext uri="{FF2B5EF4-FFF2-40B4-BE49-F238E27FC236}">
                  <a16:creationId xmlns:a16="http://schemas.microsoft.com/office/drawing/2014/main" id="{1A154EA8-FA84-4D5D-9F30-479E6F3C7D41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7" name="TextBox 1306">
              <a:extLst>
                <a:ext uri="{FF2B5EF4-FFF2-40B4-BE49-F238E27FC236}">
                  <a16:creationId xmlns:a16="http://schemas.microsoft.com/office/drawing/2014/main" id="{1C70595C-7ACD-4180-8AFF-24C771472880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07" name="TextBox 1306">
              <a:extLst>
                <a:ext uri="{FF2B5EF4-FFF2-40B4-BE49-F238E27FC236}">
                  <a16:creationId xmlns:a16="http://schemas.microsoft.com/office/drawing/2014/main" id="{1C70595C-7ACD-4180-8AFF-24C771472880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8" name="TextBox 1307">
              <a:extLst>
                <a:ext uri="{FF2B5EF4-FFF2-40B4-BE49-F238E27FC236}">
                  <a16:creationId xmlns:a16="http://schemas.microsoft.com/office/drawing/2014/main" id="{069D9960-A071-41E0-843C-9CE0DFCEA0D5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08" name="TextBox 1307">
              <a:extLst>
                <a:ext uri="{FF2B5EF4-FFF2-40B4-BE49-F238E27FC236}">
                  <a16:creationId xmlns:a16="http://schemas.microsoft.com/office/drawing/2014/main" id="{069D9960-A071-41E0-843C-9CE0DFCEA0D5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09" name="TextBox 1308">
              <a:extLst>
                <a:ext uri="{FF2B5EF4-FFF2-40B4-BE49-F238E27FC236}">
                  <a16:creationId xmlns:a16="http://schemas.microsoft.com/office/drawing/2014/main" id="{1AC30E5D-495E-4F73-89F1-D79D519E9087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09" name="TextBox 1308">
              <a:extLst>
                <a:ext uri="{FF2B5EF4-FFF2-40B4-BE49-F238E27FC236}">
                  <a16:creationId xmlns:a16="http://schemas.microsoft.com/office/drawing/2014/main" id="{1AC30E5D-495E-4F73-89F1-D79D519E9087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10" name="TextBox 1309">
              <a:extLst>
                <a:ext uri="{FF2B5EF4-FFF2-40B4-BE49-F238E27FC236}">
                  <a16:creationId xmlns:a16="http://schemas.microsoft.com/office/drawing/2014/main" id="{18D5C010-866C-4458-98D6-AD5C5D19939C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10" name="TextBox 1309">
              <a:extLst>
                <a:ext uri="{FF2B5EF4-FFF2-40B4-BE49-F238E27FC236}">
                  <a16:creationId xmlns:a16="http://schemas.microsoft.com/office/drawing/2014/main" id="{18D5C010-866C-4458-98D6-AD5C5D19939C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11" name="TextBox 1310">
              <a:extLst>
                <a:ext uri="{FF2B5EF4-FFF2-40B4-BE49-F238E27FC236}">
                  <a16:creationId xmlns:a16="http://schemas.microsoft.com/office/drawing/2014/main" id="{D8A4CBEA-67A3-49E3-AA78-37C40227ADE8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11" name="TextBox 1310">
              <a:extLst>
                <a:ext uri="{FF2B5EF4-FFF2-40B4-BE49-F238E27FC236}">
                  <a16:creationId xmlns:a16="http://schemas.microsoft.com/office/drawing/2014/main" id="{D8A4CBEA-67A3-49E3-AA78-37C40227ADE8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12" name="TextBox 1311">
              <a:extLst>
                <a:ext uri="{FF2B5EF4-FFF2-40B4-BE49-F238E27FC236}">
                  <a16:creationId xmlns:a16="http://schemas.microsoft.com/office/drawing/2014/main" id="{D5B4E184-27CD-4AF8-97CC-4EA360F4A034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12" name="TextBox 1311">
              <a:extLst>
                <a:ext uri="{FF2B5EF4-FFF2-40B4-BE49-F238E27FC236}">
                  <a16:creationId xmlns:a16="http://schemas.microsoft.com/office/drawing/2014/main" id="{D5B4E184-27CD-4AF8-97CC-4EA360F4A034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13" name="TextBox 1312">
              <a:extLst>
                <a:ext uri="{FF2B5EF4-FFF2-40B4-BE49-F238E27FC236}">
                  <a16:creationId xmlns:a16="http://schemas.microsoft.com/office/drawing/2014/main" id="{365CB97C-7EF0-4AD3-AF58-431DF9226254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13" name="TextBox 1312">
              <a:extLst>
                <a:ext uri="{FF2B5EF4-FFF2-40B4-BE49-F238E27FC236}">
                  <a16:creationId xmlns:a16="http://schemas.microsoft.com/office/drawing/2014/main" id="{365CB97C-7EF0-4AD3-AF58-431DF9226254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14" name="TextBox 1313">
              <a:extLst>
                <a:ext uri="{FF2B5EF4-FFF2-40B4-BE49-F238E27FC236}">
                  <a16:creationId xmlns:a16="http://schemas.microsoft.com/office/drawing/2014/main" id="{2C943761-6A83-4709-AF77-337F619A8FBB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14" name="TextBox 1313">
              <a:extLst>
                <a:ext uri="{FF2B5EF4-FFF2-40B4-BE49-F238E27FC236}">
                  <a16:creationId xmlns:a16="http://schemas.microsoft.com/office/drawing/2014/main" id="{2C943761-6A83-4709-AF77-337F619A8FBB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15" name="TextBox 1314">
              <a:extLst>
                <a:ext uri="{FF2B5EF4-FFF2-40B4-BE49-F238E27FC236}">
                  <a16:creationId xmlns:a16="http://schemas.microsoft.com/office/drawing/2014/main" id="{1DCD2640-8F87-46BD-8D96-88723EC5B047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15" name="TextBox 1314">
              <a:extLst>
                <a:ext uri="{FF2B5EF4-FFF2-40B4-BE49-F238E27FC236}">
                  <a16:creationId xmlns:a16="http://schemas.microsoft.com/office/drawing/2014/main" id="{1DCD2640-8F87-46BD-8D96-88723EC5B047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16" name="TextBox 1315">
              <a:extLst>
                <a:ext uri="{FF2B5EF4-FFF2-40B4-BE49-F238E27FC236}">
                  <a16:creationId xmlns:a16="http://schemas.microsoft.com/office/drawing/2014/main" id="{47BCED84-BBE7-4EB6-BD3E-B6E256AA3DA6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16" name="TextBox 1315">
              <a:extLst>
                <a:ext uri="{FF2B5EF4-FFF2-40B4-BE49-F238E27FC236}">
                  <a16:creationId xmlns:a16="http://schemas.microsoft.com/office/drawing/2014/main" id="{47BCED84-BBE7-4EB6-BD3E-B6E256AA3DA6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17" name="TextBox 1316">
              <a:extLst>
                <a:ext uri="{FF2B5EF4-FFF2-40B4-BE49-F238E27FC236}">
                  <a16:creationId xmlns:a16="http://schemas.microsoft.com/office/drawing/2014/main" id="{AEDB9F06-6F8D-4EDE-B444-8F0CA3AF8CE2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17" name="TextBox 1316">
              <a:extLst>
                <a:ext uri="{FF2B5EF4-FFF2-40B4-BE49-F238E27FC236}">
                  <a16:creationId xmlns:a16="http://schemas.microsoft.com/office/drawing/2014/main" id="{AEDB9F06-6F8D-4EDE-B444-8F0CA3AF8CE2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18" name="TextBox 1317">
              <a:extLst>
                <a:ext uri="{FF2B5EF4-FFF2-40B4-BE49-F238E27FC236}">
                  <a16:creationId xmlns:a16="http://schemas.microsoft.com/office/drawing/2014/main" id="{E6EA6974-2C2D-4D6C-984A-74869F8AB46F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18" name="TextBox 1317">
              <a:extLst>
                <a:ext uri="{FF2B5EF4-FFF2-40B4-BE49-F238E27FC236}">
                  <a16:creationId xmlns:a16="http://schemas.microsoft.com/office/drawing/2014/main" id="{E6EA6974-2C2D-4D6C-984A-74869F8AB46F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19" name="TextBox 1318">
              <a:extLst>
                <a:ext uri="{FF2B5EF4-FFF2-40B4-BE49-F238E27FC236}">
                  <a16:creationId xmlns:a16="http://schemas.microsoft.com/office/drawing/2014/main" id="{7A873B28-ECD7-4E8D-ACB3-E19ED7023A4C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19" name="TextBox 1318">
              <a:extLst>
                <a:ext uri="{FF2B5EF4-FFF2-40B4-BE49-F238E27FC236}">
                  <a16:creationId xmlns:a16="http://schemas.microsoft.com/office/drawing/2014/main" id="{7A873B28-ECD7-4E8D-ACB3-E19ED7023A4C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20" name="TextBox 1319">
              <a:extLst>
                <a:ext uri="{FF2B5EF4-FFF2-40B4-BE49-F238E27FC236}">
                  <a16:creationId xmlns:a16="http://schemas.microsoft.com/office/drawing/2014/main" id="{2D322246-B88F-46B9-B8C9-FD47476E1F21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20" name="TextBox 1319">
              <a:extLst>
                <a:ext uri="{FF2B5EF4-FFF2-40B4-BE49-F238E27FC236}">
                  <a16:creationId xmlns:a16="http://schemas.microsoft.com/office/drawing/2014/main" id="{2D322246-B88F-46B9-B8C9-FD47476E1F21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21" name="TextBox 1320">
              <a:extLst>
                <a:ext uri="{FF2B5EF4-FFF2-40B4-BE49-F238E27FC236}">
                  <a16:creationId xmlns:a16="http://schemas.microsoft.com/office/drawing/2014/main" id="{04E1A746-AAD7-46C4-A610-7EB27866236D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21" name="TextBox 1320">
              <a:extLst>
                <a:ext uri="{FF2B5EF4-FFF2-40B4-BE49-F238E27FC236}">
                  <a16:creationId xmlns:a16="http://schemas.microsoft.com/office/drawing/2014/main" id="{04E1A746-AAD7-46C4-A610-7EB27866236D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22" name="TextBox 1321">
              <a:extLst>
                <a:ext uri="{FF2B5EF4-FFF2-40B4-BE49-F238E27FC236}">
                  <a16:creationId xmlns:a16="http://schemas.microsoft.com/office/drawing/2014/main" id="{799EC06F-5C7B-4501-A3BE-D823696A6027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22" name="TextBox 1321">
              <a:extLst>
                <a:ext uri="{FF2B5EF4-FFF2-40B4-BE49-F238E27FC236}">
                  <a16:creationId xmlns:a16="http://schemas.microsoft.com/office/drawing/2014/main" id="{799EC06F-5C7B-4501-A3BE-D823696A6027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23" name="TextBox 1322">
              <a:extLst>
                <a:ext uri="{FF2B5EF4-FFF2-40B4-BE49-F238E27FC236}">
                  <a16:creationId xmlns:a16="http://schemas.microsoft.com/office/drawing/2014/main" id="{C57425D8-E76D-4198-A189-9B2B1C1CB1DA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23" name="TextBox 1322">
              <a:extLst>
                <a:ext uri="{FF2B5EF4-FFF2-40B4-BE49-F238E27FC236}">
                  <a16:creationId xmlns:a16="http://schemas.microsoft.com/office/drawing/2014/main" id="{C57425D8-E76D-4198-A189-9B2B1C1CB1DA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24" name="TextBox 1323">
              <a:extLst>
                <a:ext uri="{FF2B5EF4-FFF2-40B4-BE49-F238E27FC236}">
                  <a16:creationId xmlns:a16="http://schemas.microsoft.com/office/drawing/2014/main" id="{6BE48709-A77C-4557-AD31-E38A1EDAE6B1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24" name="TextBox 1323">
              <a:extLst>
                <a:ext uri="{FF2B5EF4-FFF2-40B4-BE49-F238E27FC236}">
                  <a16:creationId xmlns:a16="http://schemas.microsoft.com/office/drawing/2014/main" id="{6BE48709-A77C-4557-AD31-E38A1EDAE6B1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25" name="TextBox 1324">
              <a:extLst>
                <a:ext uri="{FF2B5EF4-FFF2-40B4-BE49-F238E27FC236}">
                  <a16:creationId xmlns:a16="http://schemas.microsoft.com/office/drawing/2014/main" id="{4A1A4433-AD03-4CB1-9B19-C87A5A71BE43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25" name="TextBox 1324">
              <a:extLst>
                <a:ext uri="{FF2B5EF4-FFF2-40B4-BE49-F238E27FC236}">
                  <a16:creationId xmlns:a16="http://schemas.microsoft.com/office/drawing/2014/main" id="{4A1A4433-AD03-4CB1-9B19-C87A5A71BE43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26" name="TextBox 1325">
              <a:extLst>
                <a:ext uri="{FF2B5EF4-FFF2-40B4-BE49-F238E27FC236}">
                  <a16:creationId xmlns:a16="http://schemas.microsoft.com/office/drawing/2014/main" id="{64EAA9B4-46F2-44A0-A67C-51C19213E7D1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26" name="TextBox 1325">
              <a:extLst>
                <a:ext uri="{FF2B5EF4-FFF2-40B4-BE49-F238E27FC236}">
                  <a16:creationId xmlns:a16="http://schemas.microsoft.com/office/drawing/2014/main" id="{64EAA9B4-46F2-44A0-A67C-51C19213E7D1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27" name="TextBox 1326">
              <a:extLst>
                <a:ext uri="{FF2B5EF4-FFF2-40B4-BE49-F238E27FC236}">
                  <a16:creationId xmlns:a16="http://schemas.microsoft.com/office/drawing/2014/main" id="{39460E7E-2FD2-4886-A86F-749BBC6BCF76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27" name="TextBox 1326">
              <a:extLst>
                <a:ext uri="{FF2B5EF4-FFF2-40B4-BE49-F238E27FC236}">
                  <a16:creationId xmlns:a16="http://schemas.microsoft.com/office/drawing/2014/main" id="{39460E7E-2FD2-4886-A86F-749BBC6BCF76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28" name="TextBox 1327">
              <a:extLst>
                <a:ext uri="{FF2B5EF4-FFF2-40B4-BE49-F238E27FC236}">
                  <a16:creationId xmlns:a16="http://schemas.microsoft.com/office/drawing/2014/main" id="{F3CC110E-72A2-430E-B938-2C8F08099B5F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28" name="TextBox 1327">
              <a:extLst>
                <a:ext uri="{FF2B5EF4-FFF2-40B4-BE49-F238E27FC236}">
                  <a16:creationId xmlns:a16="http://schemas.microsoft.com/office/drawing/2014/main" id="{F3CC110E-72A2-430E-B938-2C8F08099B5F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29" name="TextBox 1328">
              <a:extLst>
                <a:ext uri="{FF2B5EF4-FFF2-40B4-BE49-F238E27FC236}">
                  <a16:creationId xmlns:a16="http://schemas.microsoft.com/office/drawing/2014/main" id="{D58B2EC4-5D23-4CDE-84DD-E2F32B0C2AC8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29" name="TextBox 1328">
              <a:extLst>
                <a:ext uri="{FF2B5EF4-FFF2-40B4-BE49-F238E27FC236}">
                  <a16:creationId xmlns:a16="http://schemas.microsoft.com/office/drawing/2014/main" id="{D58B2EC4-5D23-4CDE-84DD-E2F32B0C2AC8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30" name="TextBox 1329">
              <a:extLst>
                <a:ext uri="{FF2B5EF4-FFF2-40B4-BE49-F238E27FC236}">
                  <a16:creationId xmlns:a16="http://schemas.microsoft.com/office/drawing/2014/main" id="{31070BAB-70D3-41E6-A943-B559C7A3A6A8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30" name="TextBox 1329">
              <a:extLst>
                <a:ext uri="{FF2B5EF4-FFF2-40B4-BE49-F238E27FC236}">
                  <a16:creationId xmlns:a16="http://schemas.microsoft.com/office/drawing/2014/main" id="{31070BAB-70D3-41E6-A943-B559C7A3A6A8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31" name="TextBox 1330">
              <a:extLst>
                <a:ext uri="{FF2B5EF4-FFF2-40B4-BE49-F238E27FC236}">
                  <a16:creationId xmlns:a16="http://schemas.microsoft.com/office/drawing/2014/main" id="{FBBD3F6E-D682-440B-8BC2-B96DF1DBE0DB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31" name="TextBox 1330">
              <a:extLst>
                <a:ext uri="{FF2B5EF4-FFF2-40B4-BE49-F238E27FC236}">
                  <a16:creationId xmlns:a16="http://schemas.microsoft.com/office/drawing/2014/main" id="{FBBD3F6E-D682-440B-8BC2-B96DF1DBE0DB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32" name="TextBox 1331">
              <a:extLst>
                <a:ext uri="{FF2B5EF4-FFF2-40B4-BE49-F238E27FC236}">
                  <a16:creationId xmlns:a16="http://schemas.microsoft.com/office/drawing/2014/main" id="{72337EE5-3F31-4425-93E0-3FCA2E15672C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32" name="TextBox 1331">
              <a:extLst>
                <a:ext uri="{FF2B5EF4-FFF2-40B4-BE49-F238E27FC236}">
                  <a16:creationId xmlns:a16="http://schemas.microsoft.com/office/drawing/2014/main" id="{72337EE5-3F31-4425-93E0-3FCA2E15672C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33" name="TextBox 1332">
              <a:extLst>
                <a:ext uri="{FF2B5EF4-FFF2-40B4-BE49-F238E27FC236}">
                  <a16:creationId xmlns:a16="http://schemas.microsoft.com/office/drawing/2014/main" id="{939E7E8D-D1E6-42B2-9E68-D9D755980DC0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33" name="TextBox 1332">
              <a:extLst>
                <a:ext uri="{FF2B5EF4-FFF2-40B4-BE49-F238E27FC236}">
                  <a16:creationId xmlns:a16="http://schemas.microsoft.com/office/drawing/2014/main" id="{939E7E8D-D1E6-42B2-9E68-D9D755980DC0}"/>
                </a:ext>
              </a:extLst>
            </xdr:cNvPr>
            <xdr:cNvSpPr txBox="1"/>
          </xdr:nvSpPr>
          <xdr:spPr>
            <a:xfrm>
              <a:off x="9508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34" name="TextBox 1333">
              <a:extLst>
                <a:ext uri="{FF2B5EF4-FFF2-40B4-BE49-F238E27FC236}">
                  <a16:creationId xmlns:a16="http://schemas.microsoft.com/office/drawing/2014/main" id="{16D06D64-11C6-4714-A013-92CA51EC1C7F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34" name="TextBox 1333">
              <a:extLst>
                <a:ext uri="{FF2B5EF4-FFF2-40B4-BE49-F238E27FC236}">
                  <a16:creationId xmlns:a16="http://schemas.microsoft.com/office/drawing/2014/main" id="{16D06D64-11C6-4714-A013-92CA51EC1C7F}"/>
                </a:ext>
              </a:extLst>
            </xdr:cNvPr>
            <xdr:cNvSpPr txBox="1"/>
          </xdr:nvSpPr>
          <xdr:spPr>
            <a:xfrm>
              <a:off x="18271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35" name="TextBox 1334">
              <a:extLst>
                <a:ext uri="{FF2B5EF4-FFF2-40B4-BE49-F238E27FC236}">
                  <a16:creationId xmlns:a16="http://schemas.microsoft.com/office/drawing/2014/main" id="{A84A13FF-AE55-42A9-98BE-34408478715C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35" name="TextBox 1334">
              <a:extLst>
                <a:ext uri="{FF2B5EF4-FFF2-40B4-BE49-F238E27FC236}">
                  <a16:creationId xmlns:a16="http://schemas.microsoft.com/office/drawing/2014/main" id="{A84A13FF-AE55-42A9-98BE-34408478715C}"/>
                </a:ext>
              </a:extLst>
            </xdr:cNvPr>
            <xdr:cNvSpPr txBox="1"/>
          </xdr:nvSpPr>
          <xdr:spPr>
            <a:xfrm>
              <a:off x="27034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36" name="TextBox 1335">
              <a:extLst>
                <a:ext uri="{FF2B5EF4-FFF2-40B4-BE49-F238E27FC236}">
                  <a16:creationId xmlns:a16="http://schemas.microsoft.com/office/drawing/2014/main" id="{CBC320E7-CE82-46F0-B849-1094AD61E22A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36" name="TextBox 1335">
              <a:extLst>
                <a:ext uri="{FF2B5EF4-FFF2-40B4-BE49-F238E27FC236}">
                  <a16:creationId xmlns:a16="http://schemas.microsoft.com/office/drawing/2014/main" id="{CBC320E7-CE82-46F0-B849-1094AD61E22A}"/>
                </a:ext>
              </a:extLst>
            </xdr:cNvPr>
            <xdr:cNvSpPr txBox="1"/>
          </xdr:nvSpPr>
          <xdr:spPr>
            <a:xfrm>
              <a:off x="35797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37" name="TextBox 1336">
              <a:extLst>
                <a:ext uri="{FF2B5EF4-FFF2-40B4-BE49-F238E27FC236}">
                  <a16:creationId xmlns:a16="http://schemas.microsoft.com/office/drawing/2014/main" id="{6645E26B-6E68-415C-934D-917CA6B993B1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37" name="TextBox 1336">
              <a:extLst>
                <a:ext uri="{FF2B5EF4-FFF2-40B4-BE49-F238E27FC236}">
                  <a16:creationId xmlns:a16="http://schemas.microsoft.com/office/drawing/2014/main" id="{6645E26B-6E68-415C-934D-917CA6B993B1}"/>
                </a:ext>
              </a:extLst>
            </xdr:cNvPr>
            <xdr:cNvSpPr txBox="1"/>
          </xdr:nvSpPr>
          <xdr:spPr>
            <a:xfrm>
              <a:off x="44560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38" name="TextBox 1337">
              <a:extLst>
                <a:ext uri="{FF2B5EF4-FFF2-40B4-BE49-F238E27FC236}">
                  <a16:creationId xmlns:a16="http://schemas.microsoft.com/office/drawing/2014/main" id="{521D25BE-8465-4610-9FDC-6BD1E43642DC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38" name="TextBox 1337">
              <a:extLst>
                <a:ext uri="{FF2B5EF4-FFF2-40B4-BE49-F238E27FC236}">
                  <a16:creationId xmlns:a16="http://schemas.microsoft.com/office/drawing/2014/main" id="{521D25BE-8465-4610-9FDC-6BD1E43642DC}"/>
                </a:ext>
              </a:extLst>
            </xdr:cNvPr>
            <xdr:cNvSpPr txBox="1"/>
          </xdr:nvSpPr>
          <xdr:spPr>
            <a:xfrm>
              <a:off x="53323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39" name="TextBox 1338">
              <a:extLst>
                <a:ext uri="{FF2B5EF4-FFF2-40B4-BE49-F238E27FC236}">
                  <a16:creationId xmlns:a16="http://schemas.microsoft.com/office/drawing/2014/main" id="{1E31768A-E63F-4DB8-81F5-69B5580E7560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39" name="TextBox 1338">
              <a:extLst>
                <a:ext uri="{FF2B5EF4-FFF2-40B4-BE49-F238E27FC236}">
                  <a16:creationId xmlns:a16="http://schemas.microsoft.com/office/drawing/2014/main" id="{1E31768A-E63F-4DB8-81F5-69B5580E7560}"/>
                </a:ext>
              </a:extLst>
            </xdr:cNvPr>
            <xdr:cNvSpPr txBox="1"/>
          </xdr:nvSpPr>
          <xdr:spPr>
            <a:xfrm>
              <a:off x="62086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40" name="TextBox 1339">
              <a:extLst>
                <a:ext uri="{FF2B5EF4-FFF2-40B4-BE49-F238E27FC236}">
                  <a16:creationId xmlns:a16="http://schemas.microsoft.com/office/drawing/2014/main" id="{9838C259-7BBD-4751-B0DC-C55262D466C7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40" name="TextBox 1339">
              <a:extLst>
                <a:ext uri="{FF2B5EF4-FFF2-40B4-BE49-F238E27FC236}">
                  <a16:creationId xmlns:a16="http://schemas.microsoft.com/office/drawing/2014/main" id="{9838C259-7BBD-4751-B0DC-C55262D466C7}"/>
                </a:ext>
              </a:extLst>
            </xdr:cNvPr>
            <xdr:cNvSpPr txBox="1"/>
          </xdr:nvSpPr>
          <xdr:spPr>
            <a:xfrm>
              <a:off x="70849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341207</xdr:colOff>
      <xdr:row>145</xdr:row>
      <xdr:rowOff>189652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41" name="TextBox 1340">
              <a:extLst>
                <a:ext uri="{FF2B5EF4-FFF2-40B4-BE49-F238E27FC236}">
                  <a16:creationId xmlns:a16="http://schemas.microsoft.com/office/drawing/2014/main" id="{71CEEDF8-80C7-45CA-850A-FCA7AEAF392E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41" name="TextBox 1340">
              <a:extLst>
                <a:ext uri="{FF2B5EF4-FFF2-40B4-BE49-F238E27FC236}">
                  <a16:creationId xmlns:a16="http://schemas.microsoft.com/office/drawing/2014/main" id="{71CEEDF8-80C7-45CA-850A-FCA7AEAF392E}"/>
                </a:ext>
              </a:extLst>
            </xdr:cNvPr>
            <xdr:cNvSpPr txBox="1"/>
          </xdr:nvSpPr>
          <xdr:spPr>
            <a:xfrm>
              <a:off x="7961207" y="239107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341207</xdr:colOff>
      <xdr:row>145</xdr:row>
      <xdr:rowOff>189652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42" name="TextBox 1341">
              <a:extLst>
                <a:ext uri="{FF2B5EF4-FFF2-40B4-BE49-F238E27FC236}">
                  <a16:creationId xmlns:a16="http://schemas.microsoft.com/office/drawing/2014/main" id="{E99E6BD2-1441-4C3C-8E82-6651A395C0DB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42" name="TextBox 1341">
              <a:extLst>
                <a:ext uri="{FF2B5EF4-FFF2-40B4-BE49-F238E27FC236}">
                  <a16:creationId xmlns:a16="http://schemas.microsoft.com/office/drawing/2014/main" id="{E99E6BD2-1441-4C3C-8E82-6651A395C0DB}"/>
                </a:ext>
              </a:extLst>
            </xdr:cNvPr>
            <xdr:cNvSpPr txBox="1"/>
          </xdr:nvSpPr>
          <xdr:spPr>
            <a:xfrm>
              <a:off x="8837507" y="2391071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312420</xdr:colOff>
      <xdr:row>28</xdr:row>
      <xdr:rowOff>91238</xdr:rowOff>
    </xdr:from>
    <xdr:ext cx="858055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F2D783B-95CD-4D86-A349-AEED21B61C49}"/>
                </a:ext>
              </a:extLst>
            </xdr:cNvPr>
            <xdr:cNvSpPr txBox="1"/>
          </xdr:nvSpPr>
          <xdr:spPr>
            <a:xfrm>
              <a:off x="10660380" y="5722418"/>
              <a:ext cx="8580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𝒌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𝒎𝒊𝒏</m:t>
                            </m:r>
                          </m:sub>
                        </m:s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,</m:t>
                        </m:r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𝒌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𝒎𝒂𝒙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F2D783B-95CD-4D86-A349-AEED21B61C49}"/>
                </a:ext>
              </a:extLst>
            </xdr:cNvPr>
            <xdr:cNvSpPr txBox="1"/>
          </xdr:nvSpPr>
          <xdr:spPr>
            <a:xfrm>
              <a:off x="10660380" y="5722418"/>
              <a:ext cx="858055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[𝒌_𝒎𝒊𝒏,𝒌_𝒎𝒂𝒙 ]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8</xdr:col>
      <xdr:colOff>419100</xdr:colOff>
      <xdr:row>43</xdr:row>
      <xdr:rowOff>91440</xdr:rowOff>
    </xdr:from>
    <xdr:ext cx="6464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1DE3217-66AB-4380-95A5-7BD6C1E94A60}"/>
                </a:ext>
              </a:extLst>
            </xdr:cNvPr>
            <xdr:cNvSpPr txBox="1"/>
          </xdr:nvSpPr>
          <xdr:spPr>
            <a:xfrm>
              <a:off x="10767060" y="6294120"/>
              <a:ext cx="6464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𝒌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𝒎𝒊𝒏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𝟑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1DE3217-66AB-4380-95A5-7BD6C1E94A60}"/>
                </a:ext>
              </a:extLst>
            </xdr:cNvPr>
            <xdr:cNvSpPr txBox="1"/>
          </xdr:nvSpPr>
          <xdr:spPr>
            <a:xfrm>
              <a:off x="10767060" y="6294120"/>
              <a:ext cx="6464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𝒌_𝒎𝒊𝒏=𝟑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10</xdr:col>
      <xdr:colOff>22860</xdr:colOff>
      <xdr:row>31</xdr:row>
      <xdr:rowOff>76200</xdr:rowOff>
    </xdr:from>
    <xdr:ext cx="1516184" cy="24057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0055358-B8D4-4FFC-A0B9-52DFEA30F809}"/>
                </a:ext>
              </a:extLst>
            </xdr:cNvPr>
            <xdr:cNvSpPr txBox="1"/>
          </xdr:nvSpPr>
          <xdr:spPr>
            <a:xfrm>
              <a:off x="8892540" y="6850380"/>
              <a:ext cx="1516184" cy="2405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𝒌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𝒎𝒂𝒙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𝟐</m:t>
                    </m:r>
                    <m:func>
                      <m:func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limLow>
                          <m:limLow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a:rPr lang="en-US" sz="1200" b="1" i="0">
                                <a:latin typeface="Cambria Math" panose="02040503050406030204" pitchFamily="18" charset="0"/>
                              </a:rPr>
                              <m:t>𝐦𝐢𝐧</m:t>
                            </m:r>
                          </m:e>
                          <m:lim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lim>
                        </m:limLow>
                      </m:fName>
                      <m:e>
                        <m:d>
                          <m:dPr>
                            <m:begChr m:val="|"/>
                            <m:endChr m:val="|"/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𝑲</m:t>
                                </m:r>
                              </m:e>
                              <m: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𝒊</m:t>
                                </m:r>
                              </m:sub>
                            </m:sSub>
                          </m:e>
                        </m:d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e>
                    </m:func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0055358-B8D4-4FFC-A0B9-52DFEA30F809}"/>
                </a:ext>
              </a:extLst>
            </xdr:cNvPr>
            <xdr:cNvSpPr txBox="1"/>
          </xdr:nvSpPr>
          <xdr:spPr>
            <a:xfrm>
              <a:off x="8892540" y="6850380"/>
              <a:ext cx="1516184" cy="2405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𝒌_𝒎𝒂𝒙=𝟐  (𝐦𝐢𝐧)_𝒊⁡〖|𝑲_𝒊 |−𝟑〗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8</xdr:col>
      <xdr:colOff>53340</xdr:colOff>
      <xdr:row>28</xdr:row>
      <xdr:rowOff>99060</xdr:rowOff>
    </xdr:from>
    <xdr:ext cx="61638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C692577-3514-40BE-89A6-07349D9EE922}"/>
                </a:ext>
              </a:extLst>
            </xdr:cNvPr>
            <xdr:cNvSpPr txBox="1"/>
          </xdr:nvSpPr>
          <xdr:spPr>
            <a:xfrm>
              <a:off x="8923020" y="5730240"/>
              <a:ext cx="61638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𝟔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C692577-3514-40BE-89A6-07349D9EE922}"/>
                </a:ext>
              </a:extLst>
            </xdr:cNvPr>
            <xdr:cNvSpPr txBox="1"/>
          </xdr:nvSpPr>
          <xdr:spPr>
            <a:xfrm>
              <a:off x="8923020" y="5730240"/>
              <a:ext cx="61638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|𝑲_𝟏 |=𝟔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8</xdr:col>
      <xdr:colOff>53340</xdr:colOff>
      <xdr:row>31</xdr:row>
      <xdr:rowOff>99060</xdr:rowOff>
    </xdr:from>
    <xdr:ext cx="61638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3A945FCA-9BAF-4DD3-A0B7-2D31497B259D}"/>
                </a:ext>
              </a:extLst>
            </xdr:cNvPr>
            <xdr:cNvSpPr txBox="1"/>
          </xdr:nvSpPr>
          <xdr:spPr>
            <a:xfrm>
              <a:off x="8923020" y="6301740"/>
              <a:ext cx="61638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𝑲</m:t>
                            </m:r>
                          </m:e>
                          <m:sub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𝟒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3A945FCA-9BAF-4DD3-A0B7-2D31497B259D}"/>
                </a:ext>
              </a:extLst>
            </xdr:cNvPr>
            <xdr:cNvSpPr txBox="1"/>
          </xdr:nvSpPr>
          <xdr:spPr>
            <a:xfrm>
              <a:off x="8923020" y="6301740"/>
              <a:ext cx="61638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|𝑲_𝟐 |=𝟒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8</xdr:col>
      <xdr:colOff>419100</xdr:colOff>
      <xdr:row>46</xdr:row>
      <xdr:rowOff>91440</xdr:rowOff>
    </xdr:from>
    <xdr:ext cx="6666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AD0B2E1-E49B-4705-8919-BDAD38037283}"/>
                </a:ext>
              </a:extLst>
            </xdr:cNvPr>
            <xdr:cNvSpPr txBox="1"/>
          </xdr:nvSpPr>
          <xdr:spPr>
            <a:xfrm>
              <a:off x="6332220" y="9151620"/>
              <a:ext cx="6666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𝒌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𝒎𝒂𝒙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200" b="1" i="1">
                        <a:latin typeface="Cambria Math" panose="02040503050406030204" pitchFamily="18" charset="0"/>
                      </a:rPr>
                      <m:t>𝟓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AD0B2E1-E49B-4705-8919-BDAD38037283}"/>
                </a:ext>
              </a:extLst>
            </xdr:cNvPr>
            <xdr:cNvSpPr txBox="1"/>
          </xdr:nvSpPr>
          <xdr:spPr>
            <a:xfrm>
              <a:off x="6332220" y="9151620"/>
              <a:ext cx="6666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</a:rPr>
                <a:t>𝒌_𝒎𝒂𝒙=𝟓</a:t>
              </a:r>
              <a:endParaRPr lang="en-US" sz="1200" b="1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320040</xdr:colOff>
      <xdr:row>16</xdr:row>
      <xdr:rowOff>76200</xdr:rowOff>
    </xdr:from>
    <xdr:ext cx="1701556" cy="8324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42365BF-9E66-49C3-9F15-7ADC760C89E7}"/>
                </a:ext>
              </a:extLst>
            </xdr:cNvPr>
            <xdr:cNvSpPr txBox="1"/>
          </xdr:nvSpPr>
          <xdr:spPr>
            <a:xfrm>
              <a:off x="6233160" y="3124200"/>
              <a:ext cx="1701556" cy="8324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𝒌</m:t>
                        </m:r>
                      </m:sub>
                    </m:sSub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"/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𝟏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, </m:t>
                            </m:r>
                            <m:f>
                              <m:f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sz="1200" b="1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</a:rPr>
                                      <m:t>𝒂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</a:rPr>
                                      <m:t>𝒌</m:t>
                                    </m:r>
                                  </m:sub>
                                </m:s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(</m:t>
                                </m:r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𝑺</m:t>
                                </m:r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)</m:t>
                                </m:r>
                              </m:num>
                              <m:den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𝒌</m:t>
                                </m:r>
                              </m:den>
                            </m:f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&gt;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𝟓</m:t>
                            </m:r>
                          </m:e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, </m:t>
                            </m:r>
                            <m:f>
                              <m:f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sz="1200" b="1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</a:rPr>
                                      <m:t>𝒂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</a:rPr>
                                      <m:t>𝒌</m:t>
                                    </m:r>
                                  </m:sub>
                                </m:s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(</m:t>
                                </m:r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𝑺</m:t>
                                </m:r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)</m:t>
                                </m:r>
                              </m:num>
                              <m:den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𝒌</m:t>
                                </m:r>
                              </m:den>
                            </m:f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≤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𝟓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42365BF-9E66-49C3-9F15-7ADC760C89E7}"/>
                </a:ext>
              </a:extLst>
            </xdr:cNvPr>
            <xdr:cNvSpPr txBox="1"/>
          </xdr:nvSpPr>
          <xdr:spPr>
            <a:xfrm>
              <a:off x="6233160" y="3124200"/>
              <a:ext cx="1701556" cy="8324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𝒃_𝒌 (𝑺)={█(𝟏, (𝒂_𝒌 (𝑺))/𝒌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&gt;𝟎.𝟓@</a:t>
              </a:r>
              <a:r>
                <a:rPr lang="en-US" sz="1200" b="1" i="0">
                  <a:latin typeface="Cambria Math" panose="02040503050406030204" pitchFamily="18" charset="0"/>
                </a:rPr>
                <a:t>𝟎, (𝒂_𝒌 (𝑺))/𝒌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≤𝟎.𝟓)┤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8</xdr:col>
      <xdr:colOff>335280</xdr:colOff>
      <xdr:row>77</xdr:row>
      <xdr:rowOff>76200</xdr:rowOff>
    </xdr:from>
    <xdr:ext cx="1701556" cy="8324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30E927C-7448-45A7-B076-67A4AF5526A7}"/>
                </a:ext>
              </a:extLst>
            </xdr:cNvPr>
            <xdr:cNvSpPr txBox="1"/>
          </xdr:nvSpPr>
          <xdr:spPr>
            <a:xfrm>
              <a:off x="6248400" y="14744700"/>
              <a:ext cx="1701556" cy="8324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𝒃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𝒌</m:t>
                        </m:r>
                      </m:sub>
                    </m:sSub>
                    <m:d>
                      <m:d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</m:d>
                    <m:r>
                      <a:rPr lang="en-US" sz="1200" b="1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"/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1200" b="1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𝟏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, </m:t>
                            </m:r>
                            <m:f>
                              <m:f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sz="1200" b="1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</a:rPr>
                                      <m:t>𝒂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</a:rPr>
                                      <m:t>𝒌</m:t>
                                    </m:r>
                                  </m:sub>
                                </m:s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(</m:t>
                                </m:r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𝑺</m:t>
                                </m:r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)</m:t>
                                </m:r>
                              </m:num>
                              <m:den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𝒌</m:t>
                                </m:r>
                              </m:den>
                            </m:f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&gt;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𝟓</m:t>
                            </m:r>
                          </m:e>
                          <m:e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</a:rPr>
                              <m:t>, </m:t>
                            </m:r>
                            <m:f>
                              <m:fPr>
                                <m:ctrlP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sz="1200" b="1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</a:rPr>
                                      <m:t>𝒂</m:t>
                                    </m:r>
                                  </m:e>
                                  <m:sub>
                                    <m:r>
                                      <a:rPr lang="en-US" sz="1200" b="1" i="1">
                                        <a:latin typeface="Cambria Math" panose="02040503050406030204" pitchFamily="18" charset="0"/>
                                      </a:rPr>
                                      <m:t>𝒌</m:t>
                                    </m:r>
                                  </m:sub>
                                </m:sSub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(</m:t>
                                </m:r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𝑺</m:t>
                                </m:r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)</m:t>
                                </m:r>
                              </m:num>
                              <m:den>
                                <m:r>
                                  <a:rPr lang="en-US" sz="1200" b="1" i="1">
                                    <a:latin typeface="Cambria Math" panose="02040503050406030204" pitchFamily="18" charset="0"/>
                                  </a:rPr>
                                  <m:t>𝒌</m:t>
                                </m:r>
                              </m:den>
                            </m:f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≤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n-US" sz="12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𝟓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30E927C-7448-45A7-B076-67A4AF5526A7}"/>
                </a:ext>
              </a:extLst>
            </xdr:cNvPr>
            <xdr:cNvSpPr txBox="1"/>
          </xdr:nvSpPr>
          <xdr:spPr>
            <a:xfrm>
              <a:off x="6248400" y="14744700"/>
              <a:ext cx="1701556" cy="8324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𝒃_𝒌 (𝑺)={█(𝟏, (𝒂_𝒌 (𝑺))/𝒌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&gt;𝟎.𝟓@</a:t>
              </a:r>
              <a:r>
                <a:rPr lang="en-US" sz="1200" b="1" i="0">
                  <a:latin typeface="Cambria Math" panose="02040503050406030204" pitchFamily="18" charset="0"/>
                </a:rPr>
                <a:t>𝟎, (𝒂_𝒌 (𝑺))/𝒌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≤𝟎.𝟓)┤</a:t>
              </a:r>
              <a:endParaRPr lang="en-US" sz="1200" b="1"/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34</xdr:row>
      <xdr:rowOff>30480</xdr:rowOff>
    </xdr:from>
    <xdr:ext cx="55626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C651DC3-C3D2-4748-A54D-F8D0031E43ED}"/>
                </a:ext>
              </a:extLst>
            </xdr:cNvPr>
            <xdr:cNvSpPr txBox="1"/>
          </xdr:nvSpPr>
          <xdr:spPr>
            <a:xfrm>
              <a:off x="76200" y="6835140"/>
              <a:ext cx="55626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𝝁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C651DC3-C3D2-4748-A54D-F8D0031E43ED}"/>
                </a:ext>
              </a:extLst>
            </xdr:cNvPr>
            <xdr:cNvSpPr txBox="1"/>
          </xdr:nvSpPr>
          <xdr:spPr>
            <a:xfrm>
              <a:off x="76200" y="6835140"/>
              <a:ext cx="55626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𝝁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76200</xdr:colOff>
      <xdr:row>34</xdr:row>
      <xdr:rowOff>30480</xdr:rowOff>
    </xdr:from>
    <xdr:ext cx="5562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4F13A1E-5103-4383-B925-78758DD784A5}"/>
                </a:ext>
              </a:extLst>
            </xdr:cNvPr>
            <xdr:cNvSpPr txBox="1"/>
          </xdr:nvSpPr>
          <xdr:spPr>
            <a:xfrm>
              <a:off x="815340" y="6835140"/>
              <a:ext cx="5562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𝝁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4F13A1E-5103-4383-B925-78758DD784A5}"/>
                </a:ext>
              </a:extLst>
            </xdr:cNvPr>
            <xdr:cNvSpPr txBox="1"/>
          </xdr:nvSpPr>
          <xdr:spPr>
            <a:xfrm>
              <a:off x="815340" y="6835140"/>
              <a:ext cx="5562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𝒅_𝟏𝟑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𝝁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76200</xdr:colOff>
      <xdr:row>34</xdr:row>
      <xdr:rowOff>30480</xdr:rowOff>
    </xdr:from>
    <xdr:ext cx="5562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BA72661-5E59-445E-8DCF-9A74B49965D1}"/>
                </a:ext>
              </a:extLst>
            </xdr:cNvPr>
            <xdr:cNvSpPr txBox="1"/>
          </xdr:nvSpPr>
          <xdr:spPr>
            <a:xfrm>
              <a:off x="1554480" y="6835140"/>
              <a:ext cx="5562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𝝁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BA72661-5E59-445E-8DCF-9A74B49965D1}"/>
                </a:ext>
              </a:extLst>
            </xdr:cNvPr>
            <xdr:cNvSpPr txBox="1"/>
          </xdr:nvSpPr>
          <xdr:spPr>
            <a:xfrm>
              <a:off x="1554480" y="6835140"/>
              <a:ext cx="5562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𝒅_𝟐𝟑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𝝁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76200</xdr:colOff>
      <xdr:row>34</xdr:row>
      <xdr:rowOff>30480</xdr:rowOff>
    </xdr:from>
    <xdr:ext cx="5562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3F96995-0A8E-44EB-80F4-18F22879B8E1}"/>
                </a:ext>
              </a:extLst>
            </xdr:cNvPr>
            <xdr:cNvSpPr txBox="1"/>
          </xdr:nvSpPr>
          <xdr:spPr>
            <a:xfrm>
              <a:off x="2293620" y="6835140"/>
              <a:ext cx="5562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𝝁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3F96995-0A8E-44EB-80F4-18F22879B8E1}"/>
                </a:ext>
              </a:extLst>
            </xdr:cNvPr>
            <xdr:cNvSpPr txBox="1"/>
          </xdr:nvSpPr>
          <xdr:spPr>
            <a:xfrm>
              <a:off x="2293620" y="6835140"/>
              <a:ext cx="5562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𝒏(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𝝁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76200</xdr:colOff>
      <xdr:row>34</xdr:row>
      <xdr:rowOff>30480</xdr:rowOff>
    </xdr:from>
    <xdr:ext cx="5562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68F350F-DE96-44C9-8F74-2AEC37DBCFCB}"/>
                </a:ext>
              </a:extLst>
            </xdr:cNvPr>
            <xdr:cNvSpPr txBox="1"/>
          </xdr:nvSpPr>
          <xdr:spPr>
            <a:xfrm>
              <a:off x="3032760" y="6835140"/>
              <a:ext cx="5562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𝒇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𝝁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68F350F-DE96-44C9-8F74-2AEC37DBCFCB}"/>
                </a:ext>
              </a:extLst>
            </xdr:cNvPr>
            <xdr:cNvSpPr txBox="1"/>
          </xdr:nvSpPr>
          <xdr:spPr>
            <a:xfrm>
              <a:off x="3032760" y="6835140"/>
              <a:ext cx="5562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𝒇_𝟑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𝝁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83820</xdr:colOff>
      <xdr:row>34</xdr:row>
      <xdr:rowOff>220980</xdr:rowOff>
    </xdr:from>
    <xdr:ext cx="556260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CB7E44C2-7EBA-478E-A752-EF1C700B1654}"/>
                </a:ext>
              </a:extLst>
            </xdr:cNvPr>
            <xdr:cNvSpPr txBox="1"/>
          </xdr:nvSpPr>
          <xdr:spPr>
            <a:xfrm>
              <a:off x="5257800" y="7025640"/>
              <a:ext cx="556260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𝒈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CB7E44C2-7EBA-478E-A752-EF1C700B1654}"/>
                </a:ext>
              </a:extLst>
            </xdr:cNvPr>
            <xdr:cNvSpPr txBox="1"/>
          </xdr:nvSpPr>
          <xdr:spPr>
            <a:xfrm>
              <a:off x="5257800" y="7025640"/>
              <a:ext cx="556260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𝒈_𝟑=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205740</xdr:colOff>
      <xdr:row>34</xdr:row>
      <xdr:rowOff>38100</xdr:rowOff>
    </xdr:from>
    <xdr:ext cx="315151" cy="18037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8A4CA24-24AB-4673-B4EF-D55F509739A8}"/>
            </a:ext>
          </a:extLst>
        </xdr:cNvPr>
        <xdr:cNvSpPr txBox="1"/>
      </xdr:nvSpPr>
      <xdr:spPr>
        <a:xfrm>
          <a:off x="3901440" y="6842760"/>
          <a:ext cx="315151" cy="1803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200" b="1">
              <a:latin typeface="Cambria Math" panose="02040503050406030204" pitchFamily="18" charset="0"/>
              <a:ea typeface="Cambria Math" panose="02040503050406030204" pitchFamily="18" charset="0"/>
            </a:rPr>
            <a:t>Infer</a:t>
          </a:r>
        </a:p>
      </xdr:txBody>
    </xdr:sp>
    <xdr:clientData/>
  </xdr:oneCellAnchor>
  <xdr:twoCellAnchor>
    <xdr:from>
      <xdr:col>6</xdr:col>
      <xdr:colOff>198120</xdr:colOff>
      <xdr:row>34</xdr:row>
      <xdr:rowOff>221437</xdr:rowOff>
    </xdr:from>
    <xdr:to>
      <xdr:col>6</xdr:col>
      <xdr:colOff>502920</xdr:colOff>
      <xdr:row>36</xdr:row>
      <xdr:rowOff>30023</xdr:rowOff>
    </xdr:to>
    <xdr:sp macro="" textlink="">
      <xdr:nvSpPr>
        <xdr:cNvPr id="15" name="Right Brace 14">
          <a:extLst>
            <a:ext uri="{FF2B5EF4-FFF2-40B4-BE49-F238E27FC236}">
              <a16:creationId xmlns:a16="http://schemas.microsoft.com/office/drawing/2014/main" id="{AB45AE5E-53F1-4C29-836F-7B8AB5E47EA2}"/>
            </a:ext>
          </a:extLst>
        </xdr:cNvPr>
        <xdr:cNvSpPr/>
      </xdr:nvSpPr>
      <xdr:spPr>
        <a:xfrm>
          <a:off x="4632960" y="7026097"/>
          <a:ext cx="304800" cy="258166"/>
        </a:xfrm>
        <a:prstGeom prst="rightBrac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0</xdr:col>
      <xdr:colOff>76200</xdr:colOff>
      <xdr:row>40</xdr:row>
      <xdr:rowOff>30480</xdr:rowOff>
    </xdr:from>
    <xdr:ext cx="55626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6B50B622-1ECA-469F-87E1-6265E408CDAE}"/>
                </a:ext>
              </a:extLst>
            </xdr:cNvPr>
            <xdr:cNvSpPr txBox="1"/>
          </xdr:nvSpPr>
          <xdr:spPr>
            <a:xfrm>
              <a:off x="76200" y="6835140"/>
              <a:ext cx="55626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𝝁</m:t>
                    </m:r>
                  </m:oMath>
                </m:oMathPara>
              </a14:m>
              <a:endParaRPr lang="en-US" sz="1200" b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6B50B622-1ECA-469F-87E1-6265E408CDAE}"/>
                </a:ext>
              </a:extLst>
            </xdr:cNvPr>
            <xdr:cNvSpPr txBox="1"/>
          </xdr:nvSpPr>
          <xdr:spPr>
            <a:xfrm>
              <a:off x="76200" y="6835140"/>
              <a:ext cx="55626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𝝁</a:t>
              </a:r>
              <a:endParaRPr lang="en-US" sz="1200" b="1"/>
            </a:p>
          </xdr:txBody>
        </xdr:sp>
      </mc:Fallback>
    </mc:AlternateContent>
    <xdr:clientData/>
  </xdr:oneCellAnchor>
  <xdr:oneCellAnchor>
    <xdr:from>
      <xdr:col>1</xdr:col>
      <xdr:colOff>76200</xdr:colOff>
      <xdr:row>40</xdr:row>
      <xdr:rowOff>30480</xdr:rowOff>
    </xdr:from>
    <xdr:ext cx="5562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581A750-FE0B-4D8B-AE6A-B18E508B9449}"/>
                </a:ext>
              </a:extLst>
            </xdr:cNvPr>
            <xdr:cNvSpPr txBox="1"/>
          </xdr:nvSpPr>
          <xdr:spPr>
            <a:xfrm>
              <a:off x="815340" y="6835140"/>
              <a:ext cx="5562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𝝁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581A750-FE0B-4D8B-AE6A-B18E508B9449}"/>
                </a:ext>
              </a:extLst>
            </xdr:cNvPr>
            <xdr:cNvSpPr txBox="1"/>
          </xdr:nvSpPr>
          <xdr:spPr>
            <a:xfrm>
              <a:off x="815340" y="6835140"/>
              <a:ext cx="5562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𝒅_𝟏𝟑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𝝁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76200</xdr:colOff>
      <xdr:row>40</xdr:row>
      <xdr:rowOff>30480</xdr:rowOff>
    </xdr:from>
    <xdr:ext cx="5562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E6C73BDD-92A4-45D7-9035-D434065BC836}"/>
                </a:ext>
              </a:extLst>
            </xdr:cNvPr>
            <xdr:cNvSpPr txBox="1"/>
          </xdr:nvSpPr>
          <xdr:spPr>
            <a:xfrm>
              <a:off x="1554480" y="6835140"/>
              <a:ext cx="5562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𝝁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E6C73BDD-92A4-45D7-9035-D434065BC836}"/>
                </a:ext>
              </a:extLst>
            </xdr:cNvPr>
            <xdr:cNvSpPr txBox="1"/>
          </xdr:nvSpPr>
          <xdr:spPr>
            <a:xfrm>
              <a:off x="1554480" y="6835140"/>
              <a:ext cx="5562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𝒅_𝟐𝟑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𝝁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76200</xdr:colOff>
      <xdr:row>40</xdr:row>
      <xdr:rowOff>30480</xdr:rowOff>
    </xdr:from>
    <xdr:ext cx="5562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BC00A07-7A6E-44FA-BE45-2C53F4851E36}"/>
                </a:ext>
              </a:extLst>
            </xdr:cNvPr>
            <xdr:cNvSpPr txBox="1"/>
          </xdr:nvSpPr>
          <xdr:spPr>
            <a:xfrm>
              <a:off x="2293620" y="6835140"/>
              <a:ext cx="5562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𝒏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𝝁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BC00A07-7A6E-44FA-BE45-2C53F4851E36}"/>
                </a:ext>
              </a:extLst>
            </xdr:cNvPr>
            <xdr:cNvSpPr txBox="1"/>
          </xdr:nvSpPr>
          <xdr:spPr>
            <a:xfrm>
              <a:off x="2293620" y="6835140"/>
              <a:ext cx="5562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𝒏(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𝝁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76200</xdr:colOff>
      <xdr:row>40</xdr:row>
      <xdr:rowOff>30480</xdr:rowOff>
    </xdr:from>
    <xdr:ext cx="556260" cy="18043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286E46DF-EBE1-47F1-9666-32D2908AFF57}"/>
                </a:ext>
              </a:extLst>
            </xdr:cNvPr>
            <xdr:cNvSpPr txBox="1"/>
          </xdr:nvSpPr>
          <xdr:spPr>
            <a:xfrm>
              <a:off x="3032760" y="6835140"/>
              <a:ext cx="5562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𝒇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en-US" sz="12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𝝁</m:t>
                    </m:r>
                    <m:r>
                      <a:rPr lang="en-US" sz="12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286E46DF-EBE1-47F1-9666-32D2908AFF57}"/>
                </a:ext>
              </a:extLst>
            </xdr:cNvPr>
            <xdr:cNvSpPr txBox="1"/>
          </xdr:nvSpPr>
          <xdr:spPr>
            <a:xfrm>
              <a:off x="3032760" y="6835140"/>
              <a:ext cx="556260" cy="1804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𝒇_𝟑 (</a:t>
              </a:r>
              <a:r>
                <a:rPr lang="en-US" sz="12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𝝁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en-US" sz="12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83820</xdr:colOff>
      <xdr:row>40</xdr:row>
      <xdr:rowOff>220980</xdr:rowOff>
    </xdr:from>
    <xdr:ext cx="556260" cy="2105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93442C8C-77A5-490A-8AFB-55B23BAFD60A}"/>
                </a:ext>
              </a:extLst>
            </xdr:cNvPr>
            <xdr:cNvSpPr txBox="1"/>
          </xdr:nvSpPr>
          <xdr:spPr>
            <a:xfrm>
              <a:off x="5257800" y="7025640"/>
              <a:ext cx="556260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𝒈</m:t>
                        </m:r>
                      </m:e>
                      <m:sub>
                        <m:r>
                          <a:rPr lang="en-US" sz="14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4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93442C8C-77A5-490A-8AFB-55B23BAFD60A}"/>
                </a:ext>
              </a:extLst>
            </xdr:cNvPr>
            <xdr:cNvSpPr txBox="1"/>
          </xdr:nvSpPr>
          <xdr:spPr>
            <a:xfrm>
              <a:off x="5257800" y="7025640"/>
              <a:ext cx="556260" cy="2105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𝒈_𝟑=</a:t>
              </a:r>
              <a:endParaRPr lang="en-US" sz="1400" b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205740</xdr:colOff>
      <xdr:row>40</xdr:row>
      <xdr:rowOff>38100</xdr:rowOff>
    </xdr:from>
    <xdr:ext cx="315151" cy="18037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0C6157C-C035-4587-96DE-D5F15FB4974D}"/>
            </a:ext>
          </a:extLst>
        </xdr:cNvPr>
        <xdr:cNvSpPr txBox="1"/>
      </xdr:nvSpPr>
      <xdr:spPr>
        <a:xfrm>
          <a:off x="3901440" y="6842760"/>
          <a:ext cx="315151" cy="1803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200" b="1">
              <a:latin typeface="Cambria Math" panose="02040503050406030204" pitchFamily="18" charset="0"/>
              <a:ea typeface="Cambria Math" panose="02040503050406030204" pitchFamily="18" charset="0"/>
            </a:rPr>
            <a:t>Infer</a:t>
          </a:r>
        </a:p>
      </xdr:txBody>
    </xdr:sp>
    <xdr:clientData/>
  </xdr:oneCellAnchor>
  <xdr:twoCellAnchor>
    <xdr:from>
      <xdr:col>6</xdr:col>
      <xdr:colOff>198120</xdr:colOff>
      <xdr:row>40</xdr:row>
      <xdr:rowOff>221437</xdr:rowOff>
    </xdr:from>
    <xdr:to>
      <xdr:col>6</xdr:col>
      <xdr:colOff>502920</xdr:colOff>
      <xdr:row>42</xdr:row>
      <xdr:rowOff>30023</xdr:rowOff>
    </xdr:to>
    <xdr:sp macro="" textlink="">
      <xdr:nvSpPr>
        <xdr:cNvPr id="23" name="Right Brace 22">
          <a:extLst>
            <a:ext uri="{FF2B5EF4-FFF2-40B4-BE49-F238E27FC236}">
              <a16:creationId xmlns:a16="http://schemas.microsoft.com/office/drawing/2014/main" id="{88226E97-2EF5-431D-930E-D448D5824657}"/>
            </a:ext>
          </a:extLst>
        </xdr:cNvPr>
        <xdr:cNvSpPr/>
      </xdr:nvSpPr>
      <xdr:spPr>
        <a:xfrm>
          <a:off x="4632960" y="7026097"/>
          <a:ext cx="304800" cy="258166"/>
        </a:xfrm>
        <a:prstGeom prst="rightBrac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"/>
  <sheetViews>
    <sheetView zoomScaleNormal="100" workbookViewId="0">
      <selection activeCell="D18" sqref="D18"/>
    </sheetView>
  </sheetViews>
  <sheetFormatPr defaultRowHeight="14.4" x14ac:dyDescent="0.3"/>
  <cols>
    <col min="1" max="1" width="8.109375" customWidth="1"/>
    <col min="2" max="7" width="10.77734375" customWidth="1"/>
    <col min="8" max="8" width="8" customWidth="1"/>
    <col min="9" max="13" width="10.77734375" customWidth="1"/>
    <col min="14" max="14" width="9.77734375" customWidth="1"/>
    <col min="17" max="19" width="10.77734375" customWidth="1"/>
  </cols>
  <sheetData>
    <row r="1" spans="1:25" ht="15.6" x14ac:dyDescent="0.3">
      <c r="A1" s="56" t="s">
        <v>3</v>
      </c>
      <c r="B1" s="57"/>
      <c r="C1" s="57"/>
      <c r="D1" s="57"/>
      <c r="E1" s="57"/>
      <c r="F1" s="57"/>
      <c r="G1" s="57"/>
      <c r="H1" s="58"/>
    </row>
    <row r="2" spans="1:25" ht="15.6" x14ac:dyDescent="0.3">
      <c r="A2" s="3" t="s">
        <v>0</v>
      </c>
      <c r="B2" s="9"/>
      <c r="C2" s="9"/>
      <c r="D2" s="9"/>
      <c r="E2" s="9"/>
      <c r="F2" s="9"/>
      <c r="G2" s="9"/>
      <c r="H2" s="4" t="s">
        <v>1</v>
      </c>
      <c r="J2" s="49" t="s">
        <v>110</v>
      </c>
      <c r="K2" s="7"/>
      <c r="L2" s="2"/>
      <c r="M2" s="2"/>
      <c r="Y2" s="1"/>
    </row>
    <row r="3" spans="1:25" ht="15.6" x14ac:dyDescent="0.3">
      <c r="A3" s="4"/>
      <c r="B3" s="11">
        <v>129</v>
      </c>
      <c r="C3" s="11">
        <v>64</v>
      </c>
      <c r="D3" s="11">
        <v>95</v>
      </c>
      <c r="E3" s="11">
        <v>17.5</v>
      </c>
      <c r="F3" s="11">
        <v>11.2</v>
      </c>
      <c r="G3" s="11">
        <v>13.8</v>
      </c>
      <c r="H3" s="5">
        <v>1</v>
      </c>
      <c r="J3" s="49" t="s">
        <v>111</v>
      </c>
      <c r="K3" s="2"/>
      <c r="L3" s="2"/>
      <c r="M3" s="2"/>
    </row>
    <row r="4" spans="1:25" ht="15.6" x14ac:dyDescent="0.3">
      <c r="A4" s="4"/>
      <c r="B4" s="11">
        <v>154</v>
      </c>
      <c r="C4" s="11">
        <v>74</v>
      </c>
      <c r="D4" s="11">
        <v>76</v>
      </c>
      <c r="E4" s="11">
        <v>20</v>
      </c>
      <c r="F4" s="11">
        <v>14.2</v>
      </c>
      <c r="G4" s="11">
        <v>16.5</v>
      </c>
      <c r="H4" s="5">
        <v>1</v>
      </c>
      <c r="J4" s="2"/>
      <c r="K4" s="2"/>
      <c r="L4" s="2"/>
      <c r="M4" s="2"/>
    </row>
    <row r="5" spans="1:25" ht="15.6" x14ac:dyDescent="0.3">
      <c r="A5" s="4"/>
      <c r="B5" s="11">
        <v>199</v>
      </c>
      <c r="C5" s="11">
        <v>105</v>
      </c>
      <c r="D5" s="11">
        <v>73</v>
      </c>
      <c r="E5" s="11">
        <v>23.4</v>
      </c>
      <c r="F5" s="11">
        <v>15</v>
      </c>
      <c r="G5" s="11">
        <v>19.100000000000001</v>
      </c>
      <c r="H5" s="5">
        <v>2</v>
      </c>
      <c r="J5" s="55" t="s">
        <v>2</v>
      </c>
      <c r="K5" s="55"/>
      <c r="L5" s="55"/>
      <c r="M5" s="8">
        <v>1</v>
      </c>
    </row>
    <row r="6" spans="1:25" ht="15.6" x14ac:dyDescent="0.3">
      <c r="A6" s="4"/>
      <c r="B6" s="11">
        <v>170</v>
      </c>
      <c r="C6" s="11">
        <v>87</v>
      </c>
      <c r="D6" s="11">
        <v>71</v>
      </c>
      <c r="E6" s="11">
        <v>17.899999999999999</v>
      </c>
      <c r="F6" s="11">
        <v>12.3</v>
      </c>
      <c r="G6" s="11">
        <v>15.9</v>
      </c>
      <c r="H6" s="5">
        <v>1</v>
      </c>
    </row>
    <row r="7" spans="1:25" ht="15.6" x14ac:dyDescent="0.3">
      <c r="A7" s="4"/>
      <c r="B7" s="11">
        <v>227</v>
      </c>
      <c r="C7" s="11">
        <v>117</v>
      </c>
      <c r="D7" s="11">
        <v>77</v>
      </c>
      <c r="E7" s="11">
        <v>25</v>
      </c>
      <c r="F7" s="11">
        <v>15.3</v>
      </c>
      <c r="G7" s="11">
        <v>18.600000000000001</v>
      </c>
      <c r="H7" s="5">
        <v>2</v>
      </c>
    </row>
    <row r="8" spans="1:25" ht="15.6" x14ac:dyDescent="0.3">
      <c r="A8" s="4"/>
      <c r="B8" s="11">
        <v>188</v>
      </c>
      <c r="C8" s="11">
        <v>94</v>
      </c>
      <c r="D8" s="11">
        <v>73</v>
      </c>
      <c r="E8" s="11">
        <v>19.5</v>
      </c>
      <c r="F8" s="11">
        <v>13.3</v>
      </c>
      <c r="G8" s="11">
        <v>14.8</v>
      </c>
      <c r="H8" s="5">
        <v>1</v>
      </c>
    </row>
    <row r="9" spans="1:25" ht="15.6" x14ac:dyDescent="0.3">
      <c r="A9" s="4"/>
      <c r="B9" s="11">
        <v>161</v>
      </c>
      <c r="C9" s="11">
        <v>81</v>
      </c>
      <c r="D9" s="11">
        <v>55</v>
      </c>
      <c r="E9" s="11">
        <v>17.100000000000001</v>
      </c>
      <c r="F9" s="11">
        <v>12.1</v>
      </c>
      <c r="G9" s="11">
        <v>13</v>
      </c>
      <c r="H9" s="5">
        <v>1</v>
      </c>
    </row>
    <row r="10" spans="1:25" ht="15.6" x14ac:dyDescent="0.3">
      <c r="A10" s="4"/>
      <c r="B10" s="11">
        <v>164</v>
      </c>
      <c r="C10" s="11">
        <v>90</v>
      </c>
      <c r="D10" s="11">
        <v>58</v>
      </c>
      <c r="E10" s="11">
        <v>17.5</v>
      </c>
      <c r="F10" s="11">
        <v>12.7</v>
      </c>
      <c r="G10" s="11">
        <v>14.7</v>
      </c>
      <c r="H10" s="5">
        <v>1</v>
      </c>
    </row>
    <row r="11" spans="1:25" ht="15.6" x14ac:dyDescent="0.3">
      <c r="A11" s="4"/>
      <c r="B11" s="11">
        <v>228</v>
      </c>
      <c r="C11" s="11">
        <v>122</v>
      </c>
      <c r="D11" s="11">
        <v>82</v>
      </c>
      <c r="E11" s="11">
        <v>24.7</v>
      </c>
      <c r="F11" s="11">
        <v>15</v>
      </c>
      <c r="G11" s="11">
        <v>18.5</v>
      </c>
      <c r="H11" s="5">
        <v>2</v>
      </c>
    </row>
    <row r="12" spans="1:25" ht="15.6" x14ac:dyDescent="0.3">
      <c r="A12" s="4"/>
      <c r="B12" s="11">
        <v>232</v>
      </c>
      <c r="C12" s="11">
        <v>123</v>
      </c>
      <c r="D12" s="11">
        <v>83</v>
      </c>
      <c r="E12" s="11">
        <v>25.3</v>
      </c>
      <c r="F12" s="11">
        <v>16.8</v>
      </c>
      <c r="G12" s="11">
        <v>15.5</v>
      </c>
      <c r="H12" s="5">
        <v>2</v>
      </c>
    </row>
    <row r="13" spans="1:25" ht="15.6" x14ac:dyDescent="0.3">
      <c r="A13" s="2"/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O13" s="2"/>
    </row>
  </sheetData>
  <sortState xmlns:xlrd2="http://schemas.microsoft.com/office/spreadsheetml/2017/richdata2" ref="A2:O11">
    <sortCondition ref="A2"/>
  </sortState>
  <mergeCells count="2">
    <mergeCell ref="J5:L5"/>
    <mergeCell ref="A1:H1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ED6F9-CC8A-4857-9502-A6B905A6BE9E}">
  <dimension ref="A1:N50"/>
  <sheetViews>
    <sheetView topLeftCell="A10" workbookViewId="0">
      <selection activeCell="G17" sqref="G17"/>
    </sheetView>
  </sheetViews>
  <sheetFormatPr defaultRowHeight="14.4" x14ac:dyDescent="0.3"/>
  <cols>
    <col min="2" max="7" width="12.77734375" customWidth="1"/>
    <col min="11" max="16" width="12.77734375" customWidth="1"/>
    <col min="17" max="21" width="8.88671875" customWidth="1"/>
  </cols>
  <sheetData>
    <row r="1" spans="1:13" ht="15.6" x14ac:dyDescent="0.3">
      <c r="A1" s="56" t="s">
        <v>3</v>
      </c>
      <c r="B1" s="57"/>
      <c r="C1" s="57"/>
      <c r="D1" s="57"/>
      <c r="E1" s="57"/>
      <c r="F1" s="57"/>
      <c r="G1" s="57"/>
      <c r="H1" s="58"/>
    </row>
    <row r="2" spans="1:13" ht="15.6" x14ac:dyDescent="0.3">
      <c r="A2" s="3" t="s">
        <v>0</v>
      </c>
      <c r="B2" s="9"/>
      <c r="C2" s="9"/>
      <c r="D2" s="9"/>
      <c r="E2" s="9"/>
      <c r="F2" s="9"/>
      <c r="G2" s="9"/>
      <c r="H2" s="4" t="s">
        <v>1</v>
      </c>
      <c r="J2" s="49" t="s">
        <v>110</v>
      </c>
      <c r="K2" s="7"/>
      <c r="L2" s="2"/>
      <c r="M2" s="2"/>
    </row>
    <row r="3" spans="1:13" ht="15.6" x14ac:dyDescent="0.3">
      <c r="A3" s="4"/>
      <c r="B3" s="11">
        <v>129</v>
      </c>
      <c r="C3" s="11">
        <v>64</v>
      </c>
      <c r="D3" s="11">
        <v>95</v>
      </c>
      <c r="E3" s="11">
        <v>17.5</v>
      </c>
      <c r="F3" s="11">
        <v>11.2</v>
      </c>
      <c r="G3" s="11">
        <v>13.8</v>
      </c>
      <c r="H3" s="5">
        <v>1</v>
      </c>
      <c r="J3" s="49" t="s">
        <v>111</v>
      </c>
      <c r="K3" s="2"/>
      <c r="L3" s="2"/>
      <c r="M3" s="2"/>
    </row>
    <row r="4" spans="1:13" ht="15.6" x14ac:dyDescent="0.3">
      <c r="A4" s="4"/>
      <c r="B4" s="11">
        <v>154</v>
      </c>
      <c r="C4" s="11">
        <v>74</v>
      </c>
      <c r="D4" s="11">
        <v>76</v>
      </c>
      <c r="E4" s="11">
        <v>20</v>
      </c>
      <c r="F4" s="11">
        <v>14.2</v>
      </c>
      <c r="G4" s="11">
        <v>16.5</v>
      </c>
      <c r="H4" s="5">
        <v>1</v>
      </c>
      <c r="J4" s="2"/>
      <c r="K4" s="2"/>
      <c r="L4" s="2"/>
      <c r="M4" s="2"/>
    </row>
    <row r="5" spans="1:13" ht="15.6" x14ac:dyDescent="0.3">
      <c r="A5" s="4"/>
      <c r="B5" s="11">
        <v>199</v>
      </c>
      <c r="C5" s="11">
        <v>105</v>
      </c>
      <c r="D5" s="11">
        <v>73</v>
      </c>
      <c r="E5" s="11">
        <v>23.4</v>
      </c>
      <c r="F5" s="11">
        <v>15</v>
      </c>
      <c r="G5" s="11">
        <v>19.100000000000001</v>
      </c>
      <c r="H5" s="5">
        <v>2</v>
      </c>
    </row>
    <row r="6" spans="1:13" ht="15.6" x14ac:dyDescent="0.3">
      <c r="A6" s="4"/>
      <c r="B6" s="11">
        <v>170</v>
      </c>
      <c r="C6" s="11">
        <v>87</v>
      </c>
      <c r="D6" s="11">
        <v>71</v>
      </c>
      <c r="E6" s="11">
        <v>17.899999999999999</v>
      </c>
      <c r="F6" s="11">
        <v>12.3</v>
      </c>
      <c r="G6" s="11">
        <v>15.9</v>
      </c>
      <c r="H6" s="5">
        <v>1</v>
      </c>
    </row>
    <row r="7" spans="1:13" ht="15.6" x14ac:dyDescent="0.3">
      <c r="A7" s="4"/>
      <c r="B7" s="11">
        <v>227</v>
      </c>
      <c r="C7" s="11">
        <v>117</v>
      </c>
      <c r="D7" s="11">
        <v>77</v>
      </c>
      <c r="E7" s="11">
        <v>25</v>
      </c>
      <c r="F7" s="11">
        <v>15.3</v>
      </c>
      <c r="G7" s="11">
        <v>18.600000000000001</v>
      </c>
      <c r="H7" s="5">
        <v>2</v>
      </c>
    </row>
    <row r="8" spans="1:13" ht="15.6" x14ac:dyDescent="0.3">
      <c r="A8" s="4"/>
      <c r="B8" s="11">
        <v>188</v>
      </c>
      <c r="C8" s="11">
        <v>94</v>
      </c>
      <c r="D8" s="11">
        <v>73</v>
      </c>
      <c r="E8" s="11">
        <v>19.5</v>
      </c>
      <c r="F8" s="11">
        <v>13.3</v>
      </c>
      <c r="G8" s="11">
        <v>14.8</v>
      </c>
      <c r="H8" s="5">
        <v>1</v>
      </c>
    </row>
    <row r="9" spans="1:13" ht="15.6" x14ac:dyDescent="0.3">
      <c r="A9" s="4"/>
      <c r="B9" s="11">
        <v>161</v>
      </c>
      <c r="C9" s="11">
        <v>81</v>
      </c>
      <c r="D9" s="11">
        <v>55</v>
      </c>
      <c r="E9" s="11">
        <v>17.100000000000001</v>
      </c>
      <c r="F9" s="11">
        <v>12.1</v>
      </c>
      <c r="G9" s="11">
        <v>13</v>
      </c>
      <c r="H9" s="5">
        <v>1</v>
      </c>
    </row>
    <row r="10" spans="1:13" ht="15.6" x14ac:dyDescent="0.3">
      <c r="A10" s="4"/>
      <c r="B10" s="11">
        <v>164</v>
      </c>
      <c r="C10" s="11">
        <v>90</v>
      </c>
      <c r="D10" s="11">
        <v>58</v>
      </c>
      <c r="E10" s="11">
        <v>17.5</v>
      </c>
      <c r="F10" s="11">
        <v>12.7</v>
      </c>
      <c r="G10" s="11">
        <v>14.7</v>
      </c>
      <c r="H10" s="5">
        <v>1</v>
      </c>
    </row>
    <row r="11" spans="1:13" ht="15.6" x14ac:dyDescent="0.3">
      <c r="A11" s="4"/>
      <c r="B11" s="11">
        <v>228</v>
      </c>
      <c r="C11" s="11">
        <v>122</v>
      </c>
      <c r="D11" s="11">
        <v>82</v>
      </c>
      <c r="E11" s="11">
        <v>24.7</v>
      </c>
      <c r="F11" s="11">
        <v>15</v>
      </c>
      <c r="G11" s="11">
        <v>18.5</v>
      </c>
      <c r="H11" s="5">
        <v>2</v>
      </c>
    </row>
    <row r="12" spans="1:13" ht="15.6" customHeight="1" x14ac:dyDescent="0.3">
      <c r="A12" s="4"/>
      <c r="B12" s="11">
        <v>232</v>
      </c>
      <c r="C12" s="11">
        <v>123</v>
      </c>
      <c r="D12" s="11">
        <v>83</v>
      </c>
      <c r="E12" s="11">
        <v>25.3</v>
      </c>
      <c r="F12" s="11">
        <v>16.8</v>
      </c>
      <c r="G12" s="11">
        <v>15.5</v>
      </c>
      <c r="H12" s="5">
        <v>2</v>
      </c>
    </row>
    <row r="13" spans="1:13" ht="15.6" x14ac:dyDescent="0.3">
      <c r="A13" s="2"/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</row>
    <row r="14" spans="1:13" ht="15" customHeight="1" x14ac:dyDescent="0.3"/>
    <row r="15" spans="1:13" ht="15" customHeight="1" x14ac:dyDescent="0.3"/>
    <row r="16" spans="1:13" ht="15" customHeight="1" thickBot="1" x14ac:dyDescent="0.35"/>
    <row r="17" spans="1:14" ht="15" customHeight="1" x14ac:dyDescent="0.3">
      <c r="D17" s="59" t="s">
        <v>4</v>
      </c>
      <c r="E17" s="60"/>
      <c r="M17" s="12"/>
      <c r="N17" s="12"/>
    </row>
    <row r="18" spans="1:14" ht="15" customHeight="1" x14ac:dyDescent="0.3">
      <c r="D18" s="61"/>
      <c r="E18" s="62"/>
      <c r="M18" s="12"/>
      <c r="N18" s="12"/>
    </row>
    <row r="19" spans="1:14" ht="15" customHeight="1" x14ac:dyDescent="0.3">
      <c r="D19" s="61"/>
      <c r="E19" s="62"/>
      <c r="M19" s="12"/>
      <c r="N19" s="12"/>
    </row>
    <row r="20" spans="1:14" ht="15" customHeight="1" thickBot="1" x14ac:dyDescent="0.35">
      <c r="D20" s="63"/>
      <c r="E20" s="64"/>
      <c r="M20" s="12"/>
      <c r="N20" s="12"/>
    </row>
    <row r="21" spans="1:14" ht="15" customHeight="1" x14ac:dyDescent="0.3"/>
    <row r="22" spans="1:14" ht="15" customHeight="1" x14ac:dyDescent="0.3"/>
    <row r="23" spans="1:14" ht="15" customHeight="1" x14ac:dyDescent="0.3">
      <c r="A23" s="56" t="s">
        <v>5</v>
      </c>
      <c r="B23" s="57"/>
      <c r="C23" s="57"/>
      <c r="D23" s="57"/>
      <c r="E23" s="57"/>
      <c r="F23" s="57"/>
      <c r="G23" s="57"/>
      <c r="H23" s="58"/>
    </row>
    <row r="24" spans="1:14" ht="15" customHeight="1" x14ac:dyDescent="0.3">
      <c r="A24" s="3" t="s">
        <v>0</v>
      </c>
      <c r="B24" s="9"/>
      <c r="C24" s="9"/>
      <c r="D24" s="9"/>
      <c r="E24" s="9"/>
      <c r="F24" s="9"/>
      <c r="G24" s="9"/>
      <c r="H24" s="4" t="s">
        <v>1</v>
      </c>
    </row>
    <row r="25" spans="1:14" ht="15" customHeight="1" x14ac:dyDescent="0.3">
      <c r="A25" s="4"/>
      <c r="B25" s="11">
        <f>IFERROR(ROUND((B3-MIN(B$3:B$12))/(MAX(B$3:B$12)-MIN(B$3:B$12)),6),0)</f>
        <v>0</v>
      </c>
      <c r="C25" s="11">
        <f t="shared" ref="C25:G25" si="0">IFERROR(ROUND((C3-MIN(C$3:C$12))/(MAX(C$3:C$12)-MIN(C$3:C$12)),6),0)</f>
        <v>0</v>
      </c>
      <c r="D25" s="11">
        <f t="shared" si="0"/>
        <v>1</v>
      </c>
      <c r="E25" s="11">
        <f t="shared" si="0"/>
        <v>4.8779999999999997E-2</v>
      </c>
      <c r="F25" s="11">
        <f t="shared" si="0"/>
        <v>0</v>
      </c>
      <c r="G25" s="11">
        <f t="shared" si="0"/>
        <v>0.13114799999999999</v>
      </c>
      <c r="H25" s="5">
        <v>1</v>
      </c>
    </row>
    <row r="26" spans="1:14" ht="15" customHeight="1" x14ac:dyDescent="0.3">
      <c r="A26" s="4"/>
      <c r="B26" s="11">
        <f t="shared" ref="B26:G34" si="1">IFERROR(ROUND((B4-MIN(B$3:B$12))/(MAX(B$3:B$12)-MIN(B$3:B$12)),6),0)</f>
        <v>0.24271799999999999</v>
      </c>
      <c r="C26" s="11">
        <f t="shared" si="1"/>
        <v>0.169492</v>
      </c>
      <c r="D26" s="11">
        <f t="shared" si="1"/>
        <v>0.52500000000000002</v>
      </c>
      <c r="E26" s="11">
        <f t="shared" si="1"/>
        <v>0.353659</v>
      </c>
      <c r="F26" s="11">
        <f t="shared" si="1"/>
        <v>0.53571400000000002</v>
      </c>
      <c r="G26" s="11">
        <f t="shared" si="1"/>
        <v>0.57377</v>
      </c>
      <c r="H26" s="5">
        <v>1</v>
      </c>
    </row>
    <row r="27" spans="1:14" ht="15" customHeight="1" x14ac:dyDescent="0.3">
      <c r="A27" s="4"/>
      <c r="B27" s="11">
        <f t="shared" si="1"/>
        <v>0.67961199999999999</v>
      </c>
      <c r="C27" s="11">
        <f t="shared" si="1"/>
        <v>0.69491499999999995</v>
      </c>
      <c r="D27" s="11">
        <f t="shared" si="1"/>
        <v>0.45</v>
      </c>
      <c r="E27" s="11">
        <f t="shared" si="1"/>
        <v>0.768293</v>
      </c>
      <c r="F27" s="11">
        <f t="shared" si="1"/>
        <v>0.67857100000000004</v>
      </c>
      <c r="G27" s="11">
        <f t="shared" si="1"/>
        <v>1</v>
      </c>
      <c r="H27" s="5">
        <v>2</v>
      </c>
    </row>
    <row r="28" spans="1:14" ht="15" customHeight="1" x14ac:dyDescent="0.3">
      <c r="A28" s="4"/>
      <c r="B28" s="11">
        <f t="shared" si="1"/>
        <v>0.39805800000000002</v>
      </c>
      <c r="C28" s="11">
        <f t="shared" si="1"/>
        <v>0.38983099999999998</v>
      </c>
      <c r="D28" s="11">
        <f t="shared" si="1"/>
        <v>0.4</v>
      </c>
      <c r="E28" s="11">
        <f t="shared" si="1"/>
        <v>9.7560999999999995E-2</v>
      </c>
      <c r="F28" s="11">
        <f t="shared" si="1"/>
        <v>0.19642899999999999</v>
      </c>
      <c r="G28" s="11">
        <f t="shared" si="1"/>
        <v>0.47541</v>
      </c>
      <c r="H28" s="5">
        <v>1</v>
      </c>
    </row>
    <row r="29" spans="1:14" ht="15" customHeight="1" x14ac:dyDescent="0.3">
      <c r="A29" s="4"/>
      <c r="B29" s="11">
        <f t="shared" si="1"/>
        <v>0.95145599999999997</v>
      </c>
      <c r="C29" s="11">
        <f t="shared" si="1"/>
        <v>0.89830500000000002</v>
      </c>
      <c r="D29" s="11">
        <f t="shared" si="1"/>
        <v>0.55000000000000004</v>
      </c>
      <c r="E29" s="11">
        <f t="shared" si="1"/>
        <v>0.96341500000000002</v>
      </c>
      <c r="F29" s="11">
        <f t="shared" si="1"/>
        <v>0.73214299999999999</v>
      </c>
      <c r="G29" s="11">
        <f t="shared" si="1"/>
        <v>0.91803299999999999</v>
      </c>
      <c r="H29" s="5">
        <v>2</v>
      </c>
    </row>
    <row r="30" spans="1:14" ht="15" customHeight="1" x14ac:dyDescent="0.3">
      <c r="A30" s="4"/>
      <c r="B30" s="11">
        <f t="shared" si="1"/>
        <v>0.57281599999999999</v>
      </c>
      <c r="C30" s="11">
        <f t="shared" si="1"/>
        <v>0.50847500000000001</v>
      </c>
      <c r="D30" s="11">
        <f t="shared" si="1"/>
        <v>0.45</v>
      </c>
      <c r="E30" s="11">
        <f t="shared" si="1"/>
        <v>0.29268300000000003</v>
      </c>
      <c r="F30" s="11">
        <f t="shared" si="1"/>
        <v>0.375</v>
      </c>
      <c r="G30" s="11">
        <f t="shared" si="1"/>
        <v>0.29508200000000001</v>
      </c>
      <c r="H30" s="5">
        <v>1</v>
      </c>
    </row>
    <row r="31" spans="1:14" ht="15" customHeight="1" x14ac:dyDescent="0.3">
      <c r="A31" s="4"/>
      <c r="B31" s="11">
        <f t="shared" si="1"/>
        <v>0.31068000000000001</v>
      </c>
      <c r="C31" s="11">
        <f t="shared" si="1"/>
        <v>0.288136</v>
      </c>
      <c r="D31" s="11">
        <f t="shared" si="1"/>
        <v>0</v>
      </c>
      <c r="E31" s="11">
        <f t="shared" si="1"/>
        <v>0</v>
      </c>
      <c r="F31" s="11">
        <f t="shared" si="1"/>
        <v>0.160714</v>
      </c>
      <c r="G31" s="11">
        <f t="shared" si="1"/>
        <v>0</v>
      </c>
      <c r="H31" s="5">
        <v>1</v>
      </c>
    </row>
    <row r="32" spans="1:14" ht="15" customHeight="1" x14ac:dyDescent="0.3">
      <c r="A32" s="4"/>
      <c r="B32" s="11">
        <f t="shared" si="1"/>
        <v>0.339806</v>
      </c>
      <c r="C32" s="11">
        <f t="shared" si="1"/>
        <v>0.44067800000000001</v>
      </c>
      <c r="D32" s="11">
        <f t="shared" si="1"/>
        <v>7.4999999999999997E-2</v>
      </c>
      <c r="E32" s="11">
        <f t="shared" si="1"/>
        <v>4.8779999999999997E-2</v>
      </c>
      <c r="F32" s="11">
        <f t="shared" si="1"/>
        <v>0.26785700000000001</v>
      </c>
      <c r="G32" s="11">
        <f t="shared" si="1"/>
        <v>0.27868900000000002</v>
      </c>
      <c r="H32" s="5">
        <v>1</v>
      </c>
    </row>
    <row r="33" spans="1:8" ht="15" customHeight="1" x14ac:dyDescent="0.3">
      <c r="A33" s="4"/>
      <c r="B33" s="11">
        <f t="shared" si="1"/>
        <v>0.96116500000000005</v>
      </c>
      <c r="C33" s="11">
        <f t="shared" si="1"/>
        <v>0.98305100000000001</v>
      </c>
      <c r="D33" s="11">
        <f t="shared" si="1"/>
        <v>0.67500000000000004</v>
      </c>
      <c r="E33" s="11">
        <f t="shared" si="1"/>
        <v>0.92682900000000001</v>
      </c>
      <c r="F33" s="11">
        <f t="shared" si="1"/>
        <v>0.67857100000000004</v>
      </c>
      <c r="G33" s="11">
        <f t="shared" si="1"/>
        <v>0.90163899999999997</v>
      </c>
      <c r="H33" s="5">
        <v>2</v>
      </c>
    </row>
    <row r="34" spans="1:8" ht="15" customHeight="1" x14ac:dyDescent="0.3">
      <c r="A34" s="4"/>
      <c r="B34" s="11">
        <f t="shared" si="1"/>
        <v>1</v>
      </c>
      <c r="C34" s="11">
        <f t="shared" si="1"/>
        <v>1</v>
      </c>
      <c r="D34" s="11">
        <f t="shared" si="1"/>
        <v>0.7</v>
      </c>
      <c r="E34" s="11">
        <f t="shared" si="1"/>
        <v>1</v>
      </c>
      <c r="F34" s="11">
        <f t="shared" si="1"/>
        <v>1</v>
      </c>
      <c r="G34" s="11">
        <f t="shared" si="1"/>
        <v>0.40983599999999998</v>
      </c>
      <c r="H34" s="5">
        <v>2</v>
      </c>
    </row>
    <row r="35" spans="1:8" ht="15" customHeight="1" x14ac:dyDescent="0.3">
      <c r="A35" s="2"/>
      <c r="B35" s="6">
        <v>1</v>
      </c>
      <c r="C35" s="6">
        <v>1</v>
      </c>
      <c r="D35" s="6">
        <v>1</v>
      </c>
      <c r="E35" s="6">
        <v>1</v>
      </c>
      <c r="F35" s="6">
        <v>1</v>
      </c>
      <c r="G35" s="6">
        <v>1</v>
      </c>
    </row>
    <row r="36" spans="1:8" ht="15" customHeight="1" x14ac:dyDescent="0.3"/>
    <row r="37" spans="1:8" ht="15" customHeight="1" x14ac:dyDescent="0.3"/>
    <row r="38" spans="1:8" ht="15" customHeight="1" x14ac:dyDescent="0.3"/>
    <row r="39" spans="1:8" ht="15" customHeight="1" x14ac:dyDescent="0.3"/>
    <row r="40" spans="1:8" ht="15" customHeight="1" x14ac:dyDescent="0.3"/>
    <row r="41" spans="1:8" ht="15" customHeight="1" x14ac:dyDescent="0.3"/>
    <row r="42" spans="1:8" ht="15" customHeight="1" x14ac:dyDescent="0.3"/>
    <row r="43" spans="1:8" ht="15" customHeight="1" x14ac:dyDescent="0.3"/>
    <row r="44" spans="1:8" ht="15" customHeight="1" x14ac:dyDescent="0.3"/>
    <row r="45" spans="1:8" ht="15" customHeight="1" x14ac:dyDescent="0.3"/>
    <row r="46" spans="1:8" ht="15" customHeight="1" x14ac:dyDescent="0.3"/>
    <row r="47" spans="1:8" ht="15" customHeight="1" x14ac:dyDescent="0.3"/>
    <row r="48" spans="1:8" ht="15" customHeight="1" x14ac:dyDescent="0.3"/>
    <row r="49" ht="15" customHeight="1" x14ac:dyDescent="0.3"/>
    <row r="50" ht="15" customHeight="1" x14ac:dyDescent="0.3"/>
  </sheetData>
  <mergeCells count="3">
    <mergeCell ref="A1:H1"/>
    <mergeCell ref="D17:E20"/>
    <mergeCell ref="A23:H23"/>
  </mergeCells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EE65-622D-4C12-ABF6-ADA196D2138F}">
  <dimension ref="A1:M200"/>
  <sheetViews>
    <sheetView topLeftCell="A102" workbookViewId="0">
      <selection activeCell="J107" sqref="J107"/>
    </sheetView>
  </sheetViews>
  <sheetFormatPr defaultRowHeight="14.4" x14ac:dyDescent="0.3"/>
  <cols>
    <col min="2" max="11" width="12.77734375" customWidth="1"/>
  </cols>
  <sheetData>
    <row r="1" spans="1:13" ht="15.6" x14ac:dyDescent="0.3">
      <c r="A1" s="56" t="s">
        <v>3</v>
      </c>
      <c r="B1" s="57"/>
      <c r="C1" s="57"/>
      <c r="D1" s="57"/>
      <c r="E1" s="57"/>
      <c r="F1" s="57"/>
      <c r="G1" s="57"/>
      <c r="H1" s="58"/>
    </row>
    <row r="2" spans="1:13" ht="15.6" x14ac:dyDescent="0.3">
      <c r="A2" s="3" t="s">
        <v>0</v>
      </c>
      <c r="B2" s="9"/>
      <c r="C2" s="9"/>
      <c r="D2" s="9"/>
      <c r="E2" s="9"/>
      <c r="F2" s="9"/>
      <c r="G2" s="9"/>
      <c r="H2" s="4" t="s">
        <v>1</v>
      </c>
      <c r="J2" s="49" t="s">
        <v>110</v>
      </c>
      <c r="K2" s="7"/>
      <c r="L2" s="2"/>
      <c r="M2" s="2"/>
    </row>
    <row r="3" spans="1:13" ht="15.6" x14ac:dyDescent="0.3">
      <c r="A3" s="4"/>
      <c r="B3" s="11">
        <v>129</v>
      </c>
      <c r="C3" s="11">
        <v>64</v>
      </c>
      <c r="D3" s="11">
        <v>95</v>
      </c>
      <c r="E3" s="11">
        <v>17.5</v>
      </c>
      <c r="F3" s="11">
        <v>11.2</v>
      </c>
      <c r="G3" s="11">
        <v>13.8</v>
      </c>
      <c r="H3" s="5">
        <v>1</v>
      </c>
      <c r="J3" s="49" t="s">
        <v>111</v>
      </c>
      <c r="K3" s="2"/>
      <c r="L3" s="2"/>
      <c r="M3" s="2"/>
    </row>
    <row r="4" spans="1:13" ht="15.6" x14ac:dyDescent="0.3">
      <c r="A4" s="4"/>
      <c r="B4" s="11">
        <v>154</v>
      </c>
      <c r="C4" s="11">
        <v>74</v>
      </c>
      <c r="D4" s="11">
        <v>76</v>
      </c>
      <c r="E4" s="11">
        <v>20</v>
      </c>
      <c r="F4" s="11">
        <v>14.2</v>
      </c>
      <c r="G4" s="11">
        <v>16.5</v>
      </c>
      <c r="H4" s="5">
        <v>1</v>
      </c>
      <c r="J4" s="2"/>
      <c r="K4" s="2"/>
      <c r="L4" s="2"/>
      <c r="M4" s="2"/>
    </row>
    <row r="5" spans="1:13" ht="15.6" x14ac:dyDescent="0.3">
      <c r="A5" s="4"/>
      <c r="B5" s="11">
        <v>199</v>
      </c>
      <c r="C5" s="11">
        <v>105</v>
      </c>
      <c r="D5" s="11">
        <v>73</v>
      </c>
      <c r="E5" s="11">
        <v>23.4</v>
      </c>
      <c r="F5" s="11">
        <v>15</v>
      </c>
      <c r="G5" s="11">
        <v>19.100000000000001</v>
      </c>
      <c r="H5" s="5">
        <v>2</v>
      </c>
    </row>
    <row r="6" spans="1:13" ht="15.6" x14ac:dyDescent="0.3">
      <c r="A6" s="4"/>
      <c r="B6" s="11">
        <v>170</v>
      </c>
      <c r="C6" s="11">
        <v>87</v>
      </c>
      <c r="D6" s="11">
        <v>71</v>
      </c>
      <c r="E6" s="11">
        <v>17.899999999999999</v>
      </c>
      <c r="F6" s="11">
        <v>12.3</v>
      </c>
      <c r="G6" s="11">
        <v>15.9</v>
      </c>
      <c r="H6" s="5">
        <v>1</v>
      </c>
    </row>
    <row r="7" spans="1:13" ht="15.6" x14ac:dyDescent="0.3">
      <c r="A7" s="4"/>
      <c r="B7" s="11">
        <v>227</v>
      </c>
      <c r="C7" s="11">
        <v>117</v>
      </c>
      <c r="D7" s="11">
        <v>77</v>
      </c>
      <c r="E7" s="11">
        <v>25</v>
      </c>
      <c r="F7" s="11">
        <v>15.3</v>
      </c>
      <c r="G7" s="11">
        <v>18.600000000000001</v>
      </c>
      <c r="H7" s="5">
        <v>2</v>
      </c>
    </row>
    <row r="8" spans="1:13" ht="15.6" x14ac:dyDescent="0.3">
      <c r="A8" s="4"/>
      <c r="B8" s="11">
        <v>188</v>
      </c>
      <c r="C8" s="11">
        <v>94</v>
      </c>
      <c r="D8" s="11">
        <v>73</v>
      </c>
      <c r="E8" s="11">
        <v>19.5</v>
      </c>
      <c r="F8" s="11">
        <v>13.3</v>
      </c>
      <c r="G8" s="11">
        <v>14.8</v>
      </c>
      <c r="H8" s="5">
        <v>1</v>
      </c>
    </row>
    <row r="9" spans="1:13" ht="15.6" x14ac:dyDescent="0.3">
      <c r="A9" s="4"/>
      <c r="B9" s="11">
        <v>161</v>
      </c>
      <c r="C9" s="11">
        <v>81</v>
      </c>
      <c r="D9" s="11">
        <v>55</v>
      </c>
      <c r="E9" s="11">
        <v>17.100000000000001</v>
      </c>
      <c r="F9" s="11">
        <v>12.1</v>
      </c>
      <c r="G9" s="11">
        <v>13</v>
      </c>
      <c r="H9" s="5">
        <v>1</v>
      </c>
    </row>
    <row r="10" spans="1:13" ht="15.6" x14ac:dyDescent="0.3">
      <c r="A10" s="4"/>
      <c r="B10" s="11">
        <v>164</v>
      </c>
      <c r="C10" s="11">
        <v>90</v>
      </c>
      <c r="D10" s="11">
        <v>58</v>
      </c>
      <c r="E10" s="11">
        <v>17.5</v>
      </c>
      <c r="F10" s="11">
        <v>12.7</v>
      </c>
      <c r="G10" s="11">
        <v>14.7</v>
      </c>
      <c r="H10" s="5">
        <v>1</v>
      </c>
    </row>
    <row r="11" spans="1:13" ht="15.6" customHeight="1" x14ac:dyDescent="0.3">
      <c r="A11" s="4"/>
      <c r="B11" s="11">
        <v>228</v>
      </c>
      <c r="C11" s="11">
        <v>122</v>
      </c>
      <c r="D11" s="11">
        <v>82</v>
      </c>
      <c r="E11" s="11">
        <v>24.7</v>
      </c>
      <c r="F11" s="11">
        <v>15</v>
      </c>
      <c r="G11" s="11">
        <v>18.5</v>
      </c>
      <c r="H11" s="5">
        <v>2</v>
      </c>
    </row>
    <row r="12" spans="1:13" ht="15.6" x14ac:dyDescent="0.3">
      <c r="A12" s="4"/>
      <c r="B12" s="11">
        <v>232</v>
      </c>
      <c r="C12" s="11">
        <v>123</v>
      </c>
      <c r="D12" s="11">
        <v>83</v>
      </c>
      <c r="E12" s="11">
        <v>25.3</v>
      </c>
      <c r="F12" s="11">
        <v>16.8</v>
      </c>
      <c r="G12" s="11">
        <v>15.5</v>
      </c>
      <c r="H12" s="5">
        <v>2</v>
      </c>
    </row>
    <row r="13" spans="1:13" ht="15.6" x14ac:dyDescent="0.3">
      <c r="A13" s="2"/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</row>
    <row r="14" spans="1:13" ht="15" customHeight="1" x14ac:dyDescent="0.3"/>
    <row r="15" spans="1:13" ht="15" customHeight="1" x14ac:dyDescent="0.3"/>
    <row r="16" spans="1:13" ht="15" customHeight="1" thickBot="1" x14ac:dyDescent="0.35"/>
    <row r="17" spans="1:11" ht="15" customHeight="1" x14ac:dyDescent="0.3">
      <c r="E17" s="59" t="s">
        <v>6</v>
      </c>
      <c r="F17" s="65"/>
      <c r="G17" s="60"/>
    </row>
    <row r="18" spans="1:11" ht="15" customHeight="1" x14ac:dyDescent="0.3">
      <c r="E18" s="61"/>
      <c r="F18" s="66"/>
      <c r="G18" s="62"/>
    </row>
    <row r="19" spans="1:11" ht="15" customHeight="1" x14ac:dyDescent="0.3">
      <c r="E19" s="61"/>
      <c r="F19" s="66"/>
      <c r="G19" s="62"/>
    </row>
    <row r="20" spans="1:11" ht="15" customHeight="1" x14ac:dyDescent="0.3">
      <c r="E20" s="61"/>
      <c r="F20" s="66"/>
      <c r="G20" s="62"/>
    </row>
    <row r="21" spans="1:11" ht="15" customHeight="1" thickBot="1" x14ac:dyDescent="0.35">
      <c r="E21" s="63"/>
      <c r="F21" s="67"/>
      <c r="G21" s="64"/>
    </row>
    <row r="22" spans="1:11" ht="15" customHeight="1" x14ac:dyDescent="0.3"/>
    <row r="23" spans="1:11" ht="15" customHeight="1" x14ac:dyDescent="0.3">
      <c r="A23" s="68" t="s">
        <v>47</v>
      </c>
      <c r="B23" s="68"/>
      <c r="C23" s="68"/>
      <c r="D23" s="68"/>
      <c r="E23" s="68"/>
      <c r="F23" s="68"/>
      <c r="G23" s="68"/>
      <c r="H23" s="68"/>
      <c r="I23" s="68"/>
      <c r="J23" s="68"/>
      <c r="K23" s="68"/>
    </row>
    <row r="24" spans="1:11" ht="15" customHeight="1" x14ac:dyDescent="0.3">
      <c r="A24" s="3" t="s">
        <v>0</v>
      </c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ht="15" customHeight="1" x14ac:dyDescent="0.3">
      <c r="A25" s="4"/>
      <c r="B25" s="11">
        <f>ROUND(SQRT(SUMXMY2(INDEX($B$3:$G$12,ROW()-24,0),INDEX($B$3:$G$12,COLUMN()-1,0))),6)</f>
        <v>0</v>
      </c>
      <c r="C25" s="11">
        <f t="shared" ref="C25:K34" si="0">ROUND(SQRT(SUMXMY2(INDEX($B$3:$G$12,ROW()-24,0),INDEX($B$3:$G$12,COLUMN()-1,0))),6)</f>
        <v>33.294744000000001</v>
      </c>
      <c r="D25" s="11">
        <f t="shared" si="0"/>
        <v>84.512366</v>
      </c>
      <c r="E25" s="11">
        <f t="shared" si="0"/>
        <v>52.837297</v>
      </c>
      <c r="F25" s="11">
        <f t="shared" si="0"/>
        <v>113.28327299999999</v>
      </c>
      <c r="G25" s="11">
        <f t="shared" si="0"/>
        <v>69.816974999999999</v>
      </c>
      <c r="H25" s="11">
        <f t="shared" si="0"/>
        <v>53.987127999999998</v>
      </c>
      <c r="I25" s="11">
        <f t="shared" si="0"/>
        <v>57.210662999999997</v>
      </c>
      <c r="J25" s="11">
        <f t="shared" si="0"/>
        <v>115.854952</v>
      </c>
      <c r="K25" s="11">
        <f t="shared" si="0"/>
        <v>119.704177</v>
      </c>
    </row>
    <row r="26" spans="1:11" ht="15" customHeight="1" x14ac:dyDescent="0.3">
      <c r="A26" s="4"/>
      <c r="B26" s="11">
        <f t="shared" ref="B26:B34" si="1">ROUND(SQRT(SUMXMY2(INDEX($B$3:$G$12,ROW()-24,0),INDEX($B$3:$G$12,COLUMN()-1,0))),6)</f>
        <v>33.294744000000001</v>
      </c>
      <c r="C26" s="11">
        <f t="shared" si="0"/>
        <v>0</v>
      </c>
      <c r="D26" s="11">
        <f t="shared" si="0"/>
        <v>54.899545000000003</v>
      </c>
      <c r="E26" s="11">
        <f t="shared" si="0"/>
        <v>21.409811000000001</v>
      </c>
      <c r="F26" s="11">
        <f t="shared" si="0"/>
        <v>84.909481</v>
      </c>
      <c r="G26" s="11">
        <f t="shared" si="0"/>
        <v>39.609972999999997</v>
      </c>
      <c r="H26" s="11">
        <f t="shared" si="0"/>
        <v>23.750157999999999</v>
      </c>
      <c r="I26" s="11">
        <f t="shared" si="0"/>
        <v>26.300951000000001</v>
      </c>
      <c r="J26" s="11">
        <f t="shared" si="0"/>
        <v>88.559189000000003</v>
      </c>
      <c r="K26" s="11">
        <f t="shared" si="0"/>
        <v>92.573483999999993</v>
      </c>
    </row>
    <row r="27" spans="1:11" ht="15" customHeight="1" x14ac:dyDescent="0.3">
      <c r="A27" s="4"/>
      <c r="B27" s="11">
        <f t="shared" si="1"/>
        <v>84.512366</v>
      </c>
      <c r="C27" s="11">
        <f t="shared" si="0"/>
        <v>54.899545000000003</v>
      </c>
      <c r="D27" s="11">
        <f t="shared" si="0"/>
        <v>0</v>
      </c>
      <c r="E27" s="11">
        <f t="shared" si="0"/>
        <v>34.882373999999999</v>
      </c>
      <c r="F27" s="11">
        <f t="shared" si="0"/>
        <v>30.771740000000001</v>
      </c>
      <c r="G27" s="11">
        <f t="shared" si="0"/>
        <v>16.691016000000001</v>
      </c>
      <c r="H27" s="11">
        <f t="shared" si="0"/>
        <v>49.288030999999997</v>
      </c>
      <c r="I27" s="11">
        <f t="shared" si="0"/>
        <v>41.646849000000003</v>
      </c>
      <c r="J27" s="11">
        <f t="shared" si="0"/>
        <v>34.828867000000002</v>
      </c>
      <c r="K27" s="11">
        <f t="shared" si="0"/>
        <v>39.151116999999999</v>
      </c>
    </row>
    <row r="28" spans="1:11" ht="15" customHeight="1" x14ac:dyDescent="0.3">
      <c r="A28" s="4"/>
      <c r="B28" s="11">
        <f t="shared" si="1"/>
        <v>52.837297</v>
      </c>
      <c r="C28" s="11">
        <f t="shared" si="0"/>
        <v>21.409811000000001</v>
      </c>
      <c r="D28" s="11">
        <f t="shared" si="0"/>
        <v>34.882373999999999</v>
      </c>
      <c r="E28" s="11">
        <f t="shared" si="0"/>
        <v>0</v>
      </c>
      <c r="F28" s="11">
        <f t="shared" si="0"/>
        <v>65.205061000000001</v>
      </c>
      <c r="G28" s="11">
        <f t="shared" si="0"/>
        <v>19.538934999999999</v>
      </c>
      <c r="H28" s="11">
        <f t="shared" si="0"/>
        <v>19.547122999999999</v>
      </c>
      <c r="I28" s="11">
        <f t="shared" si="0"/>
        <v>14.688770999999999</v>
      </c>
      <c r="J28" s="11">
        <f t="shared" si="0"/>
        <v>69.067285999999996</v>
      </c>
      <c r="K28" s="11">
        <f t="shared" si="0"/>
        <v>73.206351999999995</v>
      </c>
    </row>
    <row r="29" spans="1:11" ht="15" customHeight="1" x14ac:dyDescent="0.3">
      <c r="A29" s="4"/>
      <c r="B29" s="11">
        <f>ROUND(SQRT(SUMXMY2(INDEX($B$3:$G$12,ROW()-24,0),INDEX($B$3:$G$12,COLUMN()-1,0))),6)</f>
        <v>113.28327299999999</v>
      </c>
      <c r="C29" s="11">
        <f t="shared" si="0"/>
        <v>84.909481</v>
      </c>
      <c r="D29" s="11">
        <f t="shared" si="0"/>
        <v>30.771740000000001</v>
      </c>
      <c r="E29" s="11">
        <f t="shared" si="0"/>
        <v>65.205061000000001</v>
      </c>
      <c r="F29" s="11">
        <f t="shared" si="0"/>
        <v>0</v>
      </c>
      <c r="G29" s="11">
        <f t="shared" si="0"/>
        <v>45.985759000000002</v>
      </c>
      <c r="H29" s="11">
        <f t="shared" si="0"/>
        <v>78.993734000000003</v>
      </c>
      <c r="I29" s="11">
        <f t="shared" si="0"/>
        <v>71.674402999999998</v>
      </c>
      <c r="J29" s="11">
        <f t="shared" si="0"/>
        <v>7.1547190000000001</v>
      </c>
      <c r="K29" s="11">
        <f t="shared" si="0"/>
        <v>10.437912000000001</v>
      </c>
    </row>
    <row r="30" spans="1:11" ht="15" customHeight="1" x14ac:dyDescent="0.3">
      <c r="A30" s="4"/>
      <c r="B30" s="11">
        <f t="shared" si="1"/>
        <v>69.816974999999999</v>
      </c>
      <c r="C30" s="11">
        <f t="shared" si="0"/>
        <v>39.609972999999997</v>
      </c>
      <c r="D30" s="11">
        <f t="shared" si="0"/>
        <v>16.691016000000001</v>
      </c>
      <c r="E30" s="11">
        <f t="shared" si="0"/>
        <v>19.538934999999999</v>
      </c>
      <c r="F30" s="11">
        <f t="shared" si="0"/>
        <v>45.985759000000002</v>
      </c>
      <c r="G30" s="11">
        <f t="shared" si="0"/>
        <v>0</v>
      </c>
      <c r="H30" s="11">
        <f t="shared" si="0"/>
        <v>35.106124999999999</v>
      </c>
      <c r="I30" s="11">
        <f t="shared" si="0"/>
        <v>28.659552999999999</v>
      </c>
      <c r="J30" s="11">
        <f t="shared" si="0"/>
        <v>50.086126</v>
      </c>
      <c r="K30" s="11">
        <f t="shared" si="0"/>
        <v>54.068289999999998</v>
      </c>
    </row>
    <row r="31" spans="1:11" ht="15" customHeight="1" x14ac:dyDescent="0.3">
      <c r="A31" s="4"/>
      <c r="B31" s="11">
        <f t="shared" si="1"/>
        <v>53.987127999999998</v>
      </c>
      <c r="C31" s="11">
        <f t="shared" si="0"/>
        <v>23.750157999999999</v>
      </c>
      <c r="D31" s="11">
        <f t="shared" si="0"/>
        <v>49.288030999999997</v>
      </c>
      <c r="E31" s="11">
        <f t="shared" si="0"/>
        <v>19.547122999999999</v>
      </c>
      <c r="F31" s="11">
        <f t="shared" si="0"/>
        <v>78.993734000000003</v>
      </c>
      <c r="G31" s="11">
        <f t="shared" si="0"/>
        <v>35.106124999999999</v>
      </c>
      <c r="H31" s="11">
        <f t="shared" si="0"/>
        <v>0</v>
      </c>
      <c r="I31" s="11">
        <f t="shared" si="0"/>
        <v>10.119783</v>
      </c>
      <c r="J31" s="11">
        <f t="shared" si="0"/>
        <v>83.638627</v>
      </c>
      <c r="K31" s="11">
        <f t="shared" si="0"/>
        <v>87.661736000000005</v>
      </c>
    </row>
    <row r="32" spans="1:11" ht="15" customHeight="1" x14ac:dyDescent="0.3">
      <c r="A32" s="4"/>
      <c r="B32" s="11">
        <f t="shared" si="1"/>
        <v>57.210662999999997</v>
      </c>
      <c r="C32" s="11">
        <f t="shared" si="0"/>
        <v>26.300951000000001</v>
      </c>
      <c r="D32" s="11">
        <f t="shared" si="0"/>
        <v>41.646849000000003</v>
      </c>
      <c r="E32" s="11">
        <f t="shared" si="0"/>
        <v>14.688770999999999</v>
      </c>
      <c r="F32" s="11">
        <f t="shared" si="0"/>
        <v>71.674402999999998</v>
      </c>
      <c r="G32" s="11">
        <f t="shared" si="0"/>
        <v>28.659552999999999</v>
      </c>
      <c r="H32" s="11">
        <f t="shared" si="0"/>
        <v>10.119783</v>
      </c>
      <c r="I32" s="11">
        <f t="shared" si="0"/>
        <v>0</v>
      </c>
      <c r="J32" s="11">
        <f t="shared" si="0"/>
        <v>75.944519</v>
      </c>
      <c r="K32" s="11">
        <f t="shared" si="0"/>
        <v>80.101748000000001</v>
      </c>
    </row>
    <row r="33" spans="1:11" ht="15" customHeight="1" x14ac:dyDescent="0.3">
      <c r="A33" s="4"/>
      <c r="B33" s="11">
        <f t="shared" si="1"/>
        <v>115.854952</v>
      </c>
      <c r="C33" s="11">
        <f t="shared" si="0"/>
        <v>88.559189000000003</v>
      </c>
      <c r="D33" s="11">
        <f t="shared" si="0"/>
        <v>34.828867000000002</v>
      </c>
      <c r="E33" s="11">
        <f t="shared" si="0"/>
        <v>69.067285999999996</v>
      </c>
      <c r="F33" s="11">
        <f t="shared" si="0"/>
        <v>7.1547190000000001</v>
      </c>
      <c r="G33" s="11">
        <f t="shared" si="0"/>
        <v>50.086126</v>
      </c>
      <c r="H33" s="11">
        <f t="shared" si="0"/>
        <v>83.638627</v>
      </c>
      <c r="I33" s="11">
        <f t="shared" si="0"/>
        <v>75.944519</v>
      </c>
      <c r="J33" s="11">
        <f t="shared" si="0"/>
        <v>0</v>
      </c>
      <c r="K33" s="11">
        <f t="shared" si="0"/>
        <v>5.5317270000000001</v>
      </c>
    </row>
    <row r="34" spans="1:11" ht="15" customHeight="1" x14ac:dyDescent="0.3">
      <c r="A34" s="4"/>
      <c r="B34" s="11">
        <f t="shared" si="1"/>
        <v>119.704177</v>
      </c>
      <c r="C34" s="11">
        <f t="shared" si="0"/>
        <v>92.573483999999993</v>
      </c>
      <c r="D34" s="11">
        <f t="shared" si="0"/>
        <v>39.151116999999999</v>
      </c>
      <c r="E34" s="11">
        <f t="shared" si="0"/>
        <v>73.206351999999995</v>
      </c>
      <c r="F34" s="11">
        <f t="shared" si="0"/>
        <v>10.437912000000001</v>
      </c>
      <c r="G34" s="11">
        <f t="shared" si="0"/>
        <v>54.068289999999998</v>
      </c>
      <c r="H34" s="11">
        <f t="shared" si="0"/>
        <v>87.661736000000005</v>
      </c>
      <c r="I34" s="11">
        <f t="shared" si="0"/>
        <v>80.101748000000001</v>
      </c>
      <c r="J34" s="11">
        <f t="shared" si="0"/>
        <v>5.5317270000000001</v>
      </c>
      <c r="K34" s="11">
        <f t="shared" si="0"/>
        <v>0</v>
      </c>
    </row>
    <row r="35" spans="1:11" ht="15" customHeight="1" x14ac:dyDescent="0.3"/>
    <row r="36" spans="1:11" ht="15" customHeight="1" x14ac:dyDescent="0.3"/>
    <row r="37" spans="1:11" ht="15" customHeight="1" thickBot="1" x14ac:dyDescent="0.35"/>
    <row r="38" spans="1:11" ht="15" customHeight="1" x14ac:dyDescent="0.3">
      <c r="E38" s="59" t="s">
        <v>7</v>
      </c>
      <c r="F38" s="65"/>
      <c r="G38" s="60"/>
    </row>
    <row r="39" spans="1:11" ht="15" customHeight="1" x14ac:dyDescent="0.3">
      <c r="E39" s="61"/>
      <c r="F39" s="66"/>
      <c r="G39" s="62"/>
    </row>
    <row r="40" spans="1:11" ht="15" customHeight="1" x14ac:dyDescent="0.3">
      <c r="E40" s="61"/>
      <c r="F40" s="66"/>
      <c r="G40" s="62"/>
    </row>
    <row r="41" spans="1:11" ht="15" customHeight="1" thickBot="1" x14ac:dyDescent="0.35">
      <c r="E41" s="63"/>
      <c r="F41" s="67"/>
      <c r="G41" s="64"/>
    </row>
    <row r="42" spans="1:11" ht="15" customHeight="1" x14ac:dyDescent="0.3"/>
    <row r="43" spans="1:11" ht="15" customHeight="1" x14ac:dyDescent="0.3">
      <c r="A43" s="68" t="s">
        <v>48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</row>
    <row r="44" spans="1:11" ht="15" customHeight="1" x14ac:dyDescent="0.3">
      <c r="A44" s="3" t="s">
        <v>0</v>
      </c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 ht="15" customHeight="1" x14ac:dyDescent="0.3">
      <c r="A45" s="4"/>
      <c r="B45" s="11" cm="1">
        <f t="array" ref="B45">ROUND(MAX(ABS(INDEX($B$3:$G$12,ROW()-44,0)-INDEX($B$3:$G$12,COLUMN()-1,0))),6)</f>
        <v>0</v>
      </c>
      <c r="C45" s="11" cm="1">
        <f t="array" ref="C45">ROUND(MAX(ABS(INDEX($B$3:$G$12,ROW()-44,0)-INDEX($B$3:$G$12,COLUMN()-1,0))),6)</f>
        <v>25</v>
      </c>
      <c r="D45" s="11" cm="1">
        <f t="array" ref="D45">ROUND(MAX(ABS(INDEX($B$3:$G$12,ROW()-44,0)-INDEX($B$3:$G$12,COLUMN()-1,0))),6)</f>
        <v>70</v>
      </c>
      <c r="E45" s="11" cm="1">
        <f t="array" ref="E45">ROUND(MAX(ABS(INDEX($B$3:$G$12,ROW()-44,0)-INDEX($B$3:$G$12,COLUMN()-1,0))),6)</f>
        <v>41</v>
      </c>
      <c r="F45" s="11" cm="1">
        <f t="array" ref="F45">ROUND(MAX(ABS(INDEX($B$3:$G$12,ROW()-44,0)-INDEX($B$3:$G$12,COLUMN()-1,0))),6)</f>
        <v>98</v>
      </c>
      <c r="G45" s="11" cm="1">
        <f t="array" ref="G45">ROUND(MAX(ABS(INDEX($B$3:$G$12,ROW()-44,0)-INDEX($B$3:$G$12,COLUMN()-1,0))),6)</f>
        <v>59</v>
      </c>
      <c r="H45" s="11" cm="1">
        <f t="array" ref="H45">ROUND(MAX(ABS(INDEX($B$3:$G$12,ROW()-44,0)-INDEX($B$3:$G$12,COLUMN()-1,0))),6)</f>
        <v>40</v>
      </c>
      <c r="I45" s="11" cm="1">
        <f t="array" ref="I45">ROUND(MAX(ABS(INDEX($B$3:$G$12,ROW()-44,0)-INDEX($B$3:$G$12,COLUMN()-1,0))),6)</f>
        <v>37</v>
      </c>
      <c r="J45" s="11" cm="1">
        <f t="array" ref="J45">ROUND(MAX(ABS(INDEX($B$3:$G$12,ROW()-44,0)-INDEX($B$3:$G$12,COLUMN()-1,0))),6)</f>
        <v>99</v>
      </c>
      <c r="K45" s="11" cm="1">
        <f t="array" ref="K45">ROUND(MAX(ABS(INDEX($B$3:$G$12,ROW()-44,0)-INDEX($B$3:$G$12,COLUMN()-1,0))),6)</f>
        <v>103</v>
      </c>
    </row>
    <row r="46" spans="1:11" ht="15" customHeight="1" x14ac:dyDescent="0.3">
      <c r="A46" s="4"/>
      <c r="B46" s="11" cm="1">
        <f t="array" ref="B46">ROUND(MAX(ABS(INDEX($B$3:$G$12,ROW()-44,0)-INDEX($B$3:$G$12,COLUMN()-1,0))),6)</f>
        <v>25</v>
      </c>
      <c r="C46" s="11" cm="1">
        <f t="array" ref="C46">ROUND(MAX(ABS(INDEX($B$3:$G$12,ROW()-44,0)-INDEX($B$3:$G$12,COLUMN()-1,0))),6)</f>
        <v>0</v>
      </c>
      <c r="D46" s="11" cm="1">
        <f t="array" ref="D46">ROUND(MAX(ABS(INDEX($B$3:$G$12,ROW()-44,0)-INDEX($B$3:$G$12,COLUMN()-1,0))),6)</f>
        <v>45</v>
      </c>
      <c r="E46" s="11" cm="1">
        <f t="array" ref="E46">ROUND(MAX(ABS(INDEX($B$3:$G$12,ROW()-44,0)-INDEX($B$3:$G$12,COLUMN()-1,0))),6)</f>
        <v>16</v>
      </c>
      <c r="F46" s="11" cm="1">
        <f t="array" ref="F46">ROUND(MAX(ABS(INDEX($B$3:$G$12,ROW()-44,0)-INDEX($B$3:$G$12,COLUMN()-1,0))),6)</f>
        <v>73</v>
      </c>
      <c r="G46" s="11" cm="1">
        <f t="array" ref="G46">ROUND(MAX(ABS(INDEX($B$3:$G$12,ROW()-44,0)-INDEX($B$3:$G$12,COLUMN()-1,0))),6)</f>
        <v>34</v>
      </c>
      <c r="H46" s="11" cm="1">
        <f t="array" ref="H46">ROUND(MAX(ABS(INDEX($B$3:$G$12,ROW()-44,0)-INDEX($B$3:$G$12,COLUMN()-1,0))),6)</f>
        <v>21</v>
      </c>
      <c r="I46" s="11" cm="1">
        <f t="array" ref="I46">ROUND(MAX(ABS(INDEX($B$3:$G$12,ROW()-44,0)-INDEX($B$3:$G$12,COLUMN()-1,0))),6)</f>
        <v>18</v>
      </c>
      <c r="J46" s="11" cm="1">
        <f t="array" ref="J46">ROUND(MAX(ABS(INDEX($B$3:$G$12,ROW()-44,0)-INDEX($B$3:$G$12,COLUMN()-1,0))),6)</f>
        <v>74</v>
      </c>
      <c r="K46" s="11" cm="1">
        <f t="array" ref="K46">ROUND(MAX(ABS(INDEX($B$3:$G$12,ROW()-44,0)-INDEX($B$3:$G$12,COLUMN()-1,0))),6)</f>
        <v>78</v>
      </c>
    </row>
    <row r="47" spans="1:11" ht="15" customHeight="1" x14ac:dyDescent="0.3">
      <c r="A47" s="4"/>
      <c r="B47" s="11" cm="1">
        <f t="array" ref="B47">ROUND(MAX(ABS(INDEX($B$3:$G$12,ROW()-44,0)-INDEX($B$3:$G$12,COLUMN()-1,0))),6)</f>
        <v>70</v>
      </c>
      <c r="C47" s="11" cm="1">
        <f t="array" ref="C47">ROUND(MAX(ABS(INDEX($B$3:$G$12,ROW()-44,0)-INDEX($B$3:$G$12,COLUMN()-1,0))),6)</f>
        <v>45</v>
      </c>
      <c r="D47" s="11" cm="1">
        <f t="array" ref="D47">ROUND(MAX(ABS(INDEX($B$3:$G$12,ROW()-44,0)-INDEX($B$3:$G$12,COLUMN()-1,0))),6)</f>
        <v>0</v>
      </c>
      <c r="E47" s="11" cm="1">
        <f t="array" ref="E47">ROUND(MAX(ABS(INDEX($B$3:$G$12,ROW()-44,0)-INDEX($B$3:$G$12,COLUMN()-1,0))),6)</f>
        <v>29</v>
      </c>
      <c r="F47" s="11" cm="1">
        <f t="array" ref="F47">ROUND(MAX(ABS(INDEX($B$3:$G$12,ROW()-44,0)-INDEX($B$3:$G$12,COLUMN()-1,0))),6)</f>
        <v>28</v>
      </c>
      <c r="G47" s="11" cm="1">
        <f t="array" ref="G47">ROUND(MAX(ABS(INDEX($B$3:$G$12,ROW()-44,0)-INDEX($B$3:$G$12,COLUMN()-1,0))),6)</f>
        <v>11</v>
      </c>
      <c r="H47" s="11" cm="1">
        <f t="array" ref="H47">ROUND(MAX(ABS(INDEX($B$3:$G$12,ROW()-44,0)-INDEX($B$3:$G$12,COLUMN()-1,0))),6)</f>
        <v>38</v>
      </c>
      <c r="I47" s="11" cm="1">
        <f t="array" ref="I47">ROUND(MAX(ABS(INDEX($B$3:$G$12,ROW()-44,0)-INDEX($B$3:$G$12,COLUMN()-1,0))),6)</f>
        <v>35</v>
      </c>
      <c r="J47" s="11" cm="1">
        <f t="array" ref="J47">ROUND(MAX(ABS(INDEX($B$3:$G$12,ROW()-44,0)-INDEX($B$3:$G$12,COLUMN()-1,0))),6)</f>
        <v>29</v>
      </c>
      <c r="K47" s="11" cm="1">
        <f t="array" ref="K47">ROUND(MAX(ABS(INDEX($B$3:$G$12,ROW()-44,0)-INDEX($B$3:$G$12,COLUMN()-1,0))),6)</f>
        <v>33</v>
      </c>
    </row>
    <row r="48" spans="1:11" ht="15" customHeight="1" x14ac:dyDescent="0.3">
      <c r="A48" s="4"/>
      <c r="B48" s="11" cm="1">
        <f t="array" ref="B48">ROUND(MAX(ABS(INDEX($B$3:$G$12,ROW()-44,0)-INDEX($B$3:$G$12,COLUMN()-1,0))),6)</f>
        <v>41</v>
      </c>
      <c r="C48" s="11" cm="1">
        <f t="array" ref="C48">ROUND(MAX(ABS(INDEX($B$3:$G$12,ROW()-44,0)-INDEX($B$3:$G$12,COLUMN()-1,0))),6)</f>
        <v>16</v>
      </c>
      <c r="D48" s="11" cm="1">
        <f t="array" ref="D48">ROUND(MAX(ABS(INDEX($B$3:$G$12,ROW()-44,0)-INDEX($B$3:$G$12,COLUMN()-1,0))),6)</f>
        <v>29</v>
      </c>
      <c r="E48" s="11" cm="1">
        <f t="array" ref="E48">ROUND(MAX(ABS(INDEX($B$3:$G$12,ROW()-44,0)-INDEX($B$3:$G$12,COLUMN()-1,0))),6)</f>
        <v>0</v>
      </c>
      <c r="F48" s="11" cm="1">
        <f t="array" ref="F48">ROUND(MAX(ABS(INDEX($B$3:$G$12,ROW()-44,0)-INDEX($B$3:$G$12,COLUMN()-1,0))),6)</f>
        <v>57</v>
      </c>
      <c r="G48" s="11" cm="1">
        <f t="array" ref="G48">ROUND(MAX(ABS(INDEX($B$3:$G$12,ROW()-44,0)-INDEX($B$3:$G$12,COLUMN()-1,0))),6)</f>
        <v>18</v>
      </c>
      <c r="H48" s="11" cm="1">
        <f t="array" ref="H48">ROUND(MAX(ABS(INDEX($B$3:$G$12,ROW()-44,0)-INDEX($B$3:$G$12,COLUMN()-1,0))),6)</f>
        <v>16</v>
      </c>
      <c r="I48" s="11" cm="1">
        <f t="array" ref="I48">ROUND(MAX(ABS(INDEX($B$3:$G$12,ROW()-44,0)-INDEX($B$3:$G$12,COLUMN()-1,0))),6)</f>
        <v>13</v>
      </c>
      <c r="J48" s="11" cm="1">
        <f t="array" ref="J48">ROUND(MAX(ABS(INDEX($B$3:$G$12,ROW()-44,0)-INDEX($B$3:$G$12,COLUMN()-1,0))),6)</f>
        <v>58</v>
      </c>
      <c r="K48" s="11" cm="1">
        <f t="array" ref="K48">ROUND(MAX(ABS(INDEX($B$3:$G$12,ROW()-44,0)-INDEX($B$3:$G$12,COLUMN()-1,0))),6)</f>
        <v>62</v>
      </c>
    </row>
    <row r="49" spans="1:11" ht="15" customHeight="1" x14ac:dyDescent="0.3">
      <c r="A49" s="4"/>
      <c r="B49" s="11" cm="1">
        <f t="array" ref="B49">ROUND(MAX(ABS(INDEX($B$3:$G$12,ROW()-44,0)-INDEX($B$3:$G$12,COLUMN()-1,0))),6)</f>
        <v>98</v>
      </c>
      <c r="C49" s="11" cm="1">
        <f t="array" ref="C49">ROUND(MAX(ABS(INDEX($B$3:$G$12,ROW()-44,0)-INDEX($B$3:$G$12,COLUMN()-1,0))),6)</f>
        <v>73</v>
      </c>
      <c r="D49" s="11" cm="1">
        <f t="array" ref="D49">ROUND(MAX(ABS(INDEX($B$3:$G$12,ROW()-44,0)-INDEX($B$3:$G$12,COLUMN()-1,0))),6)</f>
        <v>28</v>
      </c>
      <c r="E49" s="11" cm="1">
        <f t="array" ref="E49">ROUND(MAX(ABS(INDEX($B$3:$G$12,ROW()-44,0)-INDEX($B$3:$G$12,COLUMN()-1,0))),6)</f>
        <v>57</v>
      </c>
      <c r="F49" s="11" cm="1">
        <f t="array" ref="F49">ROUND(MAX(ABS(INDEX($B$3:$G$12,ROW()-44,0)-INDEX($B$3:$G$12,COLUMN()-1,0))),6)</f>
        <v>0</v>
      </c>
      <c r="G49" s="11" cm="1">
        <f t="array" ref="G49">ROUND(MAX(ABS(INDEX($B$3:$G$12,ROW()-44,0)-INDEX($B$3:$G$12,COLUMN()-1,0))),6)</f>
        <v>39</v>
      </c>
      <c r="H49" s="11" cm="1">
        <f t="array" ref="H49">ROUND(MAX(ABS(INDEX($B$3:$G$12,ROW()-44,0)-INDEX($B$3:$G$12,COLUMN()-1,0))),6)</f>
        <v>66</v>
      </c>
      <c r="I49" s="11" cm="1">
        <f t="array" ref="I49">ROUND(MAX(ABS(INDEX($B$3:$G$12,ROW()-44,0)-INDEX($B$3:$G$12,COLUMN()-1,0))),6)</f>
        <v>63</v>
      </c>
      <c r="J49" s="11" cm="1">
        <f t="array" ref="J49">ROUND(MAX(ABS(INDEX($B$3:$G$12,ROW()-44,0)-INDEX($B$3:$G$12,COLUMN()-1,0))),6)</f>
        <v>5</v>
      </c>
      <c r="K49" s="11" cm="1">
        <f t="array" ref="K49">ROUND(MAX(ABS(INDEX($B$3:$G$12,ROW()-44,0)-INDEX($B$3:$G$12,COLUMN()-1,0))),6)</f>
        <v>6</v>
      </c>
    </row>
    <row r="50" spans="1:11" ht="15" customHeight="1" x14ac:dyDescent="0.3">
      <c r="A50" s="4"/>
      <c r="B50" s="11" cm="1">
        <f t="array" ref="B50">ROUND(MAX(ABS(INDEX($B$3:$G$12,ROW()-44,0)-INDEX($B$3:$G$12,COLUMN()-1,0))),6)</f>
        <v>59</v>
      </c>
      <c r="C50" s="11" cm="1">
        <f t="array" ref="C50">ROUND(MAX(ABS(INDEX($B$3:$G$12,ROW()-44,0)-INDEX($B$3:$G$12,COLUMN()-1,0))),6)</f>
        <v>34</v>
      </c>
      <c r="D50" s="11" cm="1">
        <f t="array" ref="D50">ROUND(MAX(ABS(INDEX($B$3:$G$12,ROW()-44,0)-INDEX($B$3:$G$12,COLUMN()-1,0))),6)</f>
        <v>11</v>
      </c>
      <c r="E50" s="11" cm="1">
        <f t="array" ref="E50">ROUND(MAX(ABS(INDEX($B$3:$G$12,ROW()-44,0)-INDEX($B$3:$G$12,COLUMN()-1,0))),6)</f>
        <v>18</v>
      </c>
      <c r="F50" s="11" cm="1">
        <f t="array" ref="F50">ROUND(MAX(ABS(INDEX($B$3:$G$12,ROW()-44,0)-INDEX($B$3:$G$12,COLUMN()-1,0))),6)</f>
        <v>39</v>
      </c>
      <c r="G50" s="11" cm="1">
        <f t="array" ref="G50">ROUND(MAX(ABS(INDEX($B$3:$G$12,ROW()-44,0)-INDEX($B$3:$G$12,COLUMN()-1,0))),6)</f>
        <v>0</v>
      </c>
      <c r="H50" s="11" cm="1">
        <f t="array" ref="H50">ROUND(MAX(ABS(INDEX($B$3:$G$12,ROW()-44,0)-INDEX($B$3:$G$12,COLUMN()-1,0))),6)</f>
        <v>27</v>
      </c>
      <c r="I50" s="11" cm="1">
        <f t="array" ref="I50">ROUND(MAX(ABS(INDEX($B$3:$G$12,ROW()-44,0)-INDEX($B$3:$G$12,COLUMN()-1,0))),6)</f>
        <v>24</v>
      </c>
      <c r="J50" s="11" cm="1">
        <f t="array" ref="J50">ROUND(MAX(ABS(INDEX($B$3:$G$12,ROW()-44,0)-INDEX($B$3:$G$12,COLUMN()-1,0))),6)</f>
        <v>40</v>
      </c>
      <c r="K50" s="11" cm="1">
        <f t="array" ref="K50">ROUND(MAX(ABS(INDEX($B$3:$G$12,ROW()-44,0)-INDEX($B$3:$G$12,COLUMN()-1,0))),6)</f>
        <v>44</v>
      </c>
    </row>
    <row r="51" spans="1:11" ht="15" customHeight="1" x14ac:dyDescent="0.3">
      <c r="A51" s="4"/>
      <c r="B51" s="11" cm="1">
        <f t="array" ref="B51">ROUND(MAX(ABS(INDEX($B$3:$G$12,ROW()-44,0)-INDEX($B$3:$G$12,COLUMN()-1,0))),6)</f>
        <v>40</v>
      </c>
      <c r="C51" s="11" cm="1">
        <f t="array" ref="C51">ROUND(MAX(ABS(INDEX($B$3:$G$12,ROW()-44,0)-INDEX($B$3:$G$12,COLUMN()-1,0))),6)</f>
        <v>21</v>
      </c>
      <c r="D51" s="11" cm="1">
        <f t="array" ref="D51">ROUND(MAX(ABS(INDEX($B$3:$G$12,ROW()-44,0)-INDEX($B$3:$G$12,COLUMN()-1,0))),6)</f>
        <v>38</v>
      </c>
      <c r="E51" s="11" cm="1">
        <f t="array" ref="E51">ROUND(MAX(ABS(INDEX($B$3:$G$12,ROW()-44,0)-INDEX($B$3:$G$12,COLUMN()-1,0))),6)</f>
        <v>16</v>
      </c>
      <c r="F51" s="11" cm="1">
        <f t="array" ref="F51">ROUND(MAX(ABS(INDEX($B$3:$G$12,ROW()-44,0)-INDEX($B$3:$G$12,COLUMN()-1,0))),6)</f>
        <v>66</v>
      </c>
      <c r="G51" s="11" cm="1">
        <f t="array" ref="G51">ROUND(MAX(ABS(INDEX($B$3:$G$12,ROW()-44,0)-INDEX($B$3:$G$12,COLUMN()-1,0))),6)</f>
        <v>27</v>
      </c>
      <c r="H51" s="11" cm="1">
        <f t="array" ref="H51">ROUND(MAX(ABS(INDEX($B$3:$G$12,ROW()-44,0)-INDEX($B$3:$G$12,COLUMN()-1,0))),6)</f>
        <v>0</v>
      </c>
      <c r="I51" s="11" cm="1">
        <f t="array" ref="I51">ROUND(MAX(ABS(INDEX($B$3:$G$12,ROW()-44,0)-INDEX($B$3:$G$12,COLUMN()-1,0))),6)</f>
        <v>9</v>
      </c>
      <c r="J51" s="11" cm="1">
        <f t="array" ref="J51">ROUND(MAX(ABS(INDEX($B$3:$G$12,ROW()-44,0)-INDEX($B$3:$G$12,COLUMN()-1,0))),6)</f>
        <v>67</v>
      </c>
      <c r="K51" s="11" cm="1">
        <f t="array" ref="K51">ROUND(MAX(ABS(INDEX($B$3:$G$12,ROW()-44,0)-INDEX($B$3:$G$12,COLUMN()-1,0))),6)</f>
        <v>71</v>
      </c>
    </row>
    <row r="52" spans="1:11" ht="15" customHeight="1" x14ac:dyDescent="0.3">
      <c r="A52" s="4"/>
      <c r="B52" s="11" cm="1">
        <f t="array" ref="B52">ROUND(MAX(ABS(INDEX($B$3:$G$12,ROW()-44,0)-INDEX($B$3:$G$12,COLUMN()-1,0))),6)</f>
        <v>37</v>
      </c>
      <c r="C52" s="11" cm="1">
        <f t="array" ref="C52">ROUND(MAX(ABS(INDEX($B$3:$G$12,ROW()-44,0)-INDEX($B$3:$G$12,COLUMN()-1,0))),6)</f>
        <v>18</v>
      </c>
      <c r="D52" s="11" cm="1">
        <f t="array" ref="D52">ROUND(MAX(ABS(INDEX($B$3:$G$12,ROW()-44,0)-INDEX($B$3:$G$12,COLUMN()-1,0))),6)</f>
        <v>35</v>
      </c>
      <c r="E52" s="11" cm="1">
        <f t="array" ref="E52">ROUND(MAX(ABS(INDEX($B$3:$G$12,ROW()-44,0)-INDEX($B$3:$G$12,COLUMN()-1,0))),6)</f>
        <v>13</v>
      </c>
      <c r="F52" s="11" cm="1">
        <f t="array" ref="F52">ROUND(MAX(ABS(INDEX($B$3:$G$12,ROW()-44,0)-INDEX($B$3:$G$12,COLUMN()-1,0))),6)</f>
        <v>63</v>
      </c>
      <c r="G52" s="11" cm="1">
        <f t="array" ref="G52">ROUND(MAX(ABS(INDEX($B$3:$G$12,ROW()-44,0)-INDEX($B$3:$G$12,COLUMN()-1,0))),6)</f>
        <v>24</v>
      </c>
      <c r="H52" s="11" cm="1">
        <f t="array" ref="H52">ROUND(MAX(ABS(INDEX($B$3:$G$12,ROW()-44,0)-INDEX($B$3:$G$12,COLUMN()-1,0))),6)</f>
        <v>9</v>
      </c>
      <c r="I52" s="11" cm="1">
        <f t="array" ref="I52">ROUND(MAX(ABS(INDEX($B$3:$G$12,ROW()-44,0)-INDEX($B$3:$G$12,COLUMN()-1,0))),6)</f>
        <v>0</v>
      </c>
      <c r="J52" s="11" cm="1">
        <f t="array" ref="J52">ROUND(MAX(ABS(INDEX($B$3:$G$12,ROW()-44,0)-INDEX($B$3:$G$12,COLUMN()-1,0))),6)</f>
        <v>64</v>
      </c>
      <c r="K52" s="11" cm="1">
        <f t="array" ref="K52">ROUND(MAX(ABS(INDEX($B$3:$G$12,ROW()-44,0)-INDEX($B$3:$G$12,COLUMN()-1,0))),6)</f>
        <v>68</v>
      </c>
    </row>
    <row r="53" spans="1:11" ht="15" customHeight="1" x14ac:dyDescent="0.3">
      <c r="A53" s="4"/>
      <c r="B53" s="11" cm="1">
        <f t="array" ref="B53">ROUND(MAX(ABS(INDEX($B$3:$G$12,ROW()-44,0)-INDEX($B$3:$G$12,COLUMN()-1,0))),6)</f>
        <v>99</v>
      </c>
      <c r="C53" s="11" cm="1">
        <f t="array" ref="C53">ROUND(MAX(ABS(INDEX($B$3:$G$12,ROW()-44,0)-INDEX($B$3:$G$12,COLUMN()-1,0))),6)</f>
        <v>74</v>
      </c>
      <c r="D53" s="11" cm="1">
        <f t="array" ref="D53">ROUND(MAX(ABS(INDEX($B$3:$G$12,ROW()-44,0)-INDEX($B$3:$G$12,COLUMN()-1,0))),6)</f>
        <v>29</v>
      </c>
      <c r="E53" s="11" cm="1">
        <f t="array" ref="E53">ROUND(MAX(ABS(INDEX($B$3:$G$12,ROW()-44,0)-INDEX($B$3:$G$12,COLUMN()-1,0))),6)</f>
        <v>58</v>
      </c>
      <c r="F53" s="11" cm="1">
        <f t="array" ref="F53">ROUND(MAX(ABS(INDEX($B$3:$G$12,ROW()-44,0)-INDEX($B$3:$G$12,COLUMN()-1,0))),6)</f>
        <v>5</v>
      </c>
      <c r="G53" s="11" cm="1">
        <f t="array" ref="G53">ROUND(MAX(ABS(INDEX($B$3:$G$12,ROW()-44,0)-INDEX($B$3:$G$12,COLUMN()-1,0))),6)</f>
        <v>40</v>
      </c>
      <c r="H53" s="11" cm="1">
        <f t="array" ref="H53">ROUND(MAX(ABS(INDEX($B$3:$G$12,ROW()-44,0)-INDEX($B$3:$G$12,COLUMN()-1,0))),6)</f>
        <v>67</v>
      </c>
      <c r="I53" s="11" cm="1">
        <f t="array" ref="I53">ROUND(MAX(ABS(INDEX($B$3:$G$12,ROW()-44,0)-INDEX($B$3:$G$12,COLUMN()-1,0))),6)</f>
        <v>64</v>
      </c>
      <c r="J53" s="11" cm="1">
        <f t="array" ref="J53">ROUND(MAX(ABS(INDEX($B$3:$G$12,ROW()-44,0)-INDEX($B$3:$G$12,COLUMN()-1,0))),6)</f>
        <v>0</v>
      </c>
      <c r="K53" s="11" cm="1">
        <f t="array" ref="K53">ROUND(MAX(ABS(INDEX($B$3:$G$12,ROW()-44,0)-INDEX($B$3:$G$12,COLUMN()-1,0))),6)</f>
        <v>4</v>
      </c>
    </row>
    <row r="54" spans="1:11" ht="15" customHeight="1" x14ac:dyDescent="0.3">
      <c r="A54" s="4"/>
      <c r="B54" s="11" cm="1">
        <f t="array" ref="B54">ROUND(MAX(ABS(INDEX($B$3:$G$12,ROW()-44,0)-INDEX($B$3:$G$12,COLUMN()-1,0))),6)</f>
        <v>103</v>
      </c>
      <c r="C54" s="11" cm="1">
        <f t="array" ref="C54">ROUND(MAX(ABS(INDEX($B$3:$G$12,ROW()-44,0)-INDEX($B$3:$G$12,COLUMN()-1,0))),6)</f>
        <v>78</v>
      </c>
      <c r="D54" s="11" cm="1">
        <f t="array" ref="D54">ROUND(MAX(ABS(INDEX($B$3:$G$12,ROW()-44,0)-INDEX($B$3:$G$12,COLUMN()-1,0))),6)</f>
        <v>33</v>
      </c>
      <c r="E54" s="11" cm="1">
        <f t="array" ref="E54">ROUND(MAX(ABS(INDEX($B$3:$G$12,ROW()-44,0)-INDEX($B$3:$G$12,COLUMN()-1,0))),6)</f>
        <v>62</v>
      </c>
      <c r="F54" s="11" cm="1">
        <f t="array" ref="F54">ROUND(MAX(ABS(INDEX($B$3:$G$12,ROW()-44,0)-INDEX($B$3:$G$12,COLUMN()-1,0))),6)</f>
        <v>6</v>
      </c>
      <c r="G54" s="11" cm="1">
        <f t="array" ref="G54">ROUND(MAX(ABS(INDEX($B$3:$G$12,ROW()-44,0)-INDEX($B$3:$G$12,COLUMN()-1,0))),6)</f>
        <v>44</v>
      </c>
      <c r="H54" s="11" cm="1">
        <f t="array" ref="H54">ROUND(MAX(ABS(INDEX($B$3:$G$12,ROW()-44,0)-INDEX($B$3:$G$12,COLUMN()-1,0))),6)</f>
        <v>71</v>
      </c>
      <c r="I54" s="11" cm="1">
        <f t="array" ref="I54">ROUND(MAX(ABS(INDEX($B$3:$G$12,ROW()-44,0)-INDEX($B$3:$G$12,COLUMN()-1,0))),6)</f>
        <v>68</v>
      </c>
      <c r="J54" s="11" cm="1">
        <f t="array" ref="J54">ROUND(MAX(ABS(INDEX($B$3:$G$12,ROW()-44,0)-INDEX($B$3:$G$12,COLUMN()-1,0))),6)</f>
        <v>4</v>
      </c>
      <c r="K54" s="11" cm="1">
        <f t="array" ref="K54">ROUND(MAX(ABS(INDEX($B$3:$G$12,ROW()-44,0)-INDEX($B$3:$G$12,COLUMN()-1,0))),6)</f>
        <v>0</v>
      </c>
    </row>
    <row r="55" spans="1:11" ht="15" customHeight="1" x14ac:dyDescent="0.3"/>
    <row r="56" spans="1:11" ht="15" customHeight="1" x14ac:dyDescent="0.3"/>
    <row r="57" spans="1:11" ht="15" customHeight="1" thickBot="1" x14ac:dyDescent="0.35"/>
    <row r="58" spans="1:11" ht="15" customHeight="1" x14ac:dyDescent="0.3">
      <c r="E58" s="59" t="s">
        <v>8</v>
      </c>
      <c r="F58" s="65"/>
      <c r="G58" s="60"/>
    </row>
    <row r="59" spans="1:11" ht="15" customHeight="1" x14ac:dyDescent="0.3">
      <c r="E59" s="61"/>
      <c r="F59" s="66"/>
      <c r="G59" s="62"/>
    </row>
    <row r="60" spans="1:11" ht="15" customHeight="1" x14ac:dyDescent="0.3">
      <c r="E60" s="61"/>
      <c r="F60" s="66"/>
      <c r="G60" s="62"/>
    </row>
    <row r="61" spans="1:11" ht="15" customHeight="1" x14ac:dyDescent="0.3">
      <c r="E61" s="61"/>
      <c r="F61" s="66"/>
      <c r="G61" s="62"/>
    </row>
    <row r="62" spans="1:11" ht="15" customHeight="1" thickBot="1" x14ac:dyDescent="0.35">
      <c r="E62" s="63"/>
      <c r="F62" s="67"/>
      <c r="G62" s="64"/>
    </row>
    <row r="63" spans="1:11" ht="15" customHeight="1" x14ac:dyDescent="0.3"/>
    <row r="64" spans="1:11" ht="15" customHeight="1" x14ac:dyDescent="0.3">
      <c r="A64" s="68" t="s">
        <v>49</v>
      </c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1:11" ht="15" customHeight="1" x14ac:dyDescent="0.3">
      <c r="A65" s="3" t="s">
        <v>0</v>
      </c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 ht="15" customHeight="1" x14ac:dyDescent="0.3">
      <c r="A66" s="4"/>
      <c r="B66" s="11" cm="1">
        <f t="array" ref="B66">ROUND(SUMPRODUCT(ABS(INDEX($B$3:$G$12,ROW()-65,0)-INDEX($B$3:$G$12,COLUMN()-1,0))/(ABS(INDEX($B$3:$G$12,ROW()-65,0))+ABS(INDEX($B$3:$G$12,COLUMN()-1,0)))),6)</f>
        <v>0</v>
      </c>
      <c r="C66" s="11" cm="1">
        <f t="array" ref="C66">ROUND(SUMPRODUCT(ABS(INDEX($B$3:$G$12,ROW()-65,0)-INDEX($B$3:$G$12,COLUMN()-1,0))/(ABS(INDEX($B$3:$G$12,ROW()-65,0))+ABS(INDEX($B$3:$G$12,COLUMN()-1,0)))),6)</f>
        <v>0.54579999999999995</v>
      </c>
      <c r="D66" s="11" cm="1">
        <f t="array" ref="D66">ROUND(SUMPRODUCT(ABS(INDEX($B$3:$G$12,ROW()-65,0)-INDEX($B$3:$G$12,COLUMN()-1,0))/(ABS(INDEX($B$3:$G$12,ROW()-65,0))+ABS(INDEX($B$3:$G$12,COLUMN()-1,0)))),6)</f>
        <v>1.0373570000000001</v>
      </c>
      <c r="E66" s="11" cm="1">
        <f t="array" ref="E66">ROUND(SUMPRODUCT(ABS(INDEX($B$3:$G$12,ROW()-65,0)-INDEX($B$3:$G$12,COLUMN()-1,0))/(ABS(INDEX($B$3:$G$12,ROW()-65,0))+ABS(INDEX($B$3:$G$12,COLUMN()-1,0)))),6)</f>
        <v>0.56283499999999997</v>
      </c>
      <c r="F66" s="11" cm="1">
        <f t="array" ref="F66">ROUND(SUMPRODUCT(ABS(INDEX($B$3:$G$12,ROW()-65,0)-INDEX($B$3:$G$12,COLUMN()-1,0))/(ABS(INDEX($B$3:$G$12,ROW()-65,0))+ABS(INDEX($B$3:$G$12,COLUMN()-1,0)))),6)</f>
        <v>1.152085</v>
      </c>
      <c r="G66" s="11" cm="1">
        <f t="array" ref="G66">ROUND(SUMPRODUCT(ABS(INDEX($B$3:$G$12,ROW()-65,0)-INDEX($B$3:$G$12,COLUMN()-1,0))/(ABS(INDEX($B$3:$G$12,ROW()-65,0))+ABS(INDEX($B$3:$G$12,COLUMN()-1,0)))),6)</f>
        <v>0.68167900000000003</v>
      </c>
      <c r="H66" s="11" cm="1">
        <f t="array" ref="H66">ROUND(SUMPRODUCT(ABS(INDEX($B$3:$G$12,ROW()-65,0)-INDEX($B$3:$G$12,COLUMN()-1,0))/(ABS(INDEX($B$3:$G$12,ROW()-65,0))+ABS(INDEX($B$3:$G$12,COLUMN()-1,0)))),6)</f>
        <v>0.574291</v>
      </c>
      <c r="I66" s="11" cm="1">
        <f t="array" ref="I66">ROUND(SUMPRODUCT(ABS(INDEX($B$3:$G$12,ROW()-65,0)-INDEX($B$3:$G$12,COLUMN()-1,0))/(ABS(INDEX($B$3:$G$12,ROW()-65,0))+ABS(INDEX($B$3:$G$12,COLUMN()-1,0)))),6)</f>
        <v>0.62445600000000001</v>
      </c>
      <c r="J66" s="11" cm="1">
        <f t="array" ref="J66">ROUND(SUMPRODUCT(ABS(INDEX($B$3:$G$12,ROW()-65,0)-INDEX($B$3:$G$12,COLUMN()-1,0))/(ABS(INDEX($B$3:$G$12,ROW()-65,0))+ABS(INDEX($B$3:$G$12,COLUMN()-1,0)))),6)</f>
        <v>1.12375</v>
      </c>
      <c r="K66" s="11" cm="1">
        <f t="array" ref="K66">ROUND(SUMPRODUCT(ABS(INDEX($B$3:$G$12,ROW()-65,0)-INDEX($B$3:$G$12,COLUMN()-1,0))/(ABS(INDEX($B$3:$G$12,ROW()-65,0))+ABS(INDEX($B$3:$G$12,COLUMN()-1,0)))),6)</f>
        <v>1.108506</v>
      </c>
    </row>
    <row r="67" spans="1:11" ht="15" customHeight="1" x14ac:dyDescent="0.3">
      <c r="A67" s="4"/>
      <c r="B67" s="11" cm="1">
        <f t="array" ref="B67">ROUND(SUMPRODUCT(ABS(INDEX($B$3:$G$12,ROW()-65,0)-INDEX($B$3:$G$12,COLUMN()-1,0))/(ABS(INDEX($B$3:$G$12,ROW()-65,0))+ABS(INDEX($B$3:$G$12,COLUMN()-1,0)))),6)</f>
        <v>0.54579999999999995</v>
      </c>
      <c r="C67" s="11" cm="1">
        <f t="array" ref="C67">ROUND(SUMPRODUCT(ABS(INDEX($B$3:$G$12,ROW()-65,0)-INDEX($B$3:$G$12,COLUMN()-1,0))/(ABS(INDEX($B$3:$G$12,ROW()-65,0))+ABS(INDEX($B$3:$G$12,COLUMN()-1,0)))),6)</f>
        <v>0</v>
      </c>
      <c r="D67" s="11" cm="1">
        <f t="array" ref="D67">ROUND(SUMPRODUCT(ABS(INDEX($B$3:$G$12,ROW()-65,0)-INDEX($B$3:$G$12,COLUMN()-1,0))/(ABS(INDEX($B$3:$G$12,ROW()-65,0))+ABS(INDEX($B$3:$G$12,COLUMN()-1,0)))),6)</f>
        <v>0.49956899999999999</v>
      </c>
      <c r="E67" s="11" cm="1">
        <f t="array" ref="E67">ROUND(SUMPRODUCT(ABS(INDEX($B$3:$G$12,ROW()-65,0)-INDEX($B$3:$G$12,COLUMN()-1,0))/(ABS(INDEX($B$3:$G$12,ROW()-65,0))+ABS(INDEX($B$3:$G$12,COLUMN()-1,0)))),6)</f>
        <v>0.30976700000000001</v>
      </c>
      <c r="F67" s="11" cm="1">
        <f t="array" ref="F67">ROUND(SUMPRODUCT(ABS(INDEX($B$3:$G$12,ROW()-65,0)-INDEX($B$3:$G$12,COLUMN()-1,0))/(ABS(INDEX($B$3:$G$12,ROW()-65,0))+ABS(INDEX($B$3:$G$12,COLUMN()-1,0)))),6)</f>
        <v>0.63149599999999995</v>
      </c>
      <c r="G67" s="11" cm="1">
        <f t="array" ref="G67">ROUND(SUMPRODUCT(ABS(INDEX($B$3:$G$12,ROW()-65,0)-INDEX($B$3:$G$12,COLUMN()-1,0))/(ABS(INDEX($B$3:$G$12,ROW()-65,0))+ABS(INDEX($B$3:$G$12,COLUMN()-1,0)))),6)</f>
        <v>0.33829599999999999</v>
      </c>
      <c r="H67" s="11" cm="1">
        <f t="array" ref="H67">ROUND(SUMPRODUCT(ABS(INDEX($B$3:$G$12,ROW()-65,0)-INDEX($B$3:$G$12,COLUMN()-1,0))/(ABS(INDEX($B$3:$G$12,ROW()-65,0))+ABS(INDEX($B$3:$G$12,COLUMN()-1,0)))),6)</f>
        <v>0.50434800000000002</v>
      </c>
      <c r="I67" s="11" cm="1">
        <f t="array" ref="I67">ROUND(SUMPRODUCT(ABS(INDEX($B$3:$G$12,ROW()-65,0)-INDEX($B$3:$G$12,COLUMN()-1,0))/(ABS(INDEX($B$3:$G$12,ROW()-65,0))+ABS(INDEX($B$3:$G$12,COLUMN()-1,0)))),6)</f>
        <v>0.44345699999999999</v>
      </c>
      <c r="J67" s="11" cm="1">
        <f t="array" ref="J67">ROUND(SUMPRODUCT(ABS(INDEX($B$3:$G$12,ROW()-65,0)-INDEX($B$3:$G$12,COLUMN()-1,0))/(ABS(INDEX($B$3:$G$12,ROW()-65,0))+ABS(INDEX($B$3:$G$12,COLUMN()-1,0)))),6)</f>
        <v>0.66627499999999995</v>
      </c>
      <c r="K67" s="11" cm="1">
        <f t="array" ref="K67">ROUND(SUMPRODUCT(ABS(INDEX($B$3:$G$12,ROW()-65,0)-INDEX($B$3:$G$12,COLUMN()-1,0))/(ABS(INDEX($B$3:$G$12,ROW()-65,0))+ABS(INDEX($B$3:$G$12,COLUMN()-1,0)))),6)</f>
        <v>0.72694700000000001</v>
      </c>
    </row>
    <row r="68" spans="1:11" ht="15" customHeight="1" x14ac:dyDescent="0.3">
      <c r="A68" s="4"/>
      <c r="B68" s="11" cm="1">
        <f t="array" ref="B68">ROUND(SUMPRODUCT(ABS(INDEX($B$3:$G$12,ROW()-65,0)-INDEX($B$3:$G$12,COLUMN()-1,0))/(ABS(INDEX($B$3:$G$12,ROW()-65,0))+ABS(INDEX($B$3:$G$12,COLUMN()-1,0)))),6)</f>
        <v>1.0373570000000001</v>
      </c>
      <c r="C68" s="11" cm="1">
        <f t="array" ref="C68">ROUND(SUMPRODUCT(ABS(INDEX($B$3:$G$12,ROW()-65,0)-INDEX($B$3:$G$12,COLUMN()-1,0))/(ABS(INDEX($B$3:$G$12,ROW()-65,0))+ABS(INDEX($B$3:$G$12,COLUMN()-1,0)))),6)</f>
        <v>0.49956899999999999</v>
      </c>
      <c r="D68" s="11" cm="1">
        <f t="array" ref="D68">ROUND(SUMPRODUCT(ABS(INDEX($B$3:$G$12,ROW()-65,0)-INDEX($B$3:$G$12,COLUMN()-1,0))/(ABS(INDEX($B$3:$G$12,ROW()-65,0))+ABS(INDEX($B$3:$G$12,COLUMN()-1,0)))),6)</f>
        <v>0</v>
      </c>
      <c r="E68" s="11" cm="1">
        <f t="array" ref="E68">ROUND(SUMPRODUCT(ABS(INDEX($B$3:$G$12,ROW()-65,0)-INDEX($B$3:$G$12,COLUMN()-1,0))/(ABS(INDEX($B$3:$G$12,ROW()-65,0))+ABS(INDEX($B$3:$G$12,COLUMN()-1,0)))),6)</f>
        <v>0.50973100000000005</v>
      </c>
      <c r="F68" s="11" cm="1">
        <f t="array" ref="F68">ROUND(SUMPRODUCT(ABS(INDEX($B$3:$G$12,ROW()-65,0)-INDEX($B$3:$G$12,COLUMN()-1,0))/(ABS(INDEX($B$3:$G$12,ROW()-65,0))+ABS(INDEX($B$3:$G$12,COLUMN()-1,0)))),6)</f>
        <v>0.20266999999999999</v>
      </c>
      <c r="G68" s="11" cm="1">
        <f t="array" ref="G68">ROUND(SUMPRODUCT(ABS(INDEX($B$3:$G$12,ROW()-65,0)-INDEX($B$3:$G$12,COLUMN()-1,0))/(ABS(INDEX($B$3:$G$12,ROW()-65,0))+ABS(INDEX($B$3:$G$12,COLUMN()-1,0)))),6)</f>
        <v>0.36152400000000001</v>
      </c>
      <c r="H68" s="11" cm="1">
        <f t="array" ref="H68">ROUND(SUMPRODUCT(ABS(INDEX($B$3:$G$12,ROW()-65,0)-INDEX($B$3:$G$12,COLUMN()-1,0))/(ABS(INDEX($B$3:$G$12,ROW()-65,0))+ABS(INDEX($B$3:$G$12,COLUMN()-1,0)))),6)</f>
        <v>0.82781099999999996</v>
      </c>
      <c r="I68" s="11" cm="1">
        <f t="array" ref="I68">ROUND(SUMPRODUCT(ABS(INDEX($B$3:$G$12,ROW()-65,0)-INDEX($B$3:$G$12,COLUMN()-1,0))/(ABS(INDEX($B$3:$G$12,ROW()-65,0))+ABS(INDEX($B$3:$G$12,COLUMN()-1,0)))),6)</f>
        <v>0.64531000000000005</v>
      </c>
      <c r="J68" s="11" cm="1">
        <f t="array" ref="J68">ROUND(SUMPRODUCT(ABS(INDEX($B$3:$G$12,ROW()-65,0)-INDEX($B$3:$G$12,COLUMN()-1,0))/(ABS(INDEX($B$3:$G$12,ROW()-65,0))+ABS(INDEX($B$3:$G$12,COLUMN()-1,0)))),6)</f>
        <v>0.24385499999999999</v>
      </c>
      <c r="K68" s="11" cm="1">
        <f t="array" ref="K68">ROUND(SUMPRODUCT(ABS(INDEX($B$3:$G$12,ROW()-65,0)-INDEX($B$3:$G$12,COLUMN()-1,0))/(ABS(INDEX($B$3:$G$12,ROW()-65,0))+ABS(INDEX($B$3:$G$12,COLUMN()-1,0)))),6)</f>
        <v>0.41927999999999999</v>
      </c>
    </row>
    <row r="69" spans="1:11" ht="15" customHeight="1" x14ac:dyDescent="0.3">
      <c r="A69" s="4"/>
      <c r="B69" s="11" cm="1">
        <f t="array" ref="B69">ROUND(SUMPRODUCT(ABS(INDEX($B$3:$G$12,ROW()-65,0)-INDEX($B$3:$G$12,COLUMN()-1,0))/(ABS(INDEX($B$3:$G$12,ROW()-65,0))+ABS(INDEX($B$3:$G$12,COLUMN()-1,0)))),6)</f>
        <v>0.56283499999999997</v>
      </c>
      <c r="C69" s="11" cm="1">
        <f t="array" ref="C69">ROUND(SUMPRODUCT(ABS(INDEX($B$3:$G$12,ROW()-65,0)-INDEX($B$3:$G$12,COLUMN()-1,0))/(ABS(INDEX($B$3:$G$12,ROW()-65,0))+ABS(INDEX($B$3:$G$12,COLUMN()-1,0)))),6)</f>
        <v>0.30976700000000001</v>
      </c>
      <c r="D69" s="11" cm="1">
        <f t="array" ref="D69">ROUND(SUMPRODUCT(ABS(INDEX($B$3:$G$12,ROW()-65,0)-INDEX($B$3:$G$12,COLUMN()-1,0))/(ABS(INDEX($B$3:$G$12,ROW()-65,0))+ABS(INDEX($B$3:$G$12,COLUMN()-1,0)))),6)</f>
        <v>0.50973100000000005</v>
      </c>
      <c r="E69" s="11" cm="1">
        <f t="array" ref="E69">ROUND(SUMPRODUCT(ABS(INDEX($B$3:$G$12,ROW()-65,0)-INDEX($B$3:$G$12,COLUMN()-1,0))/(ABS(INDEX($B$3:$G$12,ROW()-65,0))+ABS(INDEX($B$3:$G$12,COLUMN()-1,0)))),6)</f>
        <v>0</v>
      </c>
      <c r="F69" s="11" cm="1">
        <f t="array" ref="F69">ROUND(SUMPRODUCT(ABS(INDEX($B$3:$G$12,ROW()-65,0)-INDEX($B$3:$G$12,COLUMN()-1,0))/(ABS(INDEX($B$3:$G$12,ROW()-65,0))+ABS(INDEX($B$3:$G$12,COLUMN()-1,0)))),6)</f>
        <v>0.68363399999999996</v>
      </c>
      <c r="G69" s="11" cm="1">
        <f t="array" ref="G69">ROUND(SUMPRODUCT(ABS(INDEX($B$3:$G$12,ROW()-65,0)-INDEX($B$3:$G$12,COLUMN()-1,0))/(ABS(INDEX($B$3:$G$12,ROW()-65,0))+ABS(INDEX($B$3:$G$12,COLUMN()-1,0)))),6)</f>
        <v>0.22051599999999999</v>
      </c>
      <c r="H69" s="11" cm="1">
        <f t="array" ref="H69">ROUND(SUMPRODUCT(ABS(INDEX($B$3:$G$12,ROW()-65,0)-INDEX($B$3:$G$12,COLUMN()-1,0))/(ABS(INDEX($B$3:$G$12,ROW()-65,0))+ABS(INDEX($B$3:$G$12,COLUMN()-1,0)))),6)</f>
        <v>0.32128899999999999</v>
      </c>
      <c r="I69" s="11" cm="1">
        <f t="array" ref="I69">ROUND(SUMPRODUCT(ABS(INDEX($B$3:$G$12,ROW()-65,0)-INDEX($B$3:$G$12,COLUMN()-1,0))/(ABS(INDEX($B$3:$G$12,ROW()-65,0))+ABS(INDEX($B$3:$G$12,COLUMN()-1,0)))),6)</f>
        <v>0.20220399999999999</v>
      </c>
      <c r="J69" s="11" cm="1">
        <f t="array" ref="J69">ROUND(SUMPRODUCT(ABS(INDEX($B$3:$G$12,ROW()-65,0)-INDEX($B$3:$G$12,COLUMN()-1,0))/(ABS(INDEX($B$3:$G$12,ROW()-65,0))+ABS(INDEX($B$3:$G$12,COLUMN()-1,0)))),6)</f>
        <v>0.71919500000000003</v>
      </c>
      <c r="K69" s="11" cm="1">
        <f t="array" ref="K69">ROUND(SUMPRODUCT(ABS(INDEX($B$3:$G$12,ROW()-65,0)-INDEX($B$3:$G$12,COLUMN()-1,0))/(ABS(INDEX($B$3:$G$12,ROW()-65,0))+ABS(INDEX($B$3:$G$12,COLUMN()-1,0)))),6)</f>
        <v>0.74225399999999997</v>
      </c>
    </row>
    <row r="70" spans="1:11" ht="15" customHeight="1" x14ac:dyDescent="0.3">
      <c r="A70" s="4"/>
      <c r="B70" s="11" cm="1">
        <f t="array" ref="B70">ROUND(SUMPRODUCT(ABS(INDEX($B$3:$G$12,ROW()-65,0)-INDEX($B$3:$G$12,COLUMN()-1,0))/(ABS(INDEX($B$3:$G$12,ROW()-65,0))+ABS(INDEX($B$3:$G$12,COLUMN()-1,0)))),6)</f>
        <v>1.152085</v>
      </c>
      <c r="C70" s="11" cm="1">
        <f t="array" ref="C70">ROUND(SUMPRODUCT(ABS(INDEX($B$3:$G$12,ROW()-65,0)-INDEX($B$3:$G$12,COLUMN()-1,0))/(ABS(INDEX($B$3:$G$12,ROW()-65,0))+ABS(INDEX($B$3:$G$12,COLUMN()-1,0)))),6)</f>
        <v>0.63149599999999995</v>
      </c>
      <c r="D70" s="11" cm="1">
        <f t="array" ref="D70">ROUND(SUMPRODUCT(ABS(INDEX($B$3:$G$12,ROW()-65,0)-INDEX($B$3:$G$12,COLUMN()-1,0))/(ABS(INDEX($B$3:$G$12,ROW()-65,0))+ABS(INDEX($B$3:$G$12,COLUMN()-1,0)))),6)</f>
        <v>0.20266999999999999</v>
      </c>
      <c r="E70" s="11" cm="1">
        <f t="array" ref="E70">ROUND(SUMPRODUCT(ABS(INDEX($B$3:$G$12,ROW()-65,0)-INDEX($B$3:$G$12,COLUMN()-1,0))/(ABS(INDEX($B$3:$G$12,ROW()-65,0))+ABS(INDEX($B$3:$G$12,COLUMN()-1,0)))),6)</f>
        <v>0.68363399999999996</v>
      </c>
      <c r="F70" s="11" cm="1">
        <f t="array" ref="F70">ROUND(SUMPRODUCT(ABS(INDEX($B$3:$G$12,ROW()-65,0)-INDEX($B$3:$G$12,COLUMN()-1,0))/(ABS(INDEX($B$3:$G$12,ROW()-65,0))+ABS(INDEX($B$3:$G$12,COLUMN()-1,0)))),6)</f>
        <v>0</v>
      </c>
      <c r="G70" s="11" cm="1">
        <f t="array" ref="G70">ROUND(SUMPRODUCT(ABS(INDEX($B$3:$G$12,ROW()-65,0)-INDEX($B$3:$G$12,COLUMN()-1,0))/(ABS(INDEX($B$3:$G$12,ROW()-65,0))+ABS(INDEX($B$3:$G$12,COLUMN()-1,0)))),6)</f>
        <v>0.53694500000000001</v>
      </c>
      <c r="H70" s="11" cm="1">
        <f t="array" ref="H70">ROUND(SUMPRODUCT(ABS(INDEX($B$3:$G$12,ROW()-65,0)-INDEX($B$3:$G$12,COLUMN()-1,0))/(ABS(INDEX($B$3:$G$12,ROW()-65,0))+ABS(INDEX($B$3:$G$12,COLUMN()-1,0)))),6)</f>
        <v>1.00024</v>
      </c>
      <c r="I70" s="11" cm="1">
        <f t="array" ref="I70">ROUND(SUMPRODUCT(ABS(INDEX($B$3:$G$12,ROW()-65,0)-INDEX($B$3:$G$12,COLUMN()-1,0))/(ABS(INDEX($B$3:$G$12,ROW()-65,0))+ABS(INDEX($B$3:$G$12,COLUMN()-1,0)))),6)</f>
        <v>0.81874599999999997</v>
      </c>
      <c r="J70" s="11" cm="1">
        <f t="array" ref="J70">ROUND(SUMPRODUCT(ABS(INDEX($B$3:$G$12,ROW()-65,0)-INDEX($B$3:$G$12,COLUMN()-1,0))/(ABS(INDEX($B$3:$G$12,ROW()-65,0))+ABS(INDEX($B$3:$G$12,COLUMN()-1,0)))),6)</f>
        <v>7.3196999999999998E-2</v>
      </c>
      <c r="K70" s="11" cm="1">
        <f t="array" ref="K70">ROUND(SUMPRODUCT(ABS(INDEX($B$3:$G$12,ROW()-65,0)-INDEX($B$3:$G$12,COLUMN()-1,0))/(ABS(INDEX($B$3:$G$12,ROW()-65,0))+ABS(INDEX($B$3:$G$12,COLUMN()-1,0)))),6)</f>
        <v>0.21699599999999999</v>
      </c>
    </row>
    <row r="71" spans="1:11" ht="15" customHeight="1" x14ac:dyDescent="0.3">
      <c r="A71" s="4"/>
      <c r="B71" s="11" cm="1">
        <f t="array" ref="B71">ROUND(SUMPRODUCT(ABS(INDEX($B$3:$G$12,ROW()-65,0)-INDEX($B$3:$G$12,COLUMN()-1,0))/(ABS(INDEX($B$3:$G$12,ROW()-65,0))+ABS(INDEX($B$3:$G$12,COLUMN()-1,0)))),6)</f>
        <v>0.68167900000000003</v>
      </c>
      <c r="C71" s="11" cm="1">
        <f t="array" ref="C71">ROUND(SUMPRODUCT(ABS(INDEX($B$3:$G$12,ROW()-65,0)-INDEX($B$3:$G$12,COLUMN()-1,0))/(ABS(INDEX($B$3:$G$12,ROW()-65,0))+ABS(INDEX($B$3:$G$12,COLUMN()-1,0)))),6)</f>
        <v>0.33829599999999999</v>
      </c>
      <c r="D71" s="11" cm="1">
        <f t="array" ref="D71">ROUND(SUMPRODUCT(ABS(INDEX($B$3:$G$12,ROW()-65,0)-INDEX($B$3:$G$12,COLUMN()-1,0))/(ABS(INDEX($B$3:$G$12,ROW()-65,0))+ABS(INDEX($B$3:$G$12,COLUMN()-1,0)))),6)</f>
        <v>0.36152400000000001</v>
      </c>
      <c r="E71" s="11" cm="1">
        <f t="array" ref="E71">ROUND(SUMPRODUCT(ABS(INDEX($B$3:$G$12,ROW()-65,0)-INDEX($B$3:$G$12,COLUMN()-1,0))/(ABS(INDEX($B$3:$G$12,ROW()-65,0))+ABS(INDEX($B$3:$G$12,COLUMN()-1,0)))),6)</f>
        <v>0.22051599999999999</v>
      </c>
      <c r="F71" s="11" cm="1">
        <f t="array" ref="F71">ROUND(SUMPRODUCT(ABS(INDEX($B$3:$G$12,ROW()-65,0)-INDEX($B$3:$G$12,COLUMN()-1,0))/(ABS(INDEX($B$3:$G$12,ROW()-65,0))+ABS(INDEX($B$3:$G$12,COLUMN()-1,0)))),6)</f>
        <v>0.53694500000000001</v>
      </c>
      <c r="G71" s="11" cm="1">
        <f t="array" ref="G71">ROUND(SUMPRODUCT(ABS(INDEX($B$3:$G$12,ROW()-65,0)-INDEX($B$3:$G$12,COLUMN()-1,0))/(ABS(INDEX($B$3:$G$12,ROW()-65,0))+ABS(INDEX($B$3:$G$12,COLUMN()-1,0)))),6)</f>
        <v>0</v>
      </c>
      <c r="H71" s="11" cm="1">
        <f t="array" ref="H71">ROUND(SUMPRODUCT(ABS(INDEX($B$3:$G$12,ROW()-65,0)-INDEX($B$3:$G$12,COLUMN()-1,0))/(ABS(INDEX($B$3:$G$12,ROW()-65,0))+ABS(INDEX($B$3:$G$12,COLUMN()-1,0)))),6)</f>
        <v>0.46984100000000001</v>
      </c>
      <c r="I71" s="11" cm="1">
        <f t="array" ref="I71">ROUND(SUMPRODUCT(ABS(INDEX($B$3:$G$12,ROW()-65,0)-INDEX($B$3:$G$12,COLUMN()-1,0))/(ABS(INDEX($B$3:$G$12,ROW()-65,0))+ABS(INDEX($B$3:$G$12,COLUMN()-1,0)))),6)</f>
        <v>0.28494599999999998</v>
      </c>
      <c r="J71" s="11" cm="1">
        <f t="array" ref="J71">ROUND(SUMPRODUCT(ABS(INDEX($B$3:$G$12,ROW()-65,0)-INDEX($B$3:$G$12,COLUMN()-1,0))/(ABS(INDEX($B$3:$G$12,ROW()-65,0))+ABS(INDEX($B$3:$G$12,COLUMN()-1,0)))),6)</f>
        <v>0.57267699999999999</v>
      </c>
      <c r="K71" s="11" cm="1">
        <f t="array" ref="K71">ROUND(SUMPRODUCT(ABS(INDEX($B$3:$G$12,ROW()-65,0)-INDEX($B$3:$G$12,COLUMN()-1,0))/(ABS(INDEX($B$3:$G$12,ROW()-65,0))+ABS(INDEX($B$3:$G$12,COLUMN()-1,0)))),6)</f>
        <v>0.57135100000000005</v>
      </c>
    </row>
    <row r="72" spans="1:11" ht="15" customHeight="1" x14ac:dyDescent="0.3">
      <c r="A72" s="4"/>
      <c r="B72" s="11" cm="1">
        <f t="array" ref="B72">ROUND(SUMPRODUCT(ABS(INDEX($B$3:$G$12,ROW()-65,0)-INDEX($B$3:$G$12,COLUMN()-1,0))/(ABS(INDEX($B$3:$G$12,ROW()-65,0))+ABS(INDEX($B$3:$G$12,COLUMN()-1,0)))),6)</f>
        <v>0.574291</v>
      </c>
      <c r="C72" s="11" cm="1">
        <f t="array" ref="C72">ROUND(SUMPRODUCT(ABS(INDEX($B$3:$G$12,ROW()-65,0)-INDEX($B$3:$G$12,COLUMN()-1,0))/(ABS(INDEX($B$3:$G$12,ROW()-65,0))+ABS(INDEX($B$3:$G$12,COLUMN()-1,0)))),6)</f>
        <v>0.50434800000000002</v>
      </c>
      <c r="D72" s="11" cm="1">
        <f t="array" ref="D72">ROUND(SUMPRODUCT(ABS(INDEX($B$3:$G$12,ROW()-65,0)-INDEX($B$3:$G$12,COLUMN()-1,0))/(ABS(INDEX($B$3:$G$12,ROW()-65,0))+ABS(INDEX($B$3:$G$12,COLUMN()-1,0)))),6)</f>
        <v>0.82781099999999996</v>
      </c>
      <c r="E72" s="11" cm="1">
        <f t="array" ref="E72">ROUND(SUMPRODUCT(ABS(INDEX($B$3:$G$12,ROW()-65,0)-INDEX($B$3:$G$12,COLUMN()-1,0))/(ABS(INDEX($B$3:$G$12,ROW()-65,0))+ABS(INDEX($B$3:$G$12,COLUMN()-1,0)))),6)</f>
        <v>0.32128899999999999</v>
      </c>
      <c r="F72" s="11" cm="1">
        <f t="array" ref="F72">ROUND(SUMPRODUCT(ABS(INDEX($B$3:$G$12,ROW()-65,0)-INDEX($B$3:$G$12,COLUMN()-1,0))/(ABS(INDEX($B$3:$G$12,ROW()-65,0))+ABS(INDEX($B$3:$G$12,COLUMN()-1,0)))),6)</f>
        <v>1.00024</v>
      </c>
      <c r="G72" s="11" cm="1">
        <f t="array" ref="G72">ROUND(SUMPRODUCT(ABS(INDEX($B$3:$G$12,ROW()-65,0)-INDEX($B$3:$G$12,COLUMN()-1,0))/(ABS(INDEX($B$3:$G$12,ROW()-65,0))+ABS(INDEX($B$3:$G$12,COLUMN()-1,0)))),6)</f>
        <v>0.46984100000000001</v>
      </c>
      <c r="H72" s="11" cm="1">
        <f t="array" ref="H72">ROUND(SUMPRODUCT(ABS(INDEX($B$3:$G$12,ROW()-65,0)-INDEX($B$3:$G$12,COLUMN()-1,0))/(ABS(INDEX($B$3:$G$12,ROW()-65,0))+ABS(INDEX($B$3:$G$12,COLUMN()-1,0)))),6)</f>
        <v>0</v>
      </c>
      <c r="I72" s="11" cm="1">
        <f t="array" ref="I72">ROUND(SUMPRODUCT(ABS(INDEX($B$3:$G$12,ROW()-65,0)-INDEX($B$3:$G$12,COLUMN()-1,0))/(ABS(INDEX($B$3:$G$12,ROW()-65,0))+ABS(INDEX($B$3:$G$12,COLUMN()-1,0)))),6)</f>
        <v>0.18553700000000001</v>
      </c>
      <c r="J72" s="11" cm="1">
        <f t="array" ref="J72">ROUND(SUMPRODUCT(ABS(INDEX($B$3:$G$12,ROW()-65,0)-INDEX($B$3:$G$12,COLUMN()-1,0))/(ABS(INDEX($B$3:$G$12,ROW()-65,0))+ABS(INDEX($B$3:$G$12,COLUMN()-1,0)))),6)</f>
        <v>1.0347200000000001</v>
      </c>
      <c r="K72" s="11" cm="1">
        <f t="array" ref="K72">ROUND(SUMPRODUCT(ABS(INDEX($B$3:$G$12,ROW()-65,0)-INDEX($B$3:$G$12,COLUMN()-1,0))/(ABS(INDEX($B$3:$G$12,ROW()-65,0))+ABS(INDEX($B$3:$G$12,COLUMN()-1,0)))),6)</f>
        <v>1.033188</v>
      </c>
    </row>
    <row r="73" spans="1:11" ht="15" customHeight="1" x14ac:dyDescent="0.3">
      <c r="A73" s="4"/>
      <c r="B73" s="11" cm="1">
        <f t="array" ref="B73">ROUND(SUMPRODUCT(ABS(INDEX($B$3:$G$12,ROW()-65,0)-INDEX($B$3:$G$12,COLUMN()-1,0))/(ABS(INDEX($B$3:$G$12,ROW()-65,0))+ABS(INDEX($B$3:$G$12,COLUMN()-1,0)))),6)</f>
        <v>0.62445600000000001</v>
      </c>
      <c r="C73" s="11" cm="1">
        <f t="array" ref="C73">ROUND(SUMPRODUCT(ABS(INDEX($B$3:$G$12,ROW()-65,0)-INDEX($B$3:$G$12,COLUMN()-1,0))/(ABS(INDEX($B$3:$G$12,ROW()-65,0))+ABS(INDEX($B$3:$G$12,COLUMN()-1,0)))),6)</f>
        <v>0.44345699999999999</v>
      </c>
      <c r="D73" s="11" cm="1">
        <f t="array" ref="D73">ROUND(SUMPRODUCT(ABS(INDEX($B$3:$G$12,ROW()-65,0)-INDEX($B$3:$G$12,COLUMN()-1,0))/(ABS(INDEX($B$3:$G$12,ROW()-65,0))+ABS(INDEX($B$3:$G$12,COLUMN()-1,0)))),6)</f>
        <v>0.64531000000000005</v>
      </c>
      <c r="E73" s="11" cm="1">
        <f t="array" ref="E73">ROUND(SUMPRODUCT(ABS(INDEX($B$3:$G$12,ROW()-65,0)-INDEX($B$3:$G$12,COLUMN()-1,0))/(ABS(INDEX($B$3:$G$12,ROW()-65,0))+ABS(INDEX($B$3:$G$12,COLUMN()-1,0)))),6)</f>
        <v>0.20220399999999999</v>
      </c>
      <c r="F73" s="11" cm="1">
        <f t="array" ref="F73">ROUND(SUMPRODUCT(ABS(INDEX($B$3:$G$12,ROW()-65,0)-INDEX($B$3:$G$12,COLUMN()-1,0))/(ABS(INDEX($B$3:$G$12,ROW()-65,0))+ABS(INDEX($B$3:$G$12,COLUMN()-1,0)))),6)</f>
        <v>0.81874599999999997</v>
      </c>
      <c r="G73" s="11" cm="1">
        <f t="array" ref="G73">ROUND(SUMPRODUCT(ABS(INDEX($B$3:$G$12,ROW()-65,0)-INDEX($B$3:$G$12,COLUMN()-1,0))/(ABS(INDEX($B$3:$G$12,ROW()-65,0))+ABS(INDEX($B$3:$G$12,COLUMN()-1,0)))),6)</f>
        <v>0.28494599999999998</v>
      </c>
      <c r="H73" s="11" cm="1">
        <f t="array" ref="H73">ROUND(SUMPRODUCT(ABS(INDEX($B$3:$G$12,ROW()-65,0)-INDEX($B$3:$G$12,COLUMN()-1,0))/(ABS(INDEX($B$3:$G$12,ROW()-65,0))+ABS(INDEX($B$3:$G$12,COLUMN()-1,0)))),6)</f>
        <v>0.18553700000000001</v>
      </c>
      <c r="I73" s="11" cm="1">
        <f t="array" ref="I73">ROUND(SUMPRODUCT(ABS(INDEX($B$3:$G$12,ROW()-65,0)-INDEX($B$3:$G$12,COLUMN()-1,0))/(ABS(INDEX($B$3:$G$12,ROW()-65,0))+ABS(INDEX($B$3:$G$12,COLUMN()-1,0)))),6)</f>
        <v>0</v>
      </c>
      <c r="J73" s="11" cm="1">
        <f t="array" ref="J73">ROUND(SUMPRODUCT(ABS(INDEX($B$3:$G$12,ROW()-65,0)-INDEX($B$3:$G$12,COLUMN()-1,0))/(ABS(INDEX($B$3:$G$12,ROW()-65,0))+ABS(INDEX($B$3:$G$12,COLUMN()-1,0)))),6)</f>
        <v>0.85374399999999995</v>
      </c>
      <c r="K73" s="11" cm="1">
        <f t="array" ref="K73">ROUND(SUMPRODUCT(ABS(INDEX($B$3:$G$12,ROW()-65,0)-INDEX($B$3:$G$12,COLUMN()-1,0))/(ABS(INDEX($B$3:$G$12,ROW()-65,0))+ABS(INDEX($B$3:$G$12,COLUMN()-1,0)))),6)</f>
        <v>0.85166799999999998</v>
      </c>
    </row>
    <row r="74" spans="1:11" ht="15" customHeight="1" x14ac:dyDescent="0.3">
      <c r="A74" s="4"/>
      <c r="B74" s="11" cm="1">
        <f t="array" ref="B74">ROUND(SUMPRODUCT(ABS(INDEX($B$3:$G$12,ROW()-65,0)-INDEX($B$3:$G$12,COLUMN()-1,0))/(ABS(INDEX($B$3:$G$12,ROW()-65,0))+ABS(INDEX($B$3:$G$12,COLUMN()-1,0)))),6)</f>
        <v>1.12375</v>
      </c>
      <c r="C74" s="11" cm="1">
        <f t="array" ref="C74">ROUND(SUMPRODUCT(ABS(INDEX($B$3:$G$12,ROW()-65,0)-INDEX($B$3:$G$12,COLUMN()-1,0))/(ABS(INDEX($B$3:$G$12,ROW()-65,0))+ABS(INDEX($B$3:$G$12,COLUMN()-1,0)))),6)</f>
        <v>0.66627499999999995</v>
      </c>
      <c r="D74" s="11" cm="1">
        <f t="array" ref="D74">ROUND(SUMPRODUCT(ABS(INDEX($B$3:$G$12,ROW()-65,0)-INDEX($B$3:$G$12,COLUMN()-1,0))/(ABS(INDEX($B$3:$G$12,ROW()-65,0))+ABS(INDEX($B$3:$G$12,COLUMN()-1,0)))),6)</f>
        <v>0.24385499999999999</v>
      </c>
      <c r="E74" s="11" cm="1">
        <f t="array" ref="E74">ROUND(SUMPRODUCT(ABS(INDEX($B$3:$G$12,ROW()-65,0)-INDEX($B$3:$G$12,COLUMN()-1,0))/(ABS(INDEX($B$3:$G$12,ROW()-65,0))+ABS(INDEX($B$3:$G$12,COLUMN()-1,0)))),6)</f>
        <v>0.71919500000000003</v>
      </c>
      <c r="F74" s="11" cm="1">
        <f t="array" ref="F74">ROUND(SUMPRODUCT(ABS(INDEX($B$3:$G$12,ROW()-65,0)-INDEX($B$3:$G$12,COLUMN()-1,0))/(ABS(INDEX($B$3:$G$12,ROW()-65,0))+ABS(INDEX($B$3:$G$12,COLUMN()-1,0)))),6)</f>
        <v>7.3196999999999998E-2</v>
      </c>
      <c r="G74" s="11" cm="1">
        <f t="array" ref="G74">ROUND(SUMPRODUCT(ABS(INDEX($B$3:$G$12,ROW()-65,0)-INDEX($B$3:$G$12,COLUMN()-1,0))/(ABS(INDEX($B$3:$G$12,ROW()-65,0))+ABS(INDEX($B$3:$G$12,COLUMN()-1,0)))),6)</f>
        <v>0.57267699999999999</v>
      </c>
      <c r="H74" s="11" cm="1">
        <f t="array" ref="H74">ROUND(SUMPRODUCT(ABS(INDEX($B$3:$G$12,ROW()-65,0)-INDEX($B$3:$G$12,COLUMN()-1,0))/(ABS(INDEX($B$3:$G$12,ROW()-65,0))+ABS(INDEX($B$3:$G$12,COLUMN()-1,0)))),6)</f>
        <v>1.0347200000000001</v>
      </c>
      <c r="I74" s="11" cm="1">
        <f t="array" ref="I74">ROUND(SUMPRODUCT(ABS(INDEX($B$3:$G$12,ROW()-65,0)-INDEX($B$3:$G$12,COLUMN()-1,0))/(ABS(INDEX($B$3:$G$12,ROW()-65,0))+ABS(INDEX($B$3:$G$12,COLUMN()-1,0)))),6)</f>
        <v>0.85374399999999995</v>
      </c>
      <c r="J74" s="11" cm="1">
        <f t="array" ref="J74">ROUND(SUMPRODUCT(ABS(INDEX($B$3:$G$12,ROW()-65,0)-INDEX($B$3:$G$12,COLUMN()-1,0))/(ABS(INDEX($B$3:$G$12,ROW()-65,0))+ABS(INDEX($B$3:$G$12,COLUMN()-1,0)))),6)</f>
        <v>0</v>
      </c>
      <c r="K74" s="11" cm="1">
        <f t="array" ref="K74">ROUND(SUMPRODUCT(ABS(INDEX($B$3:$G$12,ROW()-65,0)-INDEX($B$3:$G$12,COLUMN()-1,0))/(ABS(INDEX($B$3:$G$12,ROW()-65,0))+ABS(INDEX($B$3:$G$12,COLUMN()-1,0)))),6)</f>
        <v>0.175677</v>
      </c>
    </row>
    <row r="75" spans="1:11" ht="15" customHeight="1" x14ac:dyDescent="0.3">
      <c r="A75" s="4"/>
      <c r="B75" s="11" cm="1">
        <f t="array" ref="B75">ROUND(SUMPRODUCT(ABS(INDEX($B$3:$G$12,ROW()-65,0)-INDEX($B$3:$G$12,COLUMN()-1,0))/(ABS(INDEX($B$3:$G$12,ROW()-65,0))+ABS(INDEX($B$3:$G$12,COLUMN()-1,0)))),6)</f>
        <v>1.108506</v>
      </c>
      <c r="C75" s="11" cm="1">
        <f t="array" ref="C75">ROUND(SUMPRODUCT(ABS(INDEX($B$3:$G$12,ROW()-65,0)-INDEX($B$3:$G$12,COLUMN()-1,0))/(ABS(INDEX($B$3:$G$12,ROW()-65,0))+ABS(INDEX($B$3:$G$12,COLUMN()-1,0)))),6)</f>
        <v>0.72694700000000001</v>
      </c>
      <c r="D75" s="11" cm="1">
        <f t="array" ref="D75">ROUND(SUMPRODUCT(ABS(INDEX($B$3:$G$12,ROW()-65,0)-INDEX($B$3:$G$12,COLUMN()-1,0))/(ABS(INDEX($B$3:$G$12,ROW()-65,0))+ABS(INDEX($B$3:$G$12,COLUMN()-1,0)))),6)</f>
        <v>0.41927999999999999</v>
      </c>
      <c r="E75" s="11" cm="1">
        <f t="array" ref="E75">ROUND(SUMPRODUCT(ABS(INDEX($B$3:$G$12,ROW()-65,0)-INDEX($B$3:$G$12,COLUMN()-1,0))/(ABS(INDEX($B$3:$G$12,ROW()-65,0))+ABS(INDEX($B$3:$G$12,COLUMN()-1,0)))),6)</f>
        <v>0.74225399999999997</v>
      </c>
      <c r="F75" s="11" cm="1">
        <f t="array" ref="F75">ROUND(SUMPRODUCT(ABS(INDEX($B$3:$G$12,ROW()-65,0)-INDEX($B$3:$G$12,COLUMN()-1,0))/(ABS(INDEX($B$3:$G$12,ROW()-65,0))+ABS(INDEX($B$3:$G$12,COLUMN()-1,0)))),6)</f>
        <v>0.21699599999999999</v>
      </c>
      <c r="G75" s="11" cm="1">
        <f t="array" ref="G75">ROUND(SUMPRODUCT(ABS(INDEX($B$3:$G$12,ROW()-65,0)-INDEX($B$3:$G$12,COLUMN()-1,0))/(ABS(INDEX($B$3:$G$12,ROW()-65,0))+ABS(INDEX($B$3:$G$12,COLUMN()-1,0)))),6)</f>
        <v>0.57135100000000005</v>
      </c>
      <c r="H75" s="11" cm="1">
        <f t="array" ref="H75">ROUND(SUMPRODUCT(ABS(INDEX($B$3:$G$12,ROW()-65,0)-INDEX($B$3:$G$12,COLUMN()-1,0))/(ABS(INDEX($B$3:$G$12,ROW()-65,0))+ABS(INDEX($B$3:$G$12,COLUMN()-1,0)))),6)</f>
        <v>1.033188</v>
      </c>
      <c r="I75" s="11" cm="1">
        <f t="array" ref="I75">ROUND(SUMPRODUCT(ABS(INDEX($B$3:$G$12,ROW()-65,0)-INDEX($B$3:$G$12,COLUMN()-1,0))/(ABS(INDEX($B$3:$G$12,ROW()-65,0))+ABS(INDEX($B$3:$G$12,COLUMN()-1,0)))),6)</f>
        <v>0.85166799999999998</v>
      </c>
      <c r="J75" s="11" cm="1">
        <f t="array" ref="J75">ROUND(SUMPRODUCT(ABS(INDEX($B$3:$G$12,ROW()-65,0)-INDEX($B$3:$G$12,COLUMN()-1,0))/(ABS(INDEX($B$3:$G$12,ROW()-65,0))+ABS(INDEX($B$3:$G$12,COLUMN()-1,0)))),6)</f>
        <v>0.175677</v>
      </c>
      <c r="K75" s="11" cm="1">
        <f t="array" ref="K75">ROUND(SUMPRODUCT(ABS(INDEX($B$3:$G$12,ROW()-65,0)-INDEX($B$3:$G$12,COLUMN()-1,0))/(ABS(INDEX($B$3:$G$12,ROW()-65,0))+ABS(INDEX($B$3:$G$12,COLUMN()-1,0)))),6)</f>
        <v>0</v>
      </c>
    </row>
    <row r="76" spans="1:11" ht="15" customHeight="1" x14ac:dyDescent="0.3"/>
    <row r="77" spans="1:11" ht="15" customHeight="1" x14ac:dyDescent="0.3"/>
    <row r="78" spans="1:11" ht="15" customHeight="1" thickBot="1" x14ac:dyDescent="0.35"/>
    <row r="79" spans="1:11" ht="15" customHeight="1" thickBot="1" x14ac:dyDescent="0.35">
      <c r="A79" s="69"/>
      <c r="B79" s="70"/>
      <c r="C79" s="70"/>
      <c r="D79" s="70"/>
      <c r="E79" s="70"/>
      <c r="F79" s="70"/>
      <c r="G79" s="70"/>
      <c r="H79" s="70"/>
      <c r="I79" s="70"/>
      <c r="J79" s="70"/>
      <c r="K79" s="71"/>
    </row>
    <row r="80" spans="1:11" ht="15" customHeight="1" x14ac:dyDescent="0.3"/>
    <row r="81" spans="1:8" ht="15" customHeight="1" x14ac:dyDescent="0.3"/>
    <row r="82" spans="1:8" ht="15" customHeight="1" x14ac:dyDescent="0.3"/>
    <row r="83" spans="1:8" ht="15" customHeight="1" x14ac:dyDescent="0.3">
      <c r="A83" s="56" t="s">
        <v>5</v>
      </c>
      <c r="B83" s="57"/>
      <c r="C83" s="57"/>
      <c r="D83" s="57"/>
      <c r="E83" s="57"/>
      <c r="F83" s="57"/>
      <c r="G83" s="57"/>
      <c r="H83" s="58"/>
    </row>
    <row r="84" spans="1:8" ht="15" customHeight="1" x14ac:dyDescent="0.3">
      <c r="A84" s="3" t="s">
        <v>0</v>
      </c>
      <c r="B84" s="9"/>
      <c r="C84" s="9"/>
      <c r="D84" s="9"/>
      <c r="E84" s="9"/>
      <c r="F84" s="9"/>
      <c r="G84" s="9"/>
      <c r="H84" s="4" t="s">
        <v>1</v>
      </c>
    </row>
    <row r="85" spans="1:8" ht="15" customHeight="1" x14ac:dyDescent="0.3">
      <c r="A85" s="4"/>
      <c r="B85" s="11">
        <v>0</v>
      </c>
      <c r="C85" s="11">
        <v>0</v>
      </c>
      <c r="D85" s="11">
        <v>1</v>
      </c>
      <c r="E85" s="11">
        <v>4.8779999999999997E-2</v>
      </c>
      <c r="F85" s="11">
        <v>0</v>
      </c>
      <c r="G85" s="11">
        <v>0.13114799999999999</v>
      </c>
      <c r="H85" s="5">
        <v>1</v>
      </c>
    </row>
    <row r="86" spans="1:8" ht="15" customHeight="1" x14ac:dyDescent="0.3">
      <c r="A86" s="4"/>
      <c r="B86" s="11">
        <v>0.24271799999999999</v>
      </c>
      <c r="C86" s="11">
        <v>0.169492</v>
      </c>
      <c r="D86" s="11">
        <v>0.52500000000000002</v>
      </c>
      <c r="E86" s="11">
        <v>0.353659</v>
      </c>
      <c r="F86" s="11">
        <v>0.53571400000000002</v>
      </c>
      <c r="G86" s="11">
        <v>0.57377</v>
      </c>
      <c r="H86" s="5">
        <v>1</v>
      </c>
    </row>
    <row r="87" spans="1:8" ht="15" customHeight="1" x14ac:dyDescent="0.3">
      <c r="A87" s="4"/>
      <c r="B87" s="11">
        <v>0.67961199999999999</v>
      </c>
      <c r="C87" s="11">
        <v>0.69491499999999995</v>
      </c>
      <c r="D87" s="11">
        <v>0.45</v>
      </c>
      <c r="E87" s="11">
        <v>0.768293</v>
      </c>
      <c r="F87" s="11">
        <v>0.67857100000000004</v>
      </c>
      <c r="G87" s="11">
        <v>1</v>
      </c>
      <c r="H87" s="5">
        <v>2</v>
      </c>
    </row>
    <row r="88" spans="1:8" ht="15" customHeight="1" x14ac:dyDescent="0.3">
      <c r="A88" s="4"/>
      <c r="B88" s="11">
        <v>0.39805800000000002</v>
      </c>
      <c r="C88" s="11">
        <v>0.38983099999999998</v>
      </c>
      <c r="D88" s="11">
        <v>0.4</v>
      </c>
      <c r="E88" s="11">
        <v>9.7560999999999995E-2</v>
      </c>
      <c r="F88" s="11">
        <v>0.19642899999999999</v>
      </c>
      <c r="G88" s="11">
        <v>0.47541</v>
      </c>
      <c r="H88" s="5">
        <v>1</v>
      </c>
    </row>
    <row r="89" spans="1:8" ht="15" customHeight="1" x14ac:dyDescent="0.3">
      <c r="A89" s="4"/>
      <c r="B89" s="11">
        <v>0.95145599999999997</v>
      </c>
      <c r="C89" s="11">
        <v>0.89830500000000002</v>
      </c>
      <c r="D89" s="11">
        <v>0.55000000000000004</v>
      </c>
      <c r="E89" s="11">
        <v>0.96341500000000002</v>
      </c>
      <c r="F89" s="11">
        <v>0.73214299999999999</v>
      </c>
      <c r="G89" s="11">
        <v>0.91803299999999999</v>
      </c>
      <c r="H89" s="5">
        <v>2</v>
      </c>
    </row>
    <row r="90" spans="1:8" ht="15" customHeight="1" x14ac:dyDescent="0.3">
      <c r="A90" s="4"/>
      <c r="B90" s="11">
        <v>0.57281599999999999</v>
      </c>
      <c r="C90" s="11">
        <v>0.50847500000000001</v>
      </c>
      <c r="D90" s="11">
        <v>0.45</v>
      </c>
      <c r="E90" s="11">
        <v>0.29268300000000003</v>
      </c>
      <c r="F90" s="11">
        <v>0.375</v>
      </c>
      <c r="G90" s="11">
        <v>0.29508200000000001</v>
      </c>
      <c r="H90" s="5">
        <v>1</v>
      </c>
    </row>
    <row r="91" spans="1:8" ht="15" customHeight="1" x14ac:dyDescent="0.3">
      <c r="A91" s="4"/>
      <c r="B91" s="11">
        <v>0.31068000000000001</v>
      </c>
      <c r="C91" s="11">
        <v>0.288136</v>
      </c>
      <c r="D91" s="11">
        <v>0</v>
      </c>
      <c r="E91" s="11">
        <v>0</v>
      </c>
      <c r="F91" s="11">
        <v>0.160714</v>
      </c>
      <c r="G91" s="11">
        <v>0</v>
      </c>
      <c r="H91" s="5">
        <v>1</v>
      </c>
    </row>
    <row r="92" spans="1:8" ht="15" customHeight="1" x14ac:dyDescent="0.3">
      <c r="A92" s="4"/>
      <c r="B92" s="11">
        <v>0.339806</v>
      </c>
      <c r="C92" s="11">
        <v>0.44067800000000001</v>
      </c>
      <c r="D92" s="11">
        <v>7.4999999999999997E-2</v>
      </c>
      <c r="E92" s="11">
        <v>4.8779999999999997E-2</v>
      </c>
      <c r="F92" s="11">
        <v>0.26785700000000001</v>
      </c>
      <c r="G92" s="11">
        <v>0.27868900000000002</v>
      </c>
      <c r="H92" s="5">
        <v>1</v>
      </c>
    </row>
    <row r="93" spans="1:8" ht="15" customHeight="1" x14ac:dyDescent="0.3">
      <c r="A93" s="4"/>
      <c r="B93" s="11">
        <v>0.96116500000000005</v>
      </c>
      <c r="C93" s="11">
        <v>0.98305100000000001</v>
      </c>
      <c r="D93" s="11">
        <v>0.67500000000000004</v>
      </c>
      <c r="E93" s="11">
        <v>0.92682900000000001</v>
      </c>
      <c r="F93" s="11">
        <v>0.67857100000000004</v>
      </c>
      <c r="G93" s="11">
        <v>0.90163899999999997</v>
      </c>
      <c r="H93" s="5">
        <v>2</v>
      </c>
    </row>
    <row r="94" spans="1:8" ht="15" customHeight="1" x14ac:dyDescent="0.3">
      <c r="A94" s="4"/>
      <c r="B94" s="11">
        <v>1</v>
      </c>
      <c r="C94" s="11">
        <v>1</v>
      </c>
      <c r="D94" s="11">
        <v>0.7</v>
      </c>
      <c r="E94" s="11">
        <v>1</v>
      </c>
      <c r="F94" s="11">
        <v>1</v>
      </c>
      <c r="G94" s="11">
        <v>0.40983599999999998</v>
      </c>
      <c r="H94" s="5">
        <v>2</v>
      </c>
    </row>
    <row r="95" spans="1:8" ht="15" customHeight="1" x14ac:dyDescent="0.3">
      <c r="A95" s="2"/>
      <c r="B95" s="6">
        <v>1</v>
      </c>
      <c r="C95" s="6">
        <v>1</v>
      </c>
      <c r="D95" s="6">
        <v>1</v>
      </c>
      <c r="E95" s="6">
        <v>1</v>
      </c>
      <c r="F95" s="6">
        <v>1</v>
      </c>
      <c r="G95" s="6">
        <v>1</v>
      </c>
    </row>
    <row r="96" spans="1:8" ht="15" customHeight="1" x14ac:dyDescent="0.3"/>
    <row r="97" spans="1:11" ht="15" customHeight="1" x14ac:dyDescent="0.3"/>
    <row r="98" spans="1:11" ht="15" customHeight="1" thickBot="1" x14ac:dyDescent="0.35"/>
    <row r="99" spans="1:11" ht="15" customHeight="1" x14ac:dyDescent="0.3">
      <c r="E99" s="59" t="s">
        <v>6</v>
      </c>
      <c r="F99" s="65"/>
      <c r="G99" s="60"/>
    </row>
    <row r="100" spans="1:11" ht="15" customHeight="1" x14ac:dyDescent="0.3">
      <c r="E100" s="61"/>
      <c r="F100" s="66"/>
      <c r="G100" s="62"/>
    </row>
    <row r="101" spans="1:11" ht="15" customHeight="1" x14ac:dyDescent="0.3">
      <c r="E101" s="61"/>
      <c r="F101" s="66"/>
      <c r="G101" s="62"/>
    </row>
    <row r="102" spans="1:11" ht="15" customHeight="1" x14ac:dyDescent="0.3">
      <c r="E102" s="61"/>
      <c r="F102" s="66"/>
      <c r="G102" s="62"/>
    </row>
    <row r="103" spans="1:11" ht="15" customHeight="1" thickBot="1" x14ac:dyDescent="0.35">
      <c r="E103" s="63"/>
      <c r="F103" s="67"/>
      <c r="G103" s="64"/>
    </row>
    <row r="104" spans="1:11" ht="15" customHeight="1" x14ac:dyDescent="0.3"/>
    <row r="105" spans="1:11" ht="15" customHeight="1" x14ac:dyDescent="0.3">
      <c r="A105" s="68" t="s">
        <v>51</v>
      </c>
      <c r="B105" s="68"/>
      <c r="C105" s="68"/>
      <c r="D105" s="68"/>
      <c r="E105" s="68"/>
      <c r="F105" s="68"/>
      <c r="G105" s="68"/>
      <c r="H105" s="68"/>
      <c r="I105" s="68"/>
      <c r="J105" s="68"/>
      <c r="K105" s="68"/>
    </row>
    <row r="106" spans="1:11" ht="15" customHeight="1" x14ac:dyDescent="0.3">
      <c r="A106" s="3" t="s">
        <v>0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 ht="15" customHeight="1" x14ac:dyDescent="0.3">
      <c r="A107" s="4"/>
      <c r="B107" s="13">
        <f>ROUND(SQRT(SUMXMY2(INDEX($B$85:$G$94,ROW()-106,0),INDEX($B$85:$G$94,COLUMN()-1,0))),6)</f>
        <v>0</v>
      </c>
      <c r="C107" s="13">
        <f>ROUND(SQRT(SUMXMY2(INDEX($B$85:$G$94,ROW()-106,0),INDEX($B$85:$G$94,COLUMN()-1,0))),6)</f>
        <v>0.94293099999999996</v>
      </c>
      <c r="D107" s="13">
        <f t="shared" ref="C107:K116" si="2">ROUND(SQRT(SUMXMY2(INDEX($B$85:$G$94,ROW()-106,0),INDEX($B$85:$G$94,COLUMN()-1,0))),6)</f>
        <v>1.7263660000000001</v>
      </c>
      <c r="E107" s="13">
        <f t="shared" si="2"/>
        <v>0.91098800000000002</v>
      </c>
      <c r="F107" s="13">
        <f t="shared" si="2"/>
        <v>1.9764870000000001</v>
      </c>
      <c r="G107" s="13">
        <f t="shared" si="2"/>
        <v>1.056481</v>
      </c>
      <c r="H107" s="13">
        <f t="shared" si="2"/>
        <v>1.106776</v>
      </c>
      <c r="I107" s="13">
        <f t="shared" si="2"/>
        <v>1.1219650000000001</v>
      </c>
      <c r="J107" s="13">
        <f t="shared" si="2"/>
        <v>1.9547220000000001</v>
      </c>
      <c r="K107" s="13">
        <f t="shared" si="2"/>
        <v>2.0180400000000001</v>
      </c>
    </row>
    <row r="108" spans="1:11" ht="15" customHeight="1" x14ac:dyDescent="0.3">
      <c r="A108" s="4"/>
      <c r="B108" s="13">
        <f t="shared" ref="B108:B116" si="3">ROUND(SQRT(SUMXMY2(INDEX($B$85:$G$94,ROW()-106,0),INDEX($B$85:$G$94,COLUMN()-1,0))),6)</f>
        <v>0.94293099999999996</v>
      </c>
      <c r="C108" s="13">
        <f t="shared" si="2"/>
        <v>0</v>
      </c>
      <c r="D108" s="13">
        <f t="shared" si="2"/>
        <v>0.92009399999999997</v>
      </c>
      <c r="E108" s="13">
        <f t="shared" si="2"/>
        <v>0.52790099999999995</v>
      </c>
      <c r="F108" s="13">
        <f t="shared" si="2"/>
        <v>1.250203</v>
      </c>
      <c r="G108" s="13">
        <f t="shared" si="2"/>
        <v>0.58026999999999995</v>
      </c>
      <c r="H108" s="13">
        <f t="shared" si="2"/>
        <v>0.94299100000000002</v>
      </c>
      <c r="I108" s="13">
        <f t="shared" si="2"/>
        <v>0.73296600000000001</v>
      </c>
      <c r="J108" s="13">
        <f t="shared" si="2"/>
        <v>1.2872349999999999</v>
      </c>
      <c r="K108" s="13">
        <f t="shared" si="2"/>
        <v>1.397869</v>
      </c>
    </row>
    <row r="109" spans="1:11" ht="15" customHeight="1" x14ac:dyDescent="0.3">
      <c r="A109" s="4"/>
      <c r="B109" s="13">
        <f t="shared" si="3"/>
        <v>1.7263660000000001</v>
      </c>
      <c r="C109" s="13">
        <f t="shared" si="2"/>
        <v>0.92009399999999997</v>
      </c>
      <c r="D109" s="13">
        <f t="shared" si="2"/>
        <v>0</v>
      </c>
      <c r="E109" s="13">
        <f t="shared" si="2"/>
        <v>1.064136</v>
      </c>
      <c r="F109" s="13">
        <f t="shared" si="2"/>
        <v>0.41584599999999999</v>
      </c>
      <c r="G109" s="13">
        <f t="shared" si="2"/>
        <v>0.92813500000000004</v>
      </c>
      <c r="H109" s="13">
        <f t="shared" si="2"/>
        <v>1.5370520000000001</v>
      </c>
      <c r="I109" s="13">
        <f t="shared" si="2"/>
        <v>1.2358819999999999</v>
      </c>
      <c r="J109" s="13">
        <f t="shared" si="2"/>
        <v>0.49772300000000003</v>
      </c>
      <c r="K109" s="13">
        <f t="shared" si="2"/>
        <v>0.87379799999999996</v>
      </c>
    </row>
    <row r="110" spans="1:11" ht="15" customHeight="1" x14ac:dyDescent="0.3">
      <c r="A110" s="4"/>
      <c r="B110" s="13">
        <f t="shared" si="3"/>
        <v>0.91098800000000002</v>
      </c>
      <c r="C110" s="13">
        <f t="shared" si="2"/>
        <v>0.52790099999999995</v>
      </c>
      <c r="D110" s="13">
        <f t="shared" si="2"/>
        <v>1.064136</v>
      </c>
      <c r="E110" s="13">
        <f t="shared" si="2"/>
        <v>0</v>
      </c>
      <c r="F110" s="13">
        <f t="shared" si="2"/>
        <v>1.349038</v>
      </c>
      <c r="G110" s="13">
        <f t="shared" si="2"/>
        <v>0.38677499999999998</v>
      </c>
      <c r="H110" s="13">
        <f t="shared" si="2"/>
        <v>0.644038</v>
      </c>
      <c r="I110" s="13">
        <f t="shared" si="2"/>
        <v>0.39722099999999999</v>
      </c>
      <c r="J110" s="13">
        <f t="shared" si="2"/>
        <v>1.358838</v>
      </c>
      <c r="K110" s="13">
        <f t="shared" si="2"/>
        <v>1.5129649999999999</v>
      </c>
    </row>
    <row r="111" spans="1:11" ht="15" customHeight="1" x14ac:dyDescent="0.3">
      <c r="A111" s="4"/>
      <c r="B111" s="13">
        <f t="shared" si="3"/>
        <v>1.9764870000000001</v>
      </c>
      <c r="C111" s="13">
        <f t="shared" si="2"/>
        <v>1.250203</v>
      </c>
      <c r="D111" s="13">
        <f t="shared" si="2"/>
        <v>0.41584599999999999</v>
      </c>
      <c r="E111" s="13">
        <f t="shared" si="2"/>
        <v>1.349038</v>
      </c>
      <c r="F111" s="13">
        <f t="shared" si="2"/>
        <v>0</v>
      </c>
      <c r="G111" s="13">
        <f t="shared" si="2"/>
        <v>1.1273139999999999</v>
      </c>
      <c r="H111" s="13">
        <f t="shared" si="2"/>
        <v>1.7840640000000001</v>
      </c>
      <c r="I111" s="13">
        <f t="shared" si="2"/>
        <v>1.5066660000000001</v>
      </c>
      <c r="J111" s="13">
        <f t="shared" si="2"/>
        <v>0.165464</v>
      </c>
      <c r="K111" s="13">
        <f t="shared" si="2"/>
        <v>0.60543199999999997</v>
      </c>
    </row>
    <row r="112" spans="1:11" ht="15" customHeight="1" x14ac:dyDescent="0.3">
      <c r="A112" s="4"/>
      <c r="B112" s="13">
        <f t="shared" si="3"/>
        <v>1.056481</v>
      </c>
      <c r="C112" s="13">
        <f t="shared" si="2"/>
        <v>0.58026999999999995</v>
      </c>
      <c r="D112" s="13">
        <f t="shared" si="2"/>
        <v>0.92813500000000004</v>
      </c>
      <c r="E112" s="13">
        <f t="shared" si="2"/>
        <v>0.38677499999999998</v>
      </c>
      <c r="F112" s="13">
        <f t="shared" si="2"/>
        <v>1.1273139999999999</v>
      </c>
      <c r="G112" s="13">
        <f t="shared" si="2"/>
        <v>0</v>
      </c>
      <c r="H112" s="13">
        <f t="shared" si="2"/>
        <v>0.73377099999999995</v>
      </c>
      <c r="I112" s="13">
        <f t="shared" si="2"/>
        <v>0.52033799999999997</v>
      </c>
      <c r="J112" s="13">
        <f t="shared" si="2"/>
        <v>1.135284</v>
      </c>
      <c r="K112" s="13">
        <f t="shared" si="2"/>
        <v>1.179268</v>
      </c>
    </row>
    <row r="113" spans="1:11" ht="15" customHeight="1" x14ac:dyDescent="0.3">
      <c r="A113" s="4"/>
      <c r="B113" s="13">
        <f t="shared" si="3"/>
        <v>1.106776</v>
      </c>
      <c r="C113" s="13">
        <f t="shared" si="2"/>
        <v>0.94299100000000002</v>
      </c>
      <c r="D113" s="13">
        <f t="shared" si="2"/>
        <v>1.5370520000000001</v>
      </c>
      <c r="E113" s="13">
        <f t="shared" si="2"/>
        <v>0.644038</v>
      </c>
      <c r="F113" s="13">
        <f t="shared" si="2"/>
        <v>1.7840640000000001</v>
      </c>
      <c r="G113" s="13">
        <f t="shared" si="2"/>
        <v>0.73377099999999995</v>
      </c>
      <c r="H113" s="13">
        <f t="shared" si="2"/>
        <v>0</v>
      </c>
      <c r="I113" s="13">
        <f t="shared" si="2"/>
        <v>0.34823700000000002</v>
      </c>
      <c r="J113" s="13">
        <f t="shared" si="2"/>
        <v>1.817086</v>
      </c>
      <c r="K113" s="13">
        <f t="shared" si="2"/>
        <v>1.8287370000000001</v>
      </c>
    </row>
    <row r="114" spans="1:11" ht="15" customHeight="1" x14ac:dyDescent="0.3">
      <c r="A114" s="4"/>
      <c r="B114" s="13">
        <f t="shared" si="3"/>
        <v>1.1219650000000001</v>
      </c>
      <c r="C114" s="13">
        <f t="shared" si="2"/>
        <v>0.73296600000000001</v>
      </c>
      <c r="D114" s="13">
        <f t="shared" si="2"/>
        <v>1.2358819999999999</v>
      </c>
      <c r="E114" s="13">
        <f t="shared" si="2"/>
        <v>0.39722099999999999</v>
      </c>
      <c r="F114" s="13">
        <f t="shared" si="2"/>
        <v>1.5066660000000001</v>
      </c>
      <c r="G114" s="13">
        <f>ROUND(SQRT(SUMXMY2(INDEX($B$85:$G$94,ROW()-106,0),INDEX($B$85:$G$94,COLUMN()-1,0))),6)</f>
        <v>0.52033799999999997</v>
      </c>
      <c r="H114" s="13">
        <f t="shared" si="2"/>
        <v>0.34823700000000002</v>
      </c>
      <c r="I114" s="13">
        <f t="shared" si="2"/>
        <v>0</v>
      </c>
      <c r="J114" s="13">
        <f t="shared" si="2"/>
        <v>1.538824</v>
      </c>
      <c r="K114" s="13">
        <f t="shared" si="2"/>
        <v>1.611637</v>
      </c>
    </row>
    <row r="115" spans="1:11" ht="15" customHeight="1" x14ac:dyDescent="0.3">
      <c r="A115" s="4"/>
      <c r="B115" s="13">
        <f t="shared" si="3"/>
        <v>1.9547220000000001</v>
      </c>
      <c r="C115" s="13">
        <f t="shared" si="2"/>
        <v>1.2872349999999999</v>
      </c>
      <c r="D115" s="13">
        <f t="shared" si="2"/>
        <v>0.49772300000000003</v>
      </c>
      <c r="E115" s="13">
        <f t="shared" si="2"/>
        <v>1.358838</v>
      </c>
      <c r="F115" s="13">
        <f t="shared" si="2"/>
        <v>0.165464</v>
      </c>
      <c r="G115" s="13">
        <f t="shared" si="2"/>
        <v>1.135284</v>
      </c>
      <c r="H115" s="13">
        <f t="shared" si="2"/>
        <v>1.817086</v>
      </c>
      <c r="I115" s="13">
        <f t="shared" si="2"/>
        <v>1.538824</v>
      </c>
      <c r="J115" s="13">
        <f t="shared" si="2"/>
        <v>0</v>
      </c>
      <c r="K115" s="13">
        <f t="shared" si="2"/>
        <v>0.59410499999999999</v>
      </c>
    </row>
    <row r="116" spans="1:11" ht="15" customHeight="1" x14ac:dyDescent="0.3">
      <c r="A116" s="4"/>
      <c r="B116" s="13">
        <f t="shared" si="3"/>
        <v>2.0180400000000001</v>
      </c>
      <c r="C116" s="13">
        <f t="shared" si="2"/>
        <v>1.397869</v>
      </c>
      <c r="D116" s="13">
        <f t="shared" si="2"/>
        <v>0.87379799999999996</v>
      </c>
      <c r="E116" s="13">
        <f t="shared" si="2"/>
        <v>1.5129649999999999</v>
      </c>
      <c r="F116" s="13">
        <f t="shared" si="2"/>
        <v>0.60543199999999997</v>
      </c>
      <c r="G116" s="13">
        <f t="shared" si="2"/>
        <v>1.179268</v>
      </c>
      <c r="H116" s="13">
        <f t="shared" si="2"/>
        <v>1.8287370000000001</v>
      </c>
      <c r="I116" s="13">
        <f t="shared" si="2"/>
        <v>1.611637</v>
      </c>
      <c r="J116" s="13">
        <f t="shared" si="2"/>
        <v>0.59410499999999999</v>
      </c>
      <c r="K116" s="13">
        <f t="shared" si="2"/>
        <v>0</v>
      </c>
    </row>
    <row r="117" spans="1:11" ht="15" customHeight="1" x14ac:dyDescent="0.3"/>
    <row r="118" spans="1:11" ht="15" customHeight="1" x14ac:dyDescent="0.3"/>
    <row r="119" spans="1:11" ht="15" customHeight="1" thickBot="1" x14ac:dyDescent="0.35"/>
    <row r="120" spans="1:11" ht="15" customHeight="1" x14ac:dyDescent="0.3">
      <c r="E120" s="59" t="s">
        <v>7</v>
      </c>
      <c r="F120" s="65"/>
      <c r="G120" s="60"/>
    </row>
    <row r="121" spans="1:11" ht="15" customHeight="1" x14ac:dyDescent="0.3">
      <c r="E121" s="61"/>
      <c r="F121" s="66"/>
      <c r="G121" s="62"/>
    </row>
    <row r="122" spans="1:11" ht="15" customHeight="1" x14ac:dyDescent="0.3">
      <c r="E122" s="61"/>
      <c r="F122" s="66"/>
      <c r="G122" s="62"/>
    </row>
    <row r="123" spans="1:11" ht="15" customHeight="1" thickBot="1" x14ac:dyDescent="0.35">
      <c r="E123" s="63"/>
      <c r="F123" s="67"/>
      <c r="G123" s="64"/>
    </row>
    <row r="124" spans="1:11" ht="15" customHeight="1" x14ac:dyDescent="0.3"/>
    <row r="125" spans="1:11" ht="15" customHeight="1" x14ac:dyDescent="0.3">
      <c r="A125" s="68" t="s">
        <v>52</v>
      </c>
      <c r="B125" s="68"/>
      <c r="C125" s="68"/>
      <c r="D125" s="68"/>
      <c r="E125" s="68"/>
      <c r="F125" s="68"/>
      <c r="G125" s="68"/>
      <c r="H125" s="68"/>
      <c r="I125" s="68"/>
      <c r="J125" s="68"/>
      <c r="K125" s="68"/>
    </row>
    <row r="126" spans="1:11" ht="15" customHeight="1" x14ac:dyDescent="0.3">
      <c r="A126" s="3" t="s">
        <v>0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 ht="15" customHeight="1" x14ac:dyDescent="0.3">
      <c r="A127" s="4"/>
      <c r="B127" s="11" cm="1">
        <f t="array" ref="B127">ROUND(MAX(ABS(INDEX($B$85:$G$94,ROW()-126,0)-INDEX($B$85:$G$94,COLUMN()-1,0))),6)</f>
        <v>0</v>
      </c>
      <c r="C127" s="11" cm="1">
        <f t="array" ref="C127">ROUND(MAX(ABS(INDEX($B$85:$G$94,ROW()-126,0)-INDEX($B$85:$G$94,COLUMN()-1,0))),6)</f>
        <v>0.53571400000000002</v>
      </c>
      <c r="D127" s="11" cm="1">
        <f t="array" ref="D127">ROUND(MAX(ABS(INDEX($B$85:$G$94,ROW()-126,0)-INDEX($B$85:$G$94,COLUMN()-1,0))),6)</f>
        <v>0.86885199999999996</v>
      </c>
      <c r="E127" s="11" cm="1">
        <f t="array" ref="E127">ROUND(MAX(ABS(INDEX($B$85:$G$94,ROW()-126,0)-INDEX($B$85:$G$94,COLUMN()-1,0))),6)</f>
        <v>0.6</v>
      </c>
      <c r="F127" s="11" cm="1">
        <f t="array" ref="F127">ROUND(MAX(ABS(INDEX($B$85:$G$94,ROW()-126,0)-INDEX($B$85:$G$94,COLUMN()-1,0))),6)</f>
        <v>0.95145599999999997</v>
      </c>
      <c r="G127" s="11" cm="1">
        <f t="array" ref="G127">ROUND(MAX(ABS(INDEX($B$85:$G$94,ROW()-126,0)-INDEX($B$85:$G$94,COLUMN()-1,0))),6)</f>
        <v>0.57281599999999999</v>
      </c>
      <c r="H127" s="11" cm="1">
        <f t="array" ref="H127">ROUND(MAX(ABS(INDEX($B$85:$G$94,ROW()-126,0)-INDEX($B$85:$G$94,COLUMN()-1,0))),6)</f>
        <v>1</v>
      </c>
      <c r="I127" s="11" cm="1">
        <f t="array" ref="I127">ROUND(MAX(ABS(INDEX($B$85:$G$94,ROW()-126,0)-INDEX($B$85:$G$94,COLUMN()-1,0))),6)</f>
        <v>0.92500000000000004</v>
      </c>
      <c r="J127" s="11" cm="1">
        <f t="array" ref="J127">ROUND(MAX(ABS(INDEX($B$85:$G$94,ROW()-126,0)-INDEX($B$85:$G$94,COLUMN()-1,0))),6)</f>
        <v>0.98305100000000001</v>
      </c>
      <c r="K127" s="11" cm="1">
        <f t="array" ref="K127">ROUND(MAX(ABS(INDEX($B$85:$G$94,ROW()-126,0)-INDEX($B$85:$G$94,COLUMN()-1,0))),6)</f>
        <v>1</v>
      </c>
    </row>
    <row r="128" spans="1:11" ht="15" customHeight="1" x14ac:dyDescent="0.3">
      <c r="A128" s="4"/>
      <c r="B128" s="11" cm="1">
        <f t="array" ref="B128">ROUND(MAX(ABS(INDEX($B$85:$G$94,ROW()-126,0)-INDEX($B$85:$G$94,COLUMN()-1,0))),6)</f>
        <v>0.53571400000000002</v>
      </c>
      <c r="C128" s="11" cm="1">
        <f t="array" ref="C128">ROUND(MAX(ABS(INDEX($B$85:$G$94,ROW()-126,0)-INDEX($B$85:$G$94,COLUMN()-1,0))),6)</f>
        <v>0</v>
      </c>
      <c r="D128" s="11" cm="1">
        <f t="array" ref="D128">ROUND(MAX(ABS(INDEX($B$85:$G$94,ROW()-126,0)-INDEX($B$85:$G$94,COLUMN()-1,0))),6)</f>
        <v>0.52542299999999997</v>
      </c>
      <c r="E128" s="11" cm="1">
        <f t="array" ref="E128">ROUND(MAX(ABS(INDEX($B$85:$G$94,ROW()-126,0)-INDEX($B$85:$G$94,COLUMN()-1,0))),6)</f>
        <v>0.339285</v>
      </c>
      <c r="F128" s="11" cm="1">
        <f t="array" ref="F128">ROUND(MAX(ABS(INDEX($B$85:$G$94,ROW()-126,0)-INDEX($B$85:$G$94,COLUMN()-1,0))),6)</f>
        <v>0.72881300000000004</v>
      </c>
      <c r="G128" s="11" cm="1">
        <f t="array" ref="G128">ROUND(MAX(ABS(INDEX($B$85:$G$94,ROW()-126,0)-INDEX($B$85:$G$94,COLUMN()-1,0))),6)</f>
        <v>0.33898299999999998</v>
      </c>
      <c r="H128" s="11" cm="1">
        <f t="array" ref="H128">ROUND(MAX(ABS(INDEX($B$85:$G$94,ROW()-126,0)-INDEX($B$85:$G$94,COLUMN()-1,0))),6)</f>
        <v>0.57377</v>
      </c>
      <c r="I128" s="11" cm="1">
        <f t="array" ref="I128">ROUND(MAX(ABS(INDEX($B$85:$G$94,ROW()-126,0)-INDEX($B$85:$G$94,COLUMN()-1,0))),6)</f>
        <v>0.45</v>
      </c>
      <c r="J128" s="11" cm="1">
        <f t="array" ref="J128">ROUND(MAX(ABS(INDEX($B$85:$G$94,ROW()-126,0)-INDEX($B$85:$G$94,COLUMN()-1,0))),6)</f>
        <v>0.81355900000000003</v>
      </c>
      <c r="K128" s="11" cm="1">
        <f t="array" ref="K128">ROUND(MAX(ABS(INDEX($B$85:$G$94,ROW()-126,0)-INDEX($B$85:$G$94,COLUMN()-1,0))),6)</f>
        <v>0.83050800000000002</v>
      </c>
    </row>
    <row r="129" spans="1:11" ht="15" customHeight="1" x14ac:dyDescent="0.3">
      <c r="A129" s="4"/>
      <c r="B129" s="11" cm="1">
        <f t="array" ref="B129">ROUND(MAX(ABS(INDEX($B$85:$G$94,ROW()-126,0)-INDEX($B$85:$G$94,COLUMN()-1,0))),6)</f>
        <v>0.86885199999999996</v>
      </c>
      <c r="C129" s="11" cm="1">
        <f t="array" ref="C129">ROUND(MAX(ABS(INDEX($B$85:$G$94,ROW()-126,0)-INDEX($B$85:$G$94,COLUMN()-1,0))),6)</f>
        <v>0.52542299999999997</v>
      </c>
      <c r="D129" s="11" cm="1">
        <f t="array" ref="D129">ROUND(MAX(ABS(INDEX($B$85:$G$94,ROW()-126,0)-INDEX($B$85:$G$94,COLUMN()-1,0))),6)</f>
        <v>0</v>
      </c>
      <c r="E129" s="11" cm="1">
        <f t="array" ref="E129">ROUND(MAX(ABS(INDEX($B$85:$G$94,ROW()-126,0)-INDEX($B$85:$G$94,COLUMN()-1,0))),6)</f>
        <v>0.67073199999999999</v>
      </c>
      <c r="F129" s="11" cm="1">
        <f t="array" ref="F129">ROUND(MAX(ABS(INDEX($B$85:$G$94,ROW()-126,0)-INDEX($B$85:$G$94,COLUMN()-1,0))),6)</f>
        <v>0.27184399999999997</v>
      </c>
      <c r="G129" s="11" cm="1">
        <f t="array" ref="G129">ROUND(MAX(ABS(INDEX($B$85:$G$94,ROW()-126,0)-INDEX($B$85:$G$94,COLUMN()-1,0))),6)</f>
        <v>0.70491800000000004</v>
      </c>
      <c r="H129" s="11" cm="1">
        <f t="array" ref="H129">ROUND(MAX(ABS(INDEX($B$85:$G$94,ROW()-126,0)-INDEX($B$85:$G$94,COLUMN()-1,0))),6)</f>
        <v>1</v>
      </c>
      <c r="I129" s="11" cm="1">
        <f t="array" ref="I129">ROUND(MAX(ABS(INDEX($B$85:$G$94,ROW()-126,0)-INDEX($B$85:$G$94,COLUMN()-1,0))),6)</f>
        <v>0.72131100000000004</v>
      </c>
      <c r="J129" s="11" cm="1">
        <f t="array" ref="J129">ROUND(MAX(ABS(INDEX($B$85:$G$94,ROW()-126,0)-INDEX($B$85:$G$94,COLUMN()-1,0))),6)</f>
        <v>0.288136</v>
      </c>
      <c r="K129" s="11" cm="1">
        <f t="array" ref="K129">ROUND(MAX(ABS(INDEX($B$85:$G$94,ROW()-126,0)-INDEX($B$85:$G$94,COLUMN()-1,0))),6)</f>
        <v>0.59016400000000002</v>
      </c>
    </row>
    <row r="130" spans="1:11" ht="15" customHeight="1" x14ac:dyDescent="0.3">
      <c r="A130" s="4"/>
      <c r="B130" s="11" cm="1">
        <f t="array" ref="B130">ROUND(MAX(ABS(INDEX($B$85:$G$94,ROW()-126,0)-INDEX($B$85:$G$94,COLUMN()-1,0))),6)</f>
        <v>0.6</v>
      </c>
      <c r="C130" s="11" cm="1">
        <f t="array" ref="C130">ROUND(MAX(ABS(INDEX($B$85:$G$94,ROW()-126,0)-INDEX($B$85:$G$94,COLUMN()-1,0))),6)</f>
        <v>0.339285</v>
      </c>
      <c r="D130" s="11" cm="1">
        <f t="array" ref="D130">ROUND(MAX(ABS(INDEX($B$85:$G$94,ROW()-126,0)-INDEX($B$85:$G$94,COLUMN()-1,0))),6)</f>
        <v>0.67073199999999999</v>
      </c>
      <c r="E130" s="11" cm="1">
        <f t="array" ref="E130">ROUND(MAX(ABS(INDEX($B$85:$G$94,ROW()-126,0)-INDEX($B$85:$G$94,COLUMN()-1,0))),6)</f>
        <v>0</v>
      </c>
      <c r="F130" s="11" cm="1">
        <f t="array" ref="F130">ROUND(MAX(ABS(INDEX($B$85:$G$94,ROW()-126,0)-INDEX($B$85:$G$94,COLUMN()-1,0))),6)</f>
        <v>0.86585400000000001</v>
      </c>
      <c r="G130" s="11" cm="1">
        <f t="array" ref="G130">ROUND(MAX(ABS(INDEX($B$85:$G$94,ROW()-126,0)-INDEX($B$85:$G$94,COLUMN()-1,0))),6)</f>
        <v>0.19512199999999999</v>
      </c>
      <c r="H130" s="11" cm="1">
        <f t="array" ref="H130">ROUND(MAX(ABS(INDEX($B$85:$G$94,ROW()-126,0)-INDEX($B$85:$G$94,COLUMN()-1,0))),6)</f>
        <v>0.47541</v>
      </c>
      <c r="I130" s="11" cm="1">
        <f t="array" ref="I130">ROUND(MAX(ABS(INDEX($B$85:$G$94,ROW()-126,0)-INDEX($B$85:$G$94,COLUMN()-1,0))),6)</f>
        <v>0.32500000000000001</v>
      </c>
      <c r="J130" s="11" cm="1">
        <f t="array" ref="J130">ROUND(MAX(ABS(INDEX($B$85:$G$94,ROW()-126,0)-INDEX($B$85:$G$94,COLUMN()-1,0))),6)</f>
        <v>0.82926800000000001</v>
      </c>
      <c r="K130" s="11" cm="1">
        <f t="array" ref="K130">ROUND(MAX(ABS(INDEX($B$85:$G$94,ROW()-126,0)-INDEX($B$85:$G$94,COLUMN()-1,0))),6)</f>
        <v>0.90243899999999999</v>
      </c>
    </row>
    <row r="131" spans="1:11" ht="15" customHeight="1" x14ac:dyDescent="0.3">
      <c r="A131" s="4"/>
      <c r="B131" s="11" cm="1">
        <f t="array" ref="B131">ROUND(MAX(ABS(INDEX($B$85:$G$94,ROW()-126,0)-INDEX($B$85:$G$94,COLUMN()-1,0))),6)</f>
        <v>0.95145599999999997</v>
      </c>
      <c r="C131" s="11" cm="1">
        <f t="array" ref="C131">ROUND(MAX(ABS(INDEX($B$85:$G$94,ROW()-126,0)-INDEX($B$85:$G$94,COLUMN()-1,0))),6)</f>
        <v>0.72881300000000004</v>
      </c>
      <c r="D131" s="11" cm="1">
        <f t="array" ref="D131">ROUND(MAX(ABS(INDEX($B$85:$G$94,ROW()-126,0)-INDEX($B$85:$G$94,COLUMN()-1,0))),6)</f>
        <v>0.27184399999999997</v>
      </c>
      <c r="E131" s="11" cm="1">
        <f t="array" ref="E131">ROUND(MAX(ABS(INDEX($B$85:$G$94,ROW()-126,0)-INDEX($B$85:$G$94,COLUMN()-1,0))),6)</f>
        <v>0.86585400000000001</v>
      </c>
      <c r="F131" s="11" cm="1">
        <f t="array" ref="F131">ROUND(MAX(ABS(INDEX($B$85:$G$94,ROW()-126,0)-INDEX($B$85:$G$94,COLUMN()-1,0))),6)</f>
        <v>0</v>
      </c>
      <c r="G131" s="11" cm="1">
        <f t="array" ref="G131">ROUND(MAX(ABS(INDEX($B$85:$G$94,ROW()-126,0)-INDEX($B$85:$G$94,COLUMN()-1,0))),6)</f>
        <v>0.67073199999999999</v>
      </c>
      <c r="H131" s="11" cm="1">
        <f t="array" ref="H131">ROUND(MAX(ABS(INDEX($B$85:$G$94,ROW()-126,0)-INDEX($B$85:$G$94,COLUMN()-1,0))),6)</f>
        <v>0.96341500000000002</v>
      </c>
      <c r="I131" s="11" cm="1">
        <f t="array" ref="I131">ROUND(MAX(ABS(INDEX($B$85:$G$94,ROW()-126,0)-INDEX($B$85:$G$94,COLUMN()-1,0))),6)</f>
        <v>0.91463499999999998</v>
      </c>
      <c r="J131" s="11" cm="1">
        <f t="array" ref="J131">ROUND(MAX(ABS(INDEX($B$85:$G$94,ROW()-126,0)-INDEX($B$85:$G$94,COLUMN()-1,0))),6)</f>
        <v>0.125</v>
      </c>
      <c r="K131" s="11" cm="1">
        <f t="array" ref="K131">ROUND(MAX(ABS(INDEX($B$85:$G$94,ROW()-126,0)-INDEX($B$85:$G$94,COLUMN()-1,0))),6)</f>
        <v>0.50819700000000001</v>
      </c>
    </row>
    <row r="132" spans="1:11" ht="15" customHeight="1" x14ac:dyDescent="0.3">
      <c r="A132" s="4"/>
      <c r="B132" s="11" cm="1">
        <f t="array" ref="B132">ROUND(MAX(ABS(INDEX($B$85:$G$94,ROW()-126,0)-INDEX($B$85:$G$94,COLUMN()-1,0))),6)</f>
        <v>0.57281599999999999</v>
      </c>
      <c r="C132" s="11" cm="1">
        <f t="array" ref="C132">ROUND(MAX(ABS(INDEX($B$85:$G$94,ROW()-126,0)-INDEX($B$85:$G$94,COLUMN()-1,0))),6)</f>
        <v>0.33898299999999998</v>
      </c>
      <c r="D132" s="11" cm="1">
        <f t="array" ref="D132">ROUND(MAX(ABS(INDEX($B$85:$G$94,ROW()-126,0)-INDEX($B$85:$G$94,COLUMN()-1,0))),6)</f>
        <v>0.70491800000000004</v>
      </c>
      <c r="E132" s="11" cm="1">
        <f t="array" ref="E132">ROUND(MAX(ABS(INDEX($B$85:$G$94,ROW()-126,0)-INDEX($B$85:$G$94,COLUMN()-1,0))),6)</f>
        <v>0.19512199999999999</v>
      </c>
      <c r="F132" s="11" cm="1">
        <f t="array" ref="F132">ROUND(MAX(ABS(INDEX($B$85:$G$94,ROW()-126,0)-INDEX($B$85:$G$94,COLUMN()-1,0))),6)</f>
        <v>0.67073199999999999</v>
      </c>
      <c r="G132" s="11" cm="1">
        <f t="array" ref="G132">ROUND(MAX(ABS(INDEX($B$85:$G$94,ROW()-126,0)-INDEX($B$85:$G$94,COLUMN()-1,0))),6)</f>
        <v>0</v>
      </c>
      <c r="H132" s="11" cm="1">
        <f t="array" ref="H132">ROUND(MAX(ABS(INDEX($B$85:$G$94,ROW()-126,0)-INDEX($B$85:$G$94,COLUMN()-1,0))),6)</f>
        <v>0.45</v>
      </c>
      <c r="I132" s="11" cm="1">
        <f t="array" ref="I132">ROUND(MAX(ABS(INDEX($B$85:$G$94,ROW()-126,0)-INDEX($B$85:$G$94,COLUMN()-1,0))),6)</f>
        <v>0.375</v>
      </c>
      <c r="J132" s="11" cm="1">
        <f t="array" ref="J132">ROUND(MAX(ABS(INDEX($B$85:$G$94,ROW()-126,0)-INDEX($B$85:$G$94,COLUMN()-1,0))),6)</f>
        <v>0.63414599999999999</v>
      </c>
      <c r="K132" s="11" cm="1">
        <f t="array" ref="K132">ROUND(MAX(ABS(INDEX($B$85:$G$94,ROW()-126,0)-INDEX($B$85:$G$94,COLUMN()-1,0))),6)</f>
        <v>0.70731699999999997</v>
      </c>
    </row>
    <row r="133" spans="1:11" ht="15" customHeight="1" x14ac:dyDescent="0.3">
      <c r="A133" s="4"/>
      <c r="B133" s="11" cm="1">
        <f t="array" ref="B133">ROUND(MAX(ABS(INDEX($B$85:$G$94,ROW()-126,0)-INDEX($B$85:$G$94,COLUMN()-1,0))),6)</f>
        <v>1</v>
      </c>
      <c r="C133" s="11" cm="1">
        <f t="array" ref="C133">ROUND(MAX(ABS(INDEX($B$85:$G$94,ROW()-126,0)-INDEX($B$85:$G$94,COLUMN()-1,0))),6)</f>
        <v>0.57377</v>
      </c>
      <c r="D133" s="11" cm="1">
        <f t="array" ref="D133">ROUND(MAX(ABS(INDEX($B$85:$G$94,ROW()-126,0)-INDEX($B$85:$G$94,COLUMN()-1,0))),6)</f>
        <v>1</v>
      </c>
      <c r="E133" s="11" cm="1">
        <f t="array" ref="E133">ROUND(MAX(ABS(INDEX($B$85:$G$94,ROW()-126,0)-INDEX($B$85:$G$94,COLUMN()-1,0))),6)</f>
        <v>0.47541</v>
      </c>
      <c r="F133" s="11" cm="1">
        <f t="array" ref="F133">ROUND(MAX(ABS(INDEX($B$85:$G$94,ROW()-126,0)-INDEX($B$85:$G$94,COLUMN()-1,0))),6)</f>
        <v>0.96341500000000002</v>
      </c>
      <c r="G133" s="11" cm="1">
        <f t="array" ref="G133">ROUND(MAX(ABS(INDEX($B$85:$G$94,ROW()-126,0)-INDEX($B$85:$G$94,COLUMN()-1,0))),6)</f>
        <v>0.45</v>
      </c>
      <c r="H133" s="11" cm="1">
        <f t="array" ref="H133">ROUND(MAX(ABS(INDEX($B$85:$G$94,ROW()-126,0)-INDEX($B$85:$G$94,COLUMN()-1,0))),6)</f>
        <v>0</v>
      </c>
      <c r="I133" s="11" cm="1">
        <f t="array" ref="I133">ROUND(MAX(ABS(INDEX($B$85:$G$94,ROW()-126,0)-INDEX($B$85:$G$94,COLUMN()-1,0))),6)</f>
        <v>0.27868900000000002</v>
      </c>
      <c r="J133" s="11" cm="1">
        <f t="array" ref="J133">ROUND(MAX(ABS(INDEX($B$85:$G$94,ROW()-126,0)-INDEX($B$85:$G$94,COLUMN()-1,0))),6)</f>
        <v>0.92682900000000001</v>
      </c>
      <c r="K133" s="11" cm="1">
        <f t="array" ref="K133">ROUND(MAX(ABS(INDEX($B$85:$G$94,ROW()-126,0)-INDEX($B$85:$G$94,COLUMN()-1,0))),6)</f>
        <v>1</v>
      </c>
    </row>
    <row r="134" spans="1:11" ht="15" customHeight="1" x14ac:dyDescent="0.3">
      <c r="A134" s="4"/>
      <c r="B134" s="11" cm="1">
        <f t="array" ref="B134">ROUND(MAX(ABS(INDEX($B$85:$G$94,ROW()-126,0)-INDEX($B$85:$G$94,COLUMN()-1,0))),6)</f>
        <v>0.92500000000000004</v>
      </c>
      <c r="C134" s="11" cm="1">
        <f t="array" ref="C134">ROUND(MAX(ABS(INDEX($B$85:$G$94,ROW()-126,0)-INDEX($B$85:$G$94,COLUMN()-1,0))),6)</f>
        <v>0.45</v>
      </c>
      <c r="D134" s="11" cm="1">
        <f t="array" ref="D134">ROUND(MAX(ABS(INDEX($B$85:$G$94,ROW()-126,0)-INDEX($B$85:$G$94,COLUMN()-1,0))),6)</f>
        <v>0.72131100000000004</v>
      </c>
      <c r="E134" s="11" cm="1">
        <f t="array" ref="E134">ROUND(MAX(ABS(INDEX($B$85:$G$94,ROW()-126,0)-INDEX($B$85:$G$94,COLUMN()-1,0))),6)</f>
        <v>0.32500000000000001</v>
      </c>
      <c r="F134" s="11" cm="1">
        <f t="array" ref="F134">ROUND(MAX(ABS(INDEX($B$85:$G$94,ROW()-126,0)-INDEX($B$85:$G$94,COLUMN()-1,0))),6)</f>
        <v>0.91463499999999998</v>
      </c>
      <c r="G134" s="11" cm="1">
        <f t="array" ref="G134">ROUND(MAX(ABS(INDEX($B$85:$G$94,ROW()-126,0)-INDEX($B$85:$G$94,COLUMN()-1,0))),6)</f>
        <v>0.375</v>
      </c>
      <c r="H134" s="11" cm="1">
        <f t="array" ref="H134">ROUND(MAX(ABS(INDEX($B$85:$G$94,ROW()-126,0)-INDEX($B$85:$G$94,COLUMN()-1,0))),6)</f>
        <v>0.27868900000000002</v>
      </c>
      <c r="I134" s="11" cm="1">
        <f t="array" ref="I134">ROUND(MAX(ABS(INDEX($B$85:$G$94,ROW()-126,0)-INDEX($B$85:$G$94,COLUMN()-1,0))),6)</f>
        <v>0</v>
      </c>
      <c r="J134" s="11" cm="1">
        <f t="array" ref="J134">ROUND(MAX(ABS(INDEX($B$85:$G$94,ROW()-126,0)-INDEX($B$85:$G$94,COLUMN()-1,0))),6)</f>
        <v>0.87804899999999997</v>
      </c>
      <c r="K134" s="11" cm="1">
        <f t="array" ref="K134">ROUND(MAX(ABS(INDEX($B$85:$G$94,ROW()-126,0)-INDEX($B$85:$G$94,COLUMN()-1,0))),6)</f>
        <v>0.95121999999999995</v>
      </c>
    </row>
    <row r="135" spans="1:11" ht="15" customHeight="1" x14ac:dyDescent="0.3">
      <c r="A135" s="4"/>
      <c r="B135" s="11" cm="1">
        <f t="array" ref="B135">ROUND(MAX(ABS(INDEX($B$85:$G$94,ROW()-126,0)-INDEX($B$85:$G$94,COLUMN()-1,0))),6)</f>
        <v>0.98305100000000001</v>
      </c>
      <c r="C135" s="11" cm="1">
        <f t="array" ref="C135">ROUND(MAX(ABS(INDEX($B$85:$G$94,ROW()-126,0)-INDEX($B$85:$G$94,COLUMN()-1,0))),6)</f>
        <v>0.81355900000000003</v>
      </c>
      <c r="D135" s="11" cm="1">
        <f t="array" ref="D135">ROUND(MAX(ABS(INDEX($B$85:$G$94,ROW()-126,0)-INDEX($B$85:$G$94,COLUMN()-1,0))),6)</f>
        <v>0.288136</v>
      </c>
      <c r="E135" s="11" cm="1">
        <f t="array" ref="E135">ROUND(MAX(ABS(INDEX($B$85:$G$94,ROW()-126,0)-INDEX($B$85:$G$94,COLUMN()-1,0))),6)</f>
        <v>0.82926800000000001</v>
      </c>
      <c r="F135" s="11" cm="1">
        <f t="array" ref="F135">ROUND(MAX(ABS(INDEX($B$85:$G$94,ROW()-126,0)-INDEX($B$85:$G$94,COLUMN()-1,0))),6)</f>
        <v>0.125</v>
      </c>
      <c r="G135" s="11" cm="1">
        <f t="array" ref="G135">ROUND(MAX(ABS(INDEX($B$85:$G$94,ROW()-126,0)-INDEX($B$85:$G$94,COLUMN()-1,0))),6)</f>
        <v>0.63414599999999999</v>
      </c>
      <c r="H135" s="11" cm="1">
        <f t="array" ref="H135">ROUND(MAX(ABS(INDEX($B$85:$G$94,ROW()-126,0)-INDEX($B$85:$G$94,COLUMN()-1,0))),6)</f>
        <v>0.92682900000000001</v>
      </c>
      <c r="I135" s="11" cm="1">
        <f t="array" ref="I135">ROUND(MAX(ABS(INDEX($B$85:$G$94,ROW()-126,0)-INDEX($B$85:$G$94,COLUMN()-1,0))),6)</f>
        <v>0.87804899999999997</v>
      </c>
      <c r="J135" s="11" cm="1">
        <f t="array" ref="J135">ROUND(MAX(ABS(INDEX($B$85:$G$94,ROW()-126,0)-INDEX($B$85:$G$94,COLUMN()-1,0))),6)</f>
        <v>0</v>
      </c>
      <c r="K135" s="11" cm="1">
        <f t="array" ref="K135">ROUND(MAX(ABS(INDEX($B$85:$G$94,ROW()-126,0)-INDEX($B$85:$G$94,COLUMN()-1,0))),6)</f>
        <v>0.49180299999999999</v>
      </c>
    </row>
    <row r="136" spans="1:11" ht="15" customHeight="1" x14ac:dyDescent="0.3">
      <c r="A136" s="4"/>
      <c r="B136" s="11" cm="1">
        <f t="array" ref="B136">ROUND(MAX(ABS(INDEX($B$85:$G$94,ROW()-126,0)-INDEX($B$85:$G$94,COLUMN()-1,0))),6)</f>
        <v>1</v>
      </c>
      <c r="C136" s="11" cm="1">
        <f t="array" ref="C136">ROUND(MAX(ABS(INDEX($B$85:$G$94,ROW()-126,0)-INDEX($B$85:$G$94,COLUMN()-1,0))),6)</f>
        <v>0.83050800000000002</v>
      </c>
      <c r="D136" s="11" cm="1">
        <f t="array" ref="D136">ROUND(MAX(ABS(INDEX($B$85:$G$94,ROW()-126,0)-INDEX($B$85:$G$94,COLUMN()-1,0))),6)</f>
        <v>0.59016400000000002</v>
      </c>
      <c r="E136" s="11" cm="1">
        <f t="array" ref="E136">ROUND(MAX(ABS(INDEX($B$85:$G$94,ROW()-126,0)-INDEX($B$85:$G$94,COLUMN()-1,0))),6)</f>
        <v>0.90243899999999999</v>
      </c>
      <c r="F136" s="11" cm="1">
        <f t="array" ref="F136">ROUND(MAX(ABS(INDEX($B$85:$G$94,ROW()-126,0)-INDEX($B$85:$G$94,COLUMN()-1,0))),6)</f>
        <v>0.50819700000000001</v>
      </c>
      <c r="G136" s="11" cm="1">
        <f t="array" ref="G136">ROUND(MAX(ABS(INDEX($B$85:$G$94,ROW()-126,0)-INDEX($B$85:$G$94,COLUMN()-1,0))),6)</f>
        <v>0.70731699999999997</v>
      </c>
      <c r="H136" s="11" cm="1">
        <f t="array" ref="H136">ROUND(MAX(ABS(INDEX($B$85:$G$94,ROW()-126,0)-INDEX($B$85:$G$94,COLUMN()-1,0))),6)</f>
        <v>1</v>
      </c>
      <c r="I136" s="11" cm="1">
        <f t="array" ref="I136">ROUND(MAX(ABS(INDEX($B$85:$G$94,ROW()-126,0)-INDEX($B$85:$G$94,COLUMN()-1,0))),6)</f>
        <v>0.95121999999999995</v>
      </c>
      <c r="J136" s="11" cm="1">
        <f t="array" ref="J136">ROUND(MAX(ABS(INDEX($B$85:$G$94,ROW()-126,0)-INDEX($B$85:$G$94,COLUMN()-1,0))),6)</f>
        <v>0.49180299999999999</v>
      </c>
      <c r="K136" s="11" cm="1">
        <f t="array" ref="K136">ROUND(MAX(ABS(INDEX($B$85:$G$94,ROW()-126,0)-INDEX($B$85:$G$94,COLUMN()-1,0))),6)</f>
        <v>0</v>
      </c>
    </row>
    <row r="137" spans="1:11" ht="15" customHeight="1" x14ac:dyDescent="0.3"/>
    <row r="138" spans="1:11" ht="15" customHeight="1" x14ac:dyDescent="0.3"/>
    <row r="139" spans="1:11" ht="15" customHeight="1" thickBot="1" x14ac:dyDescent="0.35"/>
    <row r="140" spans="1:11" ht="15" customHeight="1" x14ac:dyDescent="0.3">
      <c r="E140" s="59" t="s">
        <v>8</v>
      </c>
      <c r="F140" s="65"/>
      <c r="G140" s="60"/>
    </row>
    <row r="141" spans="1:11" ht="15" customHeight="1" x14ac:dyDescent="0.3">
      <c r="E141" s="61"/>
      <c r="F141" s="66"/>
      <c r="G141" s="62"/>
    </row>
    <row r="142" spans="1:11" ht="15" customHeight="1" x14ac:dyDescent="0.3">
      <c r="E142" s="61"/>
      <c r="F142" s="66"/>
      <c r="G142" s="62"/>
    </row>
    <row r="143" spans="1:11" ht="15" customHeight="1" x14ac:dyDescent="0.3">
      <c r="E143" s="61"/>
      <c r="F143" s="66"/>
      <c r="G143" s="62"/>
    </row>
    <row r="144" spans="1:11" ht="15" customHeight="1" thickBot="1" x14ac:dyDescent="0.35">
      <c r="E144" s="63"/>
      <c r="F144" s="67"/>
      <c r="G144" s="64"/>
    </row>
    <row r="145" spans="1:11" ht="15" customHeight="1" x14ac:dyDescent="0.3"/>
    <row r="146" spans="1:11" ht="15" customHeight="1" x14ac:dyDescent="0.3">
      <c r="A146" s="68" t="s">
        <v>50</v>
      </c>
      <c r="B146" s="68"/>
      <c r="C146" s="68"/>
      <c r="D146" s="68"/>
      <c r="E146" s="68"/>
      <c r="F146" s="68"/>
      <c r="G146" s="68"/>
      <c r="H146" s="68"/>
      <c r="I146" s="68"/>
      <c r="J146" s="68"/>
      <c r="K146" s="68"/>
    </row>
    <row r="147" spans="1:11" ht="15" customHeight="1" x14ac:dyDescent="0.3">
      <c r="A147" s="3" t="s">
        <v>0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 ht="15" customHeight="1" x14ac:dyDescent="0.3">
      <c r="A148" s="4"/>
      <c r="B148" s="11" cm="1">
        <f t="array" ref="B148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0</v>
      </c>
      <c r="C148" s="11" cm="1">
        <f t="array" ref="C148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4.6969589999999997</v>
      </c>
      <c r="D148" s="11" cm="1">
        <f t="array" ref="D148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5.0280240000000003</v>
      </c>
      <c r="E148" s="11" cm="1">
        <f t="array" ref="E148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4.3294759999999997</v>
      </c>
      <c r="F148" s="11" cm="1">
        <f t="array" ref="F148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4.943937</v>
      </c>
      <c r="G148" s="11" cm="1">
        <f t="array" ref="G148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4.4782130000000002</v>
      </c>
      <c r="H148" s="11" cm="1">
        <f t="array" ref="H148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6</v>
      </c>
      <c r="I148" s="11" cm="1">
        <f t="array" ref="I148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4.2204639999999998</v>
      </c>
      <c r="J148" s="11" cm="1">
        <f t="array" ref="J148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4.8400619999999996</v>
      </c>
      <c r="K148" s="11" cm="1">
        <f t="array" ref="K148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4.598598</v>
      </c>
    </row>
    <row r="149" spans="1:11" ht="15" customHeight="1" x14ac:dyDescent="0.3">
      <c r="A149" s="4"/>
      <c r="B149" s="11" cm="1">
        <f t="array" ref="B149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4.6969589999999997</v>
      </c>
      <c r="C149" s="11" cm="1">
        <f t="array" ref="C149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0</v>
      </c>
      <c r="D149" s="11" cm="1">
        <f t="array" ref="D149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1.916496</v>
      </c>
      <c r="E149" s="11" cm="1">
        <f t="array" ref="E149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1.8962300000000001</v>
      </c>
      <c r="F149" s="11" cm="1">
        <f t="array" ref="F149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2.1479529999999998</v>
      </c>
      <c r="G149" s="11" cm="1">
        <f t="array" ref="G149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1.57325</v>
      </c>
      <c r="H149" s="11" cm="1">
        <f t="array" ref="H149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3.9205290000000002</v>
      </c>
      <c r="I149" s="11" cm="1">
        <f t="array" ref="I149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2.7981750000000001</v>
      </c>
      <c r="J149" s="11" cm="1">
        <f t="array" ref="J149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2.215144</v>
      </c>
      <c r="K149" s="11" cm="1">
        <f t="array" ref="K149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2.408846</v>
      </c>
    </row>
    <row r="150" spans="1:11" ht="15" customHeight="1" x14ac:dyDescent="0.3">
      <c r="A150" s="4"/>
      <c r="B150" s="11" cm="1">
        <f t="array" ref="B150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5.0280240000000003</v>
      </c>
      <c r="C150" s="11" cm="1">
        <f t="array" ref="C150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1.916496</v>
      </c>
      <c r="D150" s="11" cm="1">
        <f t="array" ref="D150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0</v>
      </c>
      <c r="E150" s="11" cm="1">
        <f t="array" ref="E150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2.2825570000000002</v>
      </c>
      <c r="F150" s="11" cm="1">
        <f t="array" ref="F150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0.58771200000000001</v>
      </c>
      <c r="G150" s="11" cm="1">
        <f t="array" ref="G150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1.520915</v>
      </c>
      <c r="H150" s="11" cm="1">
        <f t="array" ref="H150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4.4033629999999997</v>
      </c>
      <c r="I150" s="11" cm="1">
        <f t="array" ref="I150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3.1501619999999999</v>
      </c>
      <c r="J150" s="11" cm="1">
        <f t="array" ref="J150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0.68856399999999995</v>
      </c>
      <c r="K150" s="11" cm="1">
        <f t="array" ref="K150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1.3292710000000001</v>
      </c>
    </row>
    <row r="151" spans="1:11" ht="15" customHeight="1" x14ac:dyDescent="0.3">
      <c r="A151" s="4"/>
      <c r="B151" s="11" cm="1">
        <f t="array" ref="B151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4.3294759999999997</v>
      </c>
      <c r="C151" s="11" cm="1">
        <f t="array" ref="C151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1.8962300000000001</v>
      </c>
      <c r="D151" s="11" cm="1">
        <f t="array" ref="D151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2.2825570000000002</v>
      </c>
      <c r="E151" s="11" cm="1">
        <f t="array" ref="E151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0</v>
      </c>
      <c r="F151" s="11" cm="1">
        <f t="array" ref="F151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2.6733639999999999</v>
      </c>
      <c r="G151" s="11" cm="1">
        <f t="array" ref="G151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1.417441</v>
      </c>
      <c r="H151" s="11" cm="1">
        <f t="array" ref="H151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3.3732890000000002</v>
      </c>
      <c r="I151" s="11" cm="1">
        <f t="array" ref="I151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1.572433</v>
      </c>
      <c r="J151" s="11" cm="1">
        <f t="array" ref="J151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2.772265</v>
      </c>
      <c r="K151" s="11" cm="1">
        <f t="array" ref="K151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2.710245</v>
      </c>
    </row>
    <row r="152" spans="1:11" ht="15" customHeight="1" x14ac:dyDescent="0.3">
      <c r="A152" s="4"/>
      <c r="B152" s="11" cm="1">
        <f t="array" ref="B152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4.943937</v>
      </c>
      <c r="C152" s="11" cm="1">
        <f t="array" ref="C152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2.1479529999999998</v>
      </c>
      <c r="D152" s="11" cm="1">
        <f t="array" ref="D152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0.58771200000000001</v>
      </c>
      <c r="E152" s="11" cm="1">
        <f t="array" ref="E152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2.6733639999999999</v>
      </c>
      <c r="F152" s="11" cm="1">
        <f t="array" ref="F152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0</v>
      </c>
      <c r="G152" s="11" cm="1">
        <f t="array" ref="G152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1.99559</v>
      </c>
      <c r="H152" s="11" cm="1">
        <f t="array" ref="H152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4.6619770000000003</v>
      </c>
      <c r="I152" s="11" cm="1">
        <f t="array" ref="I152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3.4776030000000002</v>
      </c>
      <c r="J152" s="11" cm="1">
        <f t="array" ref="J152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0.218502</v>
      </c>
      <c r="K152" s="11" cm="1">
        <f t="array" ref="K152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0.754436</v>
      </c>
    </row>
    <row r="153" spans="1:11" ht="15" customHeight="1" x14ac:dyDescent="0.3">
      <c r="A153" s="4"/>
      <c r="B153" s="11" cm="1">
        <f t="array" ref="B153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4.4782130000000002</v>
      </c>
      <c r="C153" s="11" cm="1">
        <f t="array" ref="C153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1.57325</v>
      </c>
      <c r="D153" s="11" cm="1">
        <f t="array" ref="D153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1.520915</v>
      </c>
      <c r="E153" s="11" cm="1">
        <f t="array" ref="E153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1.417441</v>
      </c>
      <c r="F153" s="11" cm="1">
        <f t="array" ref="F153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1.99559</v>
      </c>
      <c r="G153" s="11" cm="1">
        <f t="array" ref="G153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0</v>
      </c>
      <c r="H153" s="11" cm="1">
        <f t="array" ref="H153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3.9732989999999999</v>
      </c>
      <c r="I153" s="11" cm="1">
        <f t="array" ref="I153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1.9505600000000001</v>
      </c>
      <c r="J153" s="11" cm="1">
        <f t="array" ref="J153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2.0863299999999998</v>
      </c>
      <c r="K153" s="11" cm="1">
        <f t="array" ref="K153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1.979344</v>
      </c>
    </row>
    <row r="154" spans="1:11" ht="15" customHeight="1" x14ac:dyDescent="0.3">
      <c r="A154" s="4"/>
      <c r="B154" s="11" cm="1">
        <f t="array" ref="B154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6</v>
      </c>
      <c r="C154" s="11" cm="1">
        <f t="array" ref="C154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3.9205290000000002</v>
      </c>
      <c r="D154" s="11" cm="1">
        <f t="array" ref="D154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4.4033629999999997</v>
      </c>
      <c r="E154" s="11" cm="1">
        <f t="array" ref="E154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3.3732890000000002</v>
      </c>
      <c r="F154" s="11" cm="1">
        <f t="array" ref="F154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4.6619770000000003</v>
      </c>
      <c r="G154" s="11" cm="1">
        <f t="array" ref="G154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3.9732989999999999</v>
      </c>
      <c r="H154" s="11" cm="1">
        <f t="array" ref="H154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0</v>
      </c>
      <c r="I154" s="11" cm="1">
        <f t="array" ref="I154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3.5040779999999998</v>
      </c>
      <c r="J154" s="11" cm="1">
        <f t="array" ref="J154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4.6751379999999996</v>
      </c>
      <c r="K154" s="11" cm="1">
        <f t="array" ref="K154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4.801634</v>
      </c>
    </row>
    <row r="155" spans="1:11" ht="15" customHeight="1" x14ac:dyDescent="0.3">
      <c r="A155" s="4"/>
      <c r="B155" s="11" cm="1">
        <f t="array" ref="B155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4.2204639999999998</v>
      </c>
      <c r="C155" s="11" cm="1">
        <f t="array" ref="C155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2.7981750000000001</v>
      </c>
      <c r="D155" s="11" cm="1">
        <f t="array" ref="D155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3.1501619999999999</v>
      </c>
      <c r="E155" s="11" cm="1">
        <f t="array" ref="E155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1.572433</v>
      </c>
      <c r="F155" s="11" cm="1">
        <f t="array" ref="F155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3.4776030000000002</v>
      </c>
      <c r="G155" s="11" cm="1">
        <f t="array" ref="G155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1.9505600000000001</v>
      </c>
      <c r="H155" s="11" cm="1">
        <f t="array" ref="H155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3.5040779999999998</v>
      </c>
      <c r="I155" s="11" cm="1">
        <f t="array" ref="I155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0</v>
      </c>
      <c r="J155" s="11" cm="1">
        <f t="array" ref="J155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3.5203039999999999</v>
      </c>
      <c r="K155" s="11" cm="1">
        <f t="array" ref="K155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3.362358</v>
      </c>
    </row>
    <row r="156" spans="1:11" ht="15" customHeight="1" x14ac:dyDescent="0.3">
      <c r="A156" s="4"/>
      <c r="B156" s="11" cm="1">
        <f t="array" ref="B156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4.8400619999999996</v>
      </c>
      <c r="C156" s="11" cm="1">
        <f t="array" ref="C156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2.215144</v>
      </c>
      <c r="D156" s="11" cm="1">
        <f t="array" ref="D156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0.68856399999999995</v>
      </c>
      <c r="E156" s="11" cm="1">
        <f t="array" ref="E156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2.772265</v>
      </c>
      <c r="F156" s="11" cm="1">
        <f t="array" ref="F156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0.218502</v>
      </c>
      <c r="G156" s="11" cm="1">
        <f t="array" ref="G156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2.0863299999999998</v>
      </c>
      <c r="H156" s="11" cm="1">
        <f t="array" ref="H156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4.6751379999999996</v>
      </c>
      <c r="I156" s="11" cm="1">
        <f t="array" ref="I156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3.5203039999999999</v>
      </c>
      <c r="J156" s="11" cm="1">
        <f t="array" ref="J156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0</v>
      </c>
      <c r="K156" s="11" cm="1">
        <f t="array" ref="K156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0.65099499999999999</v>
      </c>
    </row>
    <row r="157" spans="1:11" ht="15" customHeight="1" x14ac:dyDescent="0.3">
      <c r="A157" s="4"/>
      <c r="B157" s="11" cm="1">
        <f t="array" ref="B157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4.598598</v>
      </c>
      <c r="C157" s="11" cm="1">
        <f t="array" ref="C157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2.408846</v>
      </c>
      <c r="D157" s="11" cm="1">
        <f t="array" ref="D157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1.3292710000000001</v>
      </c>
      <c r="E157" s="11" cm="1">
        <f t="array" ref="E157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2.710245</v>
      </c>
      <c r="F157" s="11" cm="1">
        <f t="array" ref="F157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0.754436</v>
      </c>
      <c r="G157" s="11" cm="1">
        <f t="array" ref="G157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1.979344</v>
      </c>
      <c r="H157" s="11" cm="1">
        <f t="array" ref="H157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4.801634</v>
      </c>
      <c r="I157" s="11" cm="1">
        <f t="array" ref="I157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3.362358</v>
      </c>
      <c r="J157" s="11" cm="1">
        <f t="array" ref="J157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0.65099499999999999</v>
      </c>
      <c r="K157" s="11" cm="1">
        <f t="array" ref="K157">ROUND(
IF(ABS(INDEX($B$85:$G$94,ROW()-147,1))+ABS(INDEX($B$85:$G$94,COLUMN()-1,1))=0,0,ABS(INDEX($B$85:$G$94,ROW()-147,1)-INDEX($B$85:$G$94,COLUMN()-1,1))/(ABS(INDEX($B$85:$G$94,ROW()-147,1))+ABS(INDEX($B$85:$G$94,COLUMN()-1,1))))
+IF(ABS(INDEX($B$85:$G$94,ROW()-147,2))+ABS(INDEX($B$85:$G$94,COLUMN()-1,2))=0,0,ABS(INDEX($B$85:$G$94,ROW()-147,2)-INDEX($B$85:$G$94,COLUMN()-1,2))/(ABS(INDEX($B$85:$G$94,ROW()-147,2))+ABS(INDEX($B$85:$G$94,COLUMN()-1,2))))
+IF(ABS(INDEX($B$85:$G$94,ROW()-147,3))+ABS(INDEX($B$85:$G$94,COLUMN()-1,3))=0,0,ABS(INDEX($B$85:$G$94,ROW()-147,3)-INDEX($B$85:$G$94,COLUMN()-1,3))/(ABS(INDEX($B$85:$G$94,ROW()-147,3))+ABS(INDEX($B$85:$G$94,COLUMN()-1,3))))
+IF(ABS(INDEX($B$85:$G$94,ROW()-147,4))+ABS(INDEX($B$85:$G$94,COLUMN()-1,4))=0,0,ABS(INDEX($B$85:$G$94,ROW()-147,4)-INDEX($B$85:$G$94,COLUMN()-1,4))/(ABS(INDEX($B$85:$G$94,ROW()-147,4))+ABS(INDEX($B$85:$G$94,COLUMN()-1,4))))
+IF(ABS(INDEX($B$85:$G$94,ROW()-147,5))+ABS(INDEX($B$85:$G$94,COLUMN()-1,5))=0,0,ABS(INDEX($B$85:$G$94,ROW()-147,5)-INDEX($B$85:$G$94,COLUMN()-1,5))/(ABS(INDEX($B$85:$G$94,ROW()-147,5))+ABS(INDEX($B$85:$G$94,COLUMN()-1,5))))
+IF(ABS(INDEX($B$85:$G$94,ROW()-147,6))+ABS(INDEX($B$85:$G$94,COLUMN()-1,6))=0,0,ABS(INDEX($B$85:$G$94,ROW()-147,6)-INDEX($B$85:$G$94,COLUMN()-1,6))/(ABS(INDEX($B$85:$G$94,ROW()-147,6))+ABS(INDEX($B$85:$G$94,COLUMN()-1,6)))),6)</f>
        <v>0</v>
      </c>
    </row>
    <row r="158" spans="1:11" ht="15" customHeight="1" x14ac:dyDescent="0.3"/>
    <row r="159" spans="1:11" ht="15" customHeight="1" x14ac:dyDescent="0.3"/>
    <row r="160" spans="1:11" ht="15" customHeight="1" x14ac:dyDescent="0.3"/>
    <row r="161" ht="15" customHeight="1" x14ac:dyDescent="0.3"/>
    <row r="162" ht="15" customHeight="1" x14ac:dyDescent="0.3"/>
    <row r="163" ht="15" customHeight="1" x14ac:dyDescent="0.3"/>
    <row r="164" ht="1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  <row r="184" ht="15" customHeight="1" x14ac:dyDescent="0.3"/>
    <row r="185" ht="15" customHeight="1" x14ac:dyDescent="0.3"/>
    <row r="186" ht="15" customHeight="1" x14ac:dyDescent="0.3"/>
    <row r="187" ht="15" customHeight="1" x14ac:dyDescent="0.3"/>
    <row r="188" ht="15" customHeight="1" x14ac:dyDescent="0.3"/>
    <row r="189" ht="15" customHeight="1" x14ac:dyDescent="0.3"/>
    <row r="190" ht="15" customHeight="1" x14ac:dyDescent="0.3"/>
    <row r="191" ht="15" customHeight="1" x14ac:dyDescent="0.3"/>
    <row r="192" ht="15" customHeight="1" x14ac:dyDescent="0.3"/>
    <row r="193" ht="15" customHeight="1" x14ac:dyDescent="0.3"/>
    <row r="194" ht="15" customHeight="1" x14ac:dyDescent="0.3"/>
    <row r="195" ht="15" customHeight="1" x14ac:dyDescent="0.3"/>
    <row r="196" ht="15" customHeight="1" x14ac:dyDescent="0.3"/>
    <row r="197" ht="15" customHeight="1" x14ac:dyDescent="0.3"/>
    <row r="198" ht="15" customHeight="1" x14ac:dyDescent="0.3"/>
    <row r="199" ht="15" customHeight="1" x14ac:dyDescent="0.3"/>
    <row r="200" ht="15" customHeight="1" x14ac:dyDescent="0.3"/>
  </sheetData>
  <mergeCells count="15">
    <mergeCell ref="A146:K146"/>
    <mergeCell ref="A79:K79"/>
    <mergeCell ref="E140:G144"/>
    <mergeCell ref="E38:G41"/>
    <mergeCell ref="E58:G62"/>
    <mergeCell ref="A125:K125"/>
    <mergeCell ref="A1:H1"/>
    <mergeCell ref="E17:G21"/>
    <mergeCell ref="A83:H83"/>
    <mergeCell ref="E99:G103"/>
    <mergeCell ref="E120:G123"/>
    <mergeCell ref="A23:K23"/>
    <mergeCell ref="A43:K43"/>
    <mergeCell ref="A64:K64"/>
    <mergeCell ref="A105:K10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6EE1C-E022-4487-8F72-66BE7E91FDFA}">
  <dimension ref="A1:BG401"/>
  <sheetViews>
    <sheetView topLeftCell="A14" zoomScaleNormal="100" workbookViewId="0">
      <selection activeCell="I13" sqref="I13"/>
    </sheetView>
  </sheetViews>
  <sheetFormatPr defaultRowHeight="14.4" x14ac:dyDescent="0.3"/>
  <cols>
    <col min="1" max="10" width="10.77734375" customWidth="1"/>
    <col min="11" max="12" width="11.33203125" customWidth="1"/>
    <col min="13" max="59" width="10.77734375" customWidth="1"/>
  </cols>
  <sheetData>
    <row r="1" spans="1:59" ht="15.6" x14ac:dyDescent="0.3">
      <c r="A1" s="68" t="s">
        <v>47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1:59" ht="15.6" x14ac:dyDescent="0.3">
      <c r="A2" s="3" t="s">
        <v>0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  <c r="K2" s="4" t="s">
        <v>18</v>
      </c>
      <c r="L2" s="18" t="s">
        <v>1</v>
      </c>
      <c r="M2" s="2"/>
    </row>
    <row r="3" spans="1:59" ht="15.6" x14ac:dyDescent="0.3">
      <c r="A3" s="4" t="s">
        <v>9</v>
      </c>
      <c r="B3" s="11">
        <v>0</v>
      </c>
      <c r="C3" s="11">
        <v>33.294744000000001</v>
      </c>
      <c r="D3" s="11">
        <v>84.512366</v>
      </c>
      <c r="E3" s="11">
        <v>52.837297</v>
      </c>
      <c r="F3" s="11">
        <v>113.28327299999999</v>
      </c>
      <c r="G3" s="11">
        <v>69.816974999999999</v>
      </c>
      <c r="H3" s="11">
        <v>53.987127999999998</v>
      </c>
      <c r="I3" s="11">
        <v>57.210662999999997</v>
      </c>
      <c r="J3" s="11">
        <v>115.854952</v>
      </c>
      <c r="K3" s="11">
        <v>119.704177</v>
      </c>
      <c r="L3" s="5">
        <v>1</v>
      </c>
    </row>
    <row r="4" spans="1:59" ht="15.6" x14ac:dyDescent="0.3">
      <c r="A4" s="4" t="s">
        <v>10</v>
      </c>
      <c r="B4" s="11">
        <v>33.294744000000001</v>
      </c>
      <c r="C4" s="11">
        <v>0</v>
      </c>
      <c r="D4" s="11">
        <v>54.899545000000003</v>
      </c>
      <c r="E4" s="11">
        <v>21.409811000000001</v>
      </c>
      <c r="F4" s="11">
        <v>84.909481</v>
      </c>
      <c r="G4" s="11">
        <v>39.609972999999997</v>
      </c>
      <c r="H4" s="11">
        <v>23.750157999999999</v>
      </c>
      <c r="I4" s="11">
        <v>26.300951000000001</v>
      </c>
      <c r="J4" s="11">
        <v>88.559189000000003</v>
      </c>
      <c r="K4" s="11">
        <v>92.573483999999993</v>
      </c>
      <c r="L4" s="5">
        <v>1</v>
      </c>
    </row>
    <row r="5" spans="1:59" ht="14.4" customHeight="1" x14ac:dyDescent="0.3">
      <c r="A5" s="4" t="s">
        <v>11</v>
      </c>
      <c r="B5" s="11">
        <v>84.512366</v>
      </c>
      <c r="C5" s="11">
        <v>54.899545000000003</v>
      </c>
      <c r="D5" s="11">
        <v>0</v>
      </c>
      <c r="E5" s="11">
        <v>34.882373999999999</v>
      </c>
      <c r="F5" s="11">
        <v>30.771740000000001</v>
      </c>
      <c r="G5" s="11">
        <v>16.691016000000001</v>
      </c>
      <c r="H5" s="11">
        <v>49.288030999999997</v>
      </c>
      <c r="I5" s="11">
        <v>41.646849000000003</v>
      </c>
      <c r="J5" s="11">
        <v>34.828867000000002</v>
      </c>
      <c r="K5" s="11">
        <v>39.151116999999999</v>
      </c>
      <c r="L5" s="5">
        <v>2</v>
      </c>
    </row>
    <row r="6" spans="1:59" ht="14.4" customHeight="1" x14ac:dyDescent="0.3">
      <c r="A6" s="4" t="s">
        <v>12</v>
      </c>
      <c r="B6" s="11">
        <v>52.837297</v>
      </c>
      <c r="C6" s="11">
        <v>21.409811000000001</v>
      </c>
      <c r="D6" s="11">
        <v>34.882373999999999</v>
      </c>
      <c r="E6" s="11">
        <v>0</v>
      </c>
      <c r="F6" s="11">
        <v>65.205061000000001</v>
      </c>
      <c r="G6" s="11">
        <v>19.538934999999999</v>
      </c>
      <c r="H6" s="11">
        <v>19.547122999999999</v>
      </c>
      <c r="I6" s="11">
        <v>14.688770999999999</v>
      </c>
      <c r="J6" s="11">
        <v>69.067285999999996</v>
      </c>
      <c r="K6" s="11">
        <v>73.206351999999995</v>
      </c>
      <c r="L6" s="5">
        <v>1</v>
      </c>
    </row>
    <row r="7" spans="1:59" ht="15" customHeight="1" x14ac:dyDescent="0.3">
      <c r="A7" s="4" t="s">
        <v>13</v>
      </c>
      <c r="B7" s="11">
        <v>113.28327299999999</v>
      </c>
      <c r="C7" s="11">
        <v>84.909481</v>
      </c>
      <c r="D7" s="11">
        <v>30.771740000000001</v>
      </c>
      <c r="E7" s="11">
        <v>65.205061000000001</v>
      </c>
      <c r="F7" s="11">
        <v>0</v>
      </c>
      <c r="G7" s="11">
        <v>45.985759000000002</v>
      </c>
      <c r="H7" s="11">
        <v>78.993734000000003</v>
      </c>
      <c r="I7" s="11">
        <v>71.674402999999998</v>
      </c>
      <c r="J7" s="11">
        <v>7.1547190000000001</v>
      </c>
      <c r="K7" s="11">
        <v>10.437912000000001</v>
      </c>
      <c r="L7" s="5">
        <v>2</v>
      </c>
    </row>
    <row r="8" spans="1:59" ht="15.6" x14ac:dyDescent="0.3">
      <c r="A8" s="4" t="s">
        <v>14</v>
      </c>
      <c r="B8" s="11">
        <v>69.816974999999999</v>
      </c>
      <c r="C8" s="11">
        <v>39.609972999999997</v>
      </c>
      <c r="D8" s="11">
        <v>16.691016000000001</v>
      </c>
      <c r="E8" s="11">
        <v>19.538934999999999</v>
      </c>
      <c r="F8" s="11">
        <v>45.985759000000002</v>
      </c>
      <c r="G8" s="11">
        <v>0</v>
      </c>
      <c r="H8" s="11">
        <v>35.106124999999999</v>
      </c>
      <c r="I8" s="11">
        <v>28.659552999999999</v>
      </c>
      <c r="J8" s="11">
        <v>50.086126</v>
      </c>
      <c r="K8" s="11">
        <v>54.068289999999998</v>
      </c>
      <c r="L8" s="5">
        <v>1</v>
      </c>
    </row>
    <row r="9" spans="1:59" ht="15.6" x14ac:dyDescent="0.3">
      <c r="A9" s="4" t="s">
        <v>15</v>
      </c>
      <c r="B9" s="11">
        <v>53.987127999999998</v>
      </c>
      <c r="C9" s="11">
        <v>23.750157999999999</v>
      </c>
      <c r="D9" s="11">
        <v>49.288030999999997</v>
      </c>
      <c r="E9" s="11">
        <v>19.547122999999999</v>
      </c>
      <c r="F9" s="11">
        <v>78.993734000000003</v>
      </c>
      <c r="G9" s="11">
        <v>35.106124999999999</v>
      </c>
      <c r="H9" s="11">
        <v>0</v>
      </c>
      <c r="I9" s="11">
        <v>10.119783</v>
      </c>
      <c r="J9" s="11">
        <v>83.638627</v>
      </c>
      <c r="K9" s="11">
        <v>87.661736000000005</v>
      </c>
      <c r="L9" s="5">
        <v>1</v>
      </c>
    </row>
    <row r="10" spans="1:59" ht="15.6" x14ac:dyDescent="0.3">
      <c r="A10" s="4" t="s">
        <v>16</v>
      </c>
      <c r="B10" s="11">
        <v>57.210662999999997</v>
      </c>
      <c r="C10" s="11">
        <v>26.300951000000001</v>
      </c>
      <c r="D10" s="11">
        <v>41.646849000000003</v>
      </c>
      <c r="E10" s="11">
        <v>14.688770999999999</v>
      </c>
      <c r="F10" s="11">
        <v>71.674402999999998</v>
      </c>
      <c r="G10" s="11">
        <v>28.659552999999999</v>
      </c>
      <c r="H10" s="11">
        <v>10.119783</v>
      </c>
      <c r="I10" s="11">
        <v>0</v>
      </c>
      <c r="J10" s="11">
        <v>75.944519</v>
      </c>
      <c r="K10" s="11">
        <v>80.101748000000001</v>
      </c>
      <c r="L10" s="5">
        <v>1</v>
      </c>
    </row>
    <row r="11" spans="1:59" ht="15.6" customHeight="1" x14ac:dyDescent="0.3">
      <c r="A11" s="4" t="s">
        <v>17</v>
      </c>
      <c r="B11" s="11">
        <v>115.854952</v>
      </c>
      <c r="C11" s="11">
        <v>88.559189000000003</v>
      </c>
      <c r="D11" s="11">
        <v>34.828867000000002</v>
      </c>
      <c r="E11" s="11">
        <v>69.067285999999996</v>
      </c>
      <c r="F11" s="11">
        <v>7.1547190000000001</v>
      </c>
      <c r="G11" s="11">
        <v>50.086126</v>
      </c>
      <c r="H11" s="11">
        <v>83.638627</v>
      </c>
      <c r="I11" s="11">
        <v>75.944519</v>
      </c>
      <c r="J11" s="11">
        <v>0</v>
      </c>
      <c r="K11" s="11">
        <v>5.5317270000000001</v>
      </c>
      <c r="L11" s="5">
        <v>2</v>
      </c>
    </row>
    <row r="12" spans="1:59" ht="15.6" x14ac:dyDescent="0.3">
      <c r="A12" s="4" t="s">
        <v>18</v>
      </c>
      <c r="B12" s="11">
        <v>119.704177</v>
      </c>
      <c r="C12" s="11">
        <v>92.573483999999993</v>
      </c>
      <c r="D12" s="11">
        <v>39.151116999999999</v>
      </c>
      <c r="E12" s="11">
        <v>73.206351999999995</v>
      </c>
      <c r="F12" s="11">
        <v>10.437912000000001</v>
      </c>
      <c r="G12" s="11">
        <v>54.068289999999998</v>
      </c>
      <c r="H12" s="11">
        <v>87.661736000000005</v>
      </c>
      <c r="I12" s="11">
        <v>80.101748000000001</v>
      </c>
      <c r="J12" s="11">
        <v>5.5317270000000001</v>
      </c>
      <c r="K12" s="11">
        <v>0</v>
      </c>
      <c r="L12" s="5">
        <v>2</v>
      </c>
    </row>
    <row r="14" spans="1:59" ht="15" customHeight="1" x14ac:dyDescent="0.3"/>
    <row r="15" spans="1:59" ht="15" customHeight="1" x14ac:dyDescent="0.3">
      <c r="A15" s="72" t="s">
        <v>20</v>
      </c>
      <c r="B15" s="72"/>
      <c r="C15" s="72"/>
      <c r="D15" s="72"/>
      <c r="E15" s="72"/>
      <c r="G15" s="72" t="s">
        <v>24</v>
      </c>
      <c r="H15" s="72"/>
      <c r="I15" s="72"/>
      <c r="J15" s="72"/>
      <c r="K15" s="72"/>
      <c r="M15" s="72" t="s">
        <v>25</v>
      </c>
      <c r="N15" s="72"/>
      <c r="O15" s="72"/>
      <c r="P15" s="72"/>
      <c r="Q15" s="72"/>
      <c r="S15" s="72" t="s">
        <v>26</v>
      </c>
      <c r="T15" s="72"/>
      <c r="U15" s="72"/>
      <c r="V15" s="72"/>
      <c r="W15" s="72"/>
      <c r="Y15" s="72" t="s">
        <v>27</v>
      </c>
      <c r="Z15" s="72"/>
      <c r="AA15" s="72"/>
      <c r="AB15" s="72"/>
      <c r="AC15" s="72"/>
      <c r="AE15" s="72" t="s">
        <v>28</v>
      </c>
      <c r="AF15" s="72"/>
      <c r="AG15" s="72"/>
      <c r="AH15" s="72"/>
      <c r="AI15" s="72"/>
      <c r="AK15" s="72" t="s">
        <v>29</v>
      </c>
      <c r="AL15" s="72"/>
      <c r="AM15" s="72"/>
      <c r="AN15" s="72"/>
      <c r="AO15" s="72"/>
      <c r="AQ15" s="72" t="s">
        <v>30</v>
      </c>
      <c r="AR15" s="72"/>
      <c r="AS15" s="72"/>
      <c r="AT15" s="72"/>
      <c r="AU15" s="72"/>
      <c r="AW15" s="72" t="s">
        <v>31</v>
      </c>
      <c r="AX15" s="72"/>
      <c r="AY15" s="72"/>
      <c r="AZ15" s="72"/>
      <c r="BA15" s="72"/>
      <c r="BC15" s="72" t="s">
        <v>32</v>
      </c>
      <c r="BD15" s="72"/>
      <c r="BE15" s="72"/>
      <c r="BF15" s="72"/>
      <c r="BG15" s="72"/>
    </row>
    <row r="16" spans="1:59" ht="34.950000000000003" customHeight="1" x14ac:dyDescent="0.3">
      <c r="A16" s="10" t="s">
        <v>19</v>
      </c>
      <c r="B16" s="9" t="s">
        <v>21</v>
      </c>
      <c r="C16" s="9" t="s">
        <v>22</v>
      </c>
      <c r="D16" s="9" t="s">
        <v>1</v>
      </c>
      <c r="E16" s="15" t="s">
        <v>23</v>
      </c>
      <c r="G16" s="10" t="s">
        <v>19</v>
      </c>
      <c r="H16" s="9" t="s">
        <v>21</v>
      </c>
      <c r="I16" s="9" t="s">
        <v>22</v>
      </c>
      <c r="J16" s="9" t="s">
        <v>1</v>
      </c>
      <c r="K16" s="15" t="s">
        <v>23</v>
      </c>
      <c r="M16" s="10" t="s">
        <v>19</v>
      </c>
      <c r="N16" s="9" t="s">
        <v>21</v>
      </c>
      <c r="O16" s="9" t="s">
        <v>22</v>
      </c>
      <c r="P16" s="9" t="s">
        <v>1</v>
      </c>
      <c r="Q16" s="15" t="s">
        <v>23</v>
      </c>
      <c r="S16" s="10" t="s">
        <v>19</v>
      </c>
      <c r="T16" s="9" t="s">
        <v>21</v>
      </c>
      <c r="U16" s="9" t="s">
        <v>22</v>
      </c>
      <c r="V16" s="9" t="s">
        <v>1</v>
      </c>
      <c r="W16" s="15" t="s">
        <v>23</v>
      </c>
      <c r="Y16" s="10" t="s">
        <v>19</v>
      </c>
      <c r="Z16" s="9" t="s">
        <v>21</v>
      </c>
      <c r="AA16" s="9" t="s">
        <v>22</v>
      </c>
      <c r="AB16" s="9" t="s">
        <v>1</v>
      </c>
      <c r="AC16" s="15" t="s">
        <v>23</v>
      </c>
      <c r="AE16" s="10" t="s">
        <v>19</v>
      </c>
      <c r="AF16" s="9" t="s">
        <v>21</v>
      </c>
      <c r="AG16" s="9" t="s">
        <v>22</v>
      </c>
      <c r="AH16" s="9" t="s">
        <v>1</v>
      </c>
      <c r="AI16" s="15" t="s">
        <v>23</v>
      </c>
      <c r="AK16" s="10" t="s">
        <v>19</v>
      </c>
      <c r="AL16" s="9" t="s">
        <v>21</v>
      </c>
      <c r="AM16" s="9" t="s">
        <v>22</v>
      </c>
      <c r="AN16" s="9" t="s">
        <v>1</v>
      </c>
      <c r="AO16" s="15" t="s">
        <v>23</v>
      </c>
      <c r="AQ16" s="10" t="s">
        <v>19</v>
      </c>
      <c r="AR16" s="9" t="s">
        <v>21</v>
      </c>
      <c r="AS16" s="9" t="s">
        <v>22</v>
      </c>
      <c r="AT16" s="9" t="s">
        <v>1</v>
      </c>
      <c r="AU16" s="15" t="s">
        <v>23</v>
      </c>
      <c r="AW16" s="10" t="s">
        <v>19</v>
      </c>
      <c r="AX16" s="9" t="s">
        <v>21</v>
      </c>
      <c r="AY16" s="9" t="s">
        <v>22</v>
      </c>
      <c r="AZ16" s="9" t="s">
        <v>1</v>
      </c>
      <c r="BA16" s="15" t="s">
        <v>23</v>
      </c>
      <c r="BC16" s="10" t="s">
        <v>19</v>
      </c>
      <c r="BD16" s="9" t="s">
        <v>21</v>
      </c>
      <c r="BE16" s="9" t="s">
        <v>22</v>
      </c>
      <c r="BF16" s="9" t="s">
        <v>1</v>
      </c>
      <c r="BG16" s="15" t="s">
        <v>23</v>
      </c>
    </row>
    <row r="17" spans="1:59" ht="15" customHeight="1" x14ac:dyDescent="0.3">
      <c r="A17" s="4">
        <v>1</v>
      </c>
      <c r="B17" s="16" t="str" cm="1">
        <f t="array" ref="B17">IF($A17&gt;9,"",INDEX($B$2:$K$2,MATCH(SMALL(IF($B$3:$K$3=0,10^9,$B$3:$K$3)+(COLUMN($B$2:$K$2)-COLUMN($B$2))/10^6,$A17),IF($B$3:$K$3=0,10^9,$B$3:$K$3)+(COLUMN($B$2:$K$2)-COLUMN($B$2))/10^6,0)))</f>
        <v>S2</v>
      </c>
      <c r="C17" s="16">
        <f>IF(B17="","",INDEX($B$3:$K$3,MATCH(B17,$B$2:$K$2,0)))</f>
        <v>33.294744000000001</v>
      </c>
      <c r="D17" s="16">
        <f>IF(B17="","",INDEX($L$3:$L$12,MATCH(B17,$A$3:$A$12,0)))</f>
        <v>1</v>
      </c>
      <c r="E17" s="16">
        <f>IF(D17="","",IF(D17=$L$3,1,0))</f>
        <v>1</v>
      </c>
      <c r="G17" s="4">
        <v>1</v>
      </c>
      <c r="H17" s="16" t="str" cm="1">
        <f t="array" ref="H17">IF($G17&gt;9,"",INDEX($B$2:$K$2,MATCH(SMALL(IF($B$4:$K$4=0,10^9,$B$4:$K$4)+(COLUMN($B$2:$K$2)-COLUMN($C$2))/10^6,$G17),IF($B$4:$K$4=0,10^9,$B$4:$K$4)+(COLUMN($B$2:$K$2)-COLUMN($C$2))/10^6,0)))</f>
        <v>S4</v>
      </c>
      <c r="I17" s="16">
        <f>IF(H17="","",INDEX($B$4:$K$4,MATCH(H17,$B$2:$K$2,0)))</f>
        <v>21.409811000000001</v>
      </c>
      <c r="J17" s="16">
        <f>IF(H17="","",INDEX($L$3:$L$12,MATCH(H17,$A$3:$A$12,0)))</f>
        <v>1</v>
      </c>
      <c r="K17" s="16">
        <f>IF(J17="","",IF(J17=$L$4,1,0))</f>
        <v>1</v>
      </c>
      <c r="M17" s="4">
        <v>1</v>
      </c>
      <c r="N17" s="16" t="str" cm="1">
        <f t="array" ref="N17">IF($M17&gt;9,"",INDEX($B$2:$K$2,MATCH(SMALL(IF($B$5:$K$5=0,10^9,$B$5:$K$5)+(COLUMN($B$2:$K$2)-COLUMN($D$2))/10^6,$M17),IF($B$5:$K$5=0,10^9,$B$5:$K$5)+(COLUMN($B$2:$K$2)-COLUMN($D$2))/10^6,0)))</f>
        <v>S6</v>
      </c>
      <c r="O17" s="16">
        <f>IF(N17="","",INDEX($B$5:$K$5,MATCH(N17,$B$2:$K$2,0)))</f>
        <v>16.691016000000001</v>
      </c>
      <c r="P17" s="16">
        <f>IF(N17="","",INDEX($L$3:$L$12,MATCH(N17,$A$3:$A$12,0)))</f>
        <v>1</v>
      </c>
      <c r="Q17" s="16">
        <f>IF(P17="","",IF(P17=$L$5,1,0))</f>
        <v>0</v>
      </c>
      <c r="S17" s="4">
        <v>1</v>
      </c>
      <c r="T17" s="16" t="str" cm="1">
        <f t="array" ref="T17">IF($S17&gt;9,"",INDEX($B$2:$K$2,MATCH(SMALL(IF($B$6:$K$6=0,10^9,$B$6:$K$6)+(COLUMN($B$2:$K$2)-COLUMN($E$2))/10^6,$S17),IF($B$6:$K$6=0,10^9,$B$6:$K$6)+(COLUMN($B$2:$K$2)-COLUMN($E$2))/10^6,0)))</f>
        <v>S8</v>
      </c>
      <c r="U17" s="16">
        <f>IF(T17="","",INDEX($B$6:$K$6,MATCH(T17,$B$2:$K$2,0)))</f>
        <v>14.688770999999999</v>
      </c>
      <c r="V17" s="16">
        <f>IF(T17="","",INDEX($L$3:$L$12,MATCH(T17,$A$3:$A$12,0)))</f>
        <v>1</v>
      </c>
      <c r="W17" s="16">
        <f>IF(V17="","",IF(V17=$L$6,1,0))</f>
        <v>1</v>
      </c>
      <c r="Y17" s="4">
        <v>1</v>
      </c>
      <c r="Z17" s="16" t="str" cm="1">
        <f t="array" ref="Z17">IF($Y17&gt;9,"",INDEX($B$2:$K$2,MATCH(SMALL(IF($B$7:$K$7=0,10^9,$B$7:$K$7)+(COLUMN($B$2:$K$2)-COLUMN($F$2))/10^6,$Y17),IF($B$7:$K$7=0,10^9,$B$7:$K$7)+(COLUMN($B$2:$K$2)-COLUMN($F$2))/10^6,0)))</f>
        <v>S9</v>
      </c>
      <c r="AA17" s="16">
        <f>IF(Z17="","",INDEX($B$7:$K$7,MATCH(Z17,$B$2:$K$2,0)))</f>
        <v>7.1547190000000001</v>
      </c>
      <c r="AB17" s="16">
        <f>IF(Z17="","",INDEX($L$3:$L$12,MATCH(Z17,$A$3:$A$12,0)))</f>
        <v>2</v>
      </c>
      <c r="AC17" s="16">
        <f>IF(AB17="","",IF(AB17=$L$7,1,0))</f>
        <v>1</v>
      </c>
      <c r="AE17" s="4">
        <v>1</v>
      </c>
      <c r="AF17" s="16" t="str" cm="1">
        <f t="array" ref="AF17">IF($AE17&gt;9,"",INDEX($B$2:$K$2,MATCH(SMALL(IF($B$8:$K$8=0,10^9,$B$8:$K$8)+(COLUMN($B$2:$K$2)-COLUMN($G$2))/10^6,$AE17),IF($B$8:$K$8=0,10^9,$B$8:$K$8)+(COLUMN($B$2:$K$2)-COLUMN($G$2))/10^6,0)))</f>
        <v>S3</v>
      </c>
      <c r="AG17" s="16">
        <f>IF(AF17="","",INDEX($B$8:$K$8,MATCH(AF17,$B$2:$K$2,0)))</f>
        <v>16.691016000000001</v>
      </c>
      <c r="AH17" s="16">
        <f>IF(AF17="","",INDEX($L$3:$L$12,MATCH(AF17,$A$3:$A$12,0)))</f>
        <v>2</v>
      </c>
      <c r="AI17" s="16">
        <f>IF(AH17="","",IF(AH17=$L$8,1,0))</f>
        <v>0</v>
      </c>
      <c r="AK17" s="4">
        <v>1</v>
      </c>
      <c r="AL17" s="16" t="str" cm="1">
        <f t="array" ref="AL17">IF($AK17&gt;9,"",INDEX($B$2:$K$2,MATCH(SMALL(IF($B$9:$K$9=0,10^9,$B$9:$K$9)+(COLUMN($B$2:$K$2)-COLUMN($H$2))/10^6,$AK17),IF($B$9:$K$9=0,10^9,$B$9:$K$9)+(COLUMN($B$2:$K$2)-COLUMN($H$2))/10^6,0)))</f>
        <v>S8</v>
      </c>
      <c r="AM17" s="16">
        <f>IF(AL17="","",INDEX($B$9:$K$9,MATCH(AL17,$B$2:$K$2,0)))</f>
        <v>10.119783</v>
      </c>
      <c r="AN17" s="16">
        <f>IF(AL17="","",INDEX($L$3:$L$12,MATCH(AL17,$A$3:$A$12,0)))</f>
        <v>1</v>
      </c>
      <c r="AO17" s="16">
        <f>IF(AN17="","",IF(AN17=$L$9,1,0))</f>
        <v>1</v>
      </c>
      <c r="AQ17" s="4">
        <v>1</v>
      </c>
      <c r="AR17" s="16" t="str" cm="1">
        <f t="array" ref="AR17">IF($AQ17&gt;9,"",INDEX($B$2:$K$2,MATCH(SMALL(IF($B$10:$K$10=0,10^9,$B$10:$K$10)+(COLUMN($B$2:$K$2)-COLUMN($I$2))/10^6,$AQ17),IF($B$10:$K$10=0,10^9,$B$10:$K$10)+(COLUMN($B$2:$K$2)-COLUMN($I$2))/10^6,0)))</f>
        <v>S7</v>
      </c>
      <c r="AS17" s="16">
        <f>IF(AR17="","",INDEX($B$10:$K$10,MATCH(AR17,$B$2:$K$2,0)))</f>
        <v>10.119783</v>
      </c>
      <c r="AT17" s="16">
        <f>IF(AR17="","",INDEX($L$3:$L$12,MATCH(AR17,$A$3:$A$12,0)))</f>
        <v>1</v>
      </c>
      <c r="AU17" s="16">
        <f>IF(AT17="","",IF(AT17=$L$10,1,0))</f>
        <v>1</v>
      </c>
      <c r="AW17" s="4">
        <v>1</v>
      </c>
      <c r="AX17" s="16" t="str" cm="1">
        <f t="array" ref="AX17">IF($AW17&gt;9,"",INDEX($B$2:$K$2,MATCH(SMALL(IF($B$11:$K$11=0,10^9,$B$11:$K$11)+(COLUMN($B$2:$K$2)-COLUMN($J$2))/10^6,$AW17),IF($B$11:$K$11=0,10^9,$B$11:$K$11)+(COLUMN($B$2:$K$2)-COLUMN($J$2))/10^6,0)))</f>
        <v>S10</v>
      </c>
      <c r="AY17" s="16">
        <f>IF(AX17="","",INDEX($B$11:$K$11,MATCH(AX17,$B$2:$K$2,0)))</f>
        <v>5.5317270000000001</v>
      </c>
      <c r="AZ17" s="16">
        <f>IF(AX17="","",INDEX($L$3:$L$12,MATCH(AX17,$A$3:$A$12,0)))</f>
        <v>2</v>
      </c>
      <c r="BA17" s="16">
        <f>IF(AZ17="","",IF(AZ17=$L$11,1,0))</f>
        <v>1</v>
      </c>
      <c r="BC17" s="4">
        <v>1</v>
      </c>
      <c r="BD17" s="16" t="str" cm="1">
        <f t="array" ref="BD17">IF($BC17&gt;9,"",INDEX($B$2:$K$2,MATCH(SMALL(IF($B$12:$K$12=0,10^9,$B$12:$K$12)+(COLUMN($B$2:$K$2)-COLUMN($K$2))/10^6,$BC17),IF($B$12:$K$12=0,10^9,$B$12:$K$12)+(COLUMN($B$2:$K$2)-COLUMN($K$2))/10^6,0)))</f>
        <v>S9</v>
      </c>
      <c r="BE17" s="16">
        <f>IF(BD17="","",INDEX($B$12:$K$12,MATCH(BD17,$B$2:$K$2,0)))</f>
        <v>5.5317270000000001</v>
      </c>
      <c r="BF17" s="16">
        <f>IF(BD17="","",INDEX($L$3:$L$12,MATCH(BD17,$A$3:$A$12,0)))</f>
        <v>2</v>
      </c>
      <c r="BG17" s="16">
        <f>IF(BF17="","",IF(BF17=$L$12,1,0))</f>
        <v>1</v>
      </c>
    </row>
    <row r="18" spans="1:59" ht="15" customHeight="1" x14ac:dyDescent="0.3">
      <c r="A18" s="4">
        <v>2</v>
      </c>
      <c r="B18" s="16" t="str" cm="1">
        <f t="array" ref="B18">IF($A18&gt;9,"",INDEX($B$2:$K$2,MATCH(SMALL(IF($B$3:$K$3=0,10^9,$B$3:$K$3)+(COLUMN($B$2:$K$2)-COLUMN($B$2))/10^6,$A18),IF($B$3:$K$3=0,10^9,$B$3:$K$3)+(COLUMN($B$2:$K$2)-COLUMN($B$2))/10^6,0)))</f>
        <v>S4</v>
      </c>
      <c r="C18" s="16">
        <f t="shared" ref="C18:C25" si="0">IF(B18="","",INDEX($B$3:$K$3,MATCH(B18,$B$2:$K$2,0)))</f>
        <v>52.837297</v>
      </c>
      <c r="D18" s="16">
        <f t="shared" ref="D18:D25" si="1">IF(B18="","",INDEX($L$3:$L$12,MATCH(B18,$A$3:$A$12,0)))</f>
        <v>1</v>
      </c>
      <c r="E18" s="16">
        <f>IF(D18="","",IF(D18=$L$3,1,0))</f>
        <v>1</v>
      </c>
      <c r="G18" s="4">
        <v>2</v>
      </c>
      <c r="H18" s="16" t="str" cm="1">
        <f t="array" ref="H18">IF($G18&gt;9,"",INDEX($B$2:$K$2,MATCH(SMALL(IF($B$4:$K$4=0,10^9,$B$4:$K$4)+(COLUMN($B$2:$K$2)-COLUMN($C$2))/10^6,$G18),IF($B$4:$K$4=0,10^9,$B$4:$K$4)+(COLUMN($B$2:$K$2)-COLUMN($C$2))/10^6,0)))</f>
        <v>S7</v>
      </c>
      <c r="I18" s="16">
        <f t="shared" ref="I18:I25" si="2">IF(H18="","",INDEX($B$4:$K$4,MATCH(H18,$B$2:$K$2,0)))</f>
        <v>23.750157999999999</v>
      </c>
      <c r="J18" s="16">
        <f t="shared" ref="J18:J25" si="3">IF(H18="","",INDEX($L$3:$L$12,MATCH(H18,$A$3:$A$12,0)))</f>
        <v>1</v>
      </c>
      <c r="K18" s="16">
        <f t="shared" ref="K18:K25" si="4">IF(J18="","",IF(J18=$L$4,1,0))</f>
        <v>1</v>
      </c>
      <c r="M18" s="4">
        <v>2</v>
      </c>
      <c r="N18" s="16" t="str" cm="1">
        <f t="array" ref="N18">IF($M18&gt;9,"",INDEX($B$2:$K$2,MATCH(SMALL(IF($B$5:$K$5=0,10^9,$B$5:$K$5)+(COLUMN($B$2:$K$2)-COLUMN($D$2))/10^6,$M18),IF($B$5:$K$5=0,10^9,$B$5:$K$5)+(COLUMN($B$2:$K$2)-COLUMN($D$2))/10^6,0)))</f>
        <v>S5</v>
      </c>
      <c r="O18" s="16">
        <f t="shared" ref="O18:O25" si="5">IF(N18="","",INDEX($B$5:$K$5,MATCH(N18,$B$2:$K$2,0)))</f>
        <v>30.771740000000001</v>
      </c>
      <c r="P18" s="16">
        <f t="shared" ref="P18:P25" si="6">IF(N18="","",INDEX($L$3:$L$12,MATCH(N18,$A$3:$A$12,0)))</f>
        <v>2</v>
      </c>
      <c r="Q18" s="16">
        <f t="shared" ref="Q18:Q25" si="7">IF(P18="","",IF(P18=$L$5,1,0))</f>
        <v>1</v>
      </c>
      <c r="S18" s="4">
        <v>2</v>
      </c>
      <c r="T18" s="16" t="str" cm="1">
        <f t="array" ref="T18">IF($S18&gt;9,"",INDEX($B$2:$K$2,MATCH(SMALL(IF($B$6:$K$6=0,10^9,$B$6:$K$6)+(COLUMN($B$2:$K$2)-COLUMN($E$2))/10^6,$S18),IF($B$6:$K$6=0,10^9,$B$6:$K$6)+(COLUMN($B$2:$K$2)-COLUMN($E$2))/10^6,0)))</f>
        <v>S6</v>
      </c>
      <c r="U18" s="16">
        <f t="shared" ref="U18:U25" si="8">IF(T18="","",INDEX($B$6:$K$6,MATCH(T18,$B$2:$K$2,0)))</f>
        <v>19.538934999999999</v>
      </c>
      <c r="V18" s="16">
        <f t="shared" ref="V18:V25" si="9">IF(T18="","",INDEX($L$3:$L$12,MATCH(T18,$A$3:$A$12,0)))</f>
        <v>1</v>
      </c>
      <c r="W18" s="16">
        <f t="shared" ref="W18:W25" si="10">IF(V18="","",IF(V18=$L$6,1,0))</f>
        <v>1</v>
      </c>
      <c r="Y18" s="4">
        <v>2</v>
      </c>
      <c r="Z18" s="16" t="str" cm="1">
        <f t="array" ref="Z18">IF($Y18&gt;9,"",INDEX($B$2:$K$2,MATCH(SMALL(IF($B$7:$K$7=0,10^9,$B$7:$K$7)+(COLUMN($B$2:$K$2)-COLUMN($F$2))/10^6,$Y18),IF($B$7:$K$7=0,10^9,$B$7:$K$7)+(COLUMN($B$2:$K$2)-COLUMN($F$2))/10^6,0)))</f>
        <v>S10</v>
      </c>
      <c r="AA18" s="16">
        <f t="shared" ref="AA18:AA25" si="11">IF(Z18="","",INDEX($B$7:$K$7,MATCH(Z18,$B$2:$K$2,0)))</f>
        <v>10.437912000000001</v>
      </c>
      <c r="AB18" s="16">
        <f t="shared" ref="AB18:AB25" si="12">IF(Z18="","",INDEX($L$3:$L$12,MATCH(Z18,$A$3:$A$12,0)))</f>
        <v>2</v>
      </c>
      <c r="AC18" s="16">
        <f t="shared" ref="AC18:AC25" si="13">IF(AB18="","",IF(AB18=$L$7,1,0))</f>
        <v>1</v>
      </c>
      <c r="AE18" s="4">
        <v>2</v>
      </c>
      <c r="AF18" s="16" t="str" cm="1">
        <f t="array" ref="AF18">IF($AE18&gt;9,"",INDEX($B$2:$K$2,MATCH(SMALL(IF($B$8:$K$8=0,10^9,$B$8:$K$8)+(COLUMN($B$2:$K$2)-COLUMN($G$2))/10^6,$AE18),IF($B$8:$K$8=0,10^9,$B$8:$K$8)+(COLUMN($B$2:$K$2)-COLUMN($G$2))/10^6,0)))</f>
        <v>S4</v>
      </c>
      <c r="AG18" s="16">
        <f t="shared" ref="AG18:AG25" si="14">IF(AF18="","",INDEX($B$8:$K$8,MATCH(AF18,$B$2:$K$2,0)))</f>
        <v>19.538934999999999</v>
      </c>
      <c r="AH18" s="16">
        <f t="shared" ref="AH18:AH25" si="15">IF(AF18="","",INDEX($L$3:$L$12,MATCH(AF18,$A$3:$A$12,0)))</f>
        <v>1</v>
      </c>
      <c r="AI18" s="16">
        <f t="shared" ref="AI18:AI25" si="16">IF(AH18="","",IF(AH18=$L$8,1,0))</f>
        <v>1</v>
      </c>
      <c r="AK18" s="4">
        <v>2</v>
      </c>
      <c r="AL18" s="16" t="str" cm="1">
        <f t="array" ref="AL18">IF($AK18&gt;9,"",INDEX($B$2:$K$2,MATCH(SMALL(IF($B$9:$K$9=0,10^9,$B$9:$K$9)+(COLUMN($B$2:$K$2)-COLUMN($H$2))/10^6,$AK18),IF($B$9:$K$9=0,10^9,$B$9:$K$9)+(COLUMN($B$2:$K$2)-COLUMN($H$2))/10^6,0)))</f>
        <v>S4</v>
      </c>
      <c r="AM18" s="16">
        <f t="shared" ref="AM18:AM25" si="17">IF(AL18="","",INDEX($B$9:$K$9,MATCH(AL18,$B$2:$K$2,0)))</f>
        <v>19.547122999999999</v>
      </c>
      <c r="AN18" s="16">
        <f t="shared" ref="AN18:AN25" si="18">IF(AL18="","",INDEX($L$3:$L$12,MATCH(AL18,$A$3:$A$12,0)))</f>
        <v>1</v>
      </c>
      <c r="AO18" s="16">
        <f t="shared" ref="AO18:AO25" si="19">IF(AN18="","",IF(AN18=$L$9,1,0))</f>
        <v>1</v>
      </c>
      <c r="AQ18" s="4">
        <v>2</v>
      </c>
      <c r="AR18" s="16" t="str" cm="1">
        <f t="array" ref="AR18">IF($AQ18&gt;9,"",INDEX($B$2:$K$2,MATCH(SMALL(IF($B$10:$K$10=0,10^9,$B$10:$K$10)+(COLUMN($B$2:$K$2)-COLUMN($I$2))/10^6,$AQ18),IF($B$10:$K$10=0,10^9,$B$10:$K$10)+(COLUMN($B$2:$K$2)-COLUMN($I$2))/10^6,0)))</f>
        <v>S4</v>
      </c>
      <c r="AS18" s="16">
        <f t="shared" ref="AS18:AS25" si="20">IF(AR18="","",INDEX($B$10:$K$10,MATCH(AR18,$B$2:$K$2,0)))</f>
        <v>14.688770999999999</v>
      </c>
      <c r="AT18" s="16">
        <f t="shared" ref="AT18:AT25" si="21">IF(AR18="","",INDEX($L$3:$L$12,MATCH(AR18,$A$3:$A$12,0)))</f>
        <v>1</v>
      </c>
      <c r="AU18" s="16">
        <f t="shared" ref="AU18:AU25" si="22">IF(AT18="","",IF(AT18=$L$10,1,0))</f>
        <v>1</v>
      </c>
      <c r="AW18" s="4">
        <v>2</v>
      </c>
      <c r="AX18" s="16" t="str" cm="1">
        <f t="array" ref="AX18">IF($AW18&gt;9,"",INDEX($B$2:$K$2,MATCH(SMALL(IF($B$11:$K$11=0,10^9,$B$11:$K$11)+(COLUMN($B$2:$K$2)-COLUMN($J$2))/10^6,$AW18),IF($B$11:$K$11=0,10^9,$B$11:$K$11)+(COLUMN($B$2:$K$2)-COLUMN($J$2))/10^6,0)))</f>
        <v>S5</v>
      </c>
      <c r="AY18" s="16">
        <f t="shared" ref="AY18:AY25" si="23">IF(AX18="","",INDEX($B$11:$K$11,MATCH(AX18,$B$2:$K$2,0)))</f>
        <v>7.1547190000000001</v>
      </c>
      <c r="AZ18" s="16">
        <f t="shared" ref="AZ18:AZ25" si="24">IF(AX18="","",INDEX($L$3:$L$12,MATCH(AX18,$A$3:$A$12,0)))</f>
        <v>2</v>
      </c>
      <c r="BA18" s="16">
        <f t="shared" ref="BA18:BA25" si="25">IF(AZ18="","",IF(AZ18=$L$11,1,0))</f>
        <v>1</v>
      </c>
      <c r="BC18" s="4">
        <v>2</v>
      </c>
      <c r="BD18" s="16" t="str" cm="1">
        <f t="array" ref="BD18">IF($BC18&gt;9,"",INDEX($B$2:$K$2,MATCH(SMALL(IF($B$12:$K$12=0,10^9,$B$12:$K$12)+(COLUMN($B$2:$K$2)-COLUMN($K$2))/10^6,$BC18),IF($B$12:$K$12=0,10^9,$B$12:$K$12)+(COLUMN($B$2:$K$2)-COLUMN($K$2))/10^6,0)))</f>
        <v>S5</v>
      </c>
      <c r="BE18" s="16">
        <f t="shared" ref="BE18:BE25" si="26">IF(BD18="","",INDEX($B$12:$K$12,MATCH(BD18,$B$2:$K$2,0)))</f>
        <v>10.437912000000001</v>
      </c>
      <c r="BF18" s="16">
        <f t="shared" ref="BF18:BF25" si="27">IF(BD18="","",INDEX($L$3:$L$12,MATCH(BD18,$A$3:$A$12,0)))</f>
        <v>2</v>
      </c>
      <c r="BG18" s="16">
        <f t="shared" ref="BG18:BG25" si="28">IF(BF18="","",IF(BF18=$L$12,1,0))</f>
        <v>1</v>
      </c>
    </row>
    <row r="19" spans="1:59" ht="15" customHeight="1" x14ac:dyDescent="0.3">
      <c r="A19" s="4">
        <v>3</v>
      </c>
      <c r="B19" s="16" t="str" cm="1">
        <f t="array" ref="B19">IF($A19&gt;9,"",INDEX($B$2:$K$2,MATCH(SMALL(IF($B$3:$K$3=0,10^9,$B$3:$K$3)+(COLUMN($B$2:$K$2)-COLUMN($B$2))/10^6,$A19),IF($B$3:$K$3=0,10^9,$B$3:$K$3)+(COLUMN($B$2:$K$2)-COLUMN($B$2))/10^6,0)))</f>
        <v>S7</v>
      </c>
      <c r="C19" s="16">
        <f t="shared" si="0"/>
        <v>53.987127999999998</v>
      </c>
      <c r="D19" s="16">
        <f t="shared" si="1"/>
        <v>1</v>
      </c>
      <c r="E19" s="16">
        <f>IF(D19="","",IF(D19=$L$3,1,0))</f>
        <v>1</v>
      </c>
      <c r="G19" s="4">
        <v>3</v>
      </c>
      <c r="H19" s="16" t="str" cm="1">
        <f t="array" ref="H19">IF($G19&gt;9,"",INDEX($B$2:$K$2,MATCH(SMALL(IF($B$4:$K$4=0,10^9,$B$4:$K$4)+(COLUMN($B$2:$K$2)-COLUMN($C$2))/10^6,$G19),IF($B$4:$K$4=0,10^9,$B$4:$K$4)+(COLUMN($B$2:$K$2)-COLUMN($C$2))/10^6,0)))</f>
        <v>S8</v>
      </c>
      <c r="I19" s="16">
        <f t="shared" si="2"/>
        <v>26.300951000000001</v>
      </c>
      <c r="J19" s="16">
        <f t="shared" si="3"/>
        <v>1</v>
      </c>
      <c r="K19" s="16">
        <f>IF(J19="","",IF(J19=$L$4,1,0))</f>
        <v>1</v>
      </c>
      <c r="M19" s="4">
        <v>3</v>
      </c>
      <c r="N19" s="16" t="str" cm="1">
        <f t="array" ref="N19">IF($M19&gt;9,"",INDEX($B$2:$K$2,MATCH(SMALL(IF($B$5:$K$5=0,10^9,$B$5:$K$5)+(COLUMN($B$2:$K$2)-COLUMN($D$2))/10^6,$M19),IF($B$5:$K$5=0,10^9,$B$5:$K$5)+(COLUMN($B$2:$K$2)-COLUMN($D$2))/10^6,0)))</f>
        <v>S9</v>
      </c>
      <c r="O19" s="16">
        <f t="shared" si="5"/>
        <v>34.828867000000002</v>
      </c>
      <c r="P19" s="16">
        <f t="shared" si="6"/>
        <v>2</v>
      </c>
      <c r="Q19" s="16">
        <f t="shared" si="7"/>
        <v>1</v>
      </c>
      <c r="S19" s="4">
        <v>3</v>
      </c>
      <c r="T19" s="16" t="str" cm="1">
        <f t="array" ref="T19">IF($S19&gt;9,"",INDEX($B$2:$K$2,MATCH(SMALL(IF($B$6:$K$6=0,10^9,$B$6:$K$6)+(COLUMN($B$2:$K$2)-COLUMN($E$2))/10^6,$S19),IF($B$6:$K$6=0,10^9,$B$6:$K$6)+(COLUMN($B$2:$K$2)-COLUMN($E$2))/10^6,0)))</f>
        <v>S7</v>
      </c>
      <c r="U19" s="16">
        <f t="shared" si="8"/>
        <v>19.547122999999999</v>
      </c>
      <c r="V19" s="16">
        <f t="shared" si="9"/>
        <v>1</v>
      </c>
      <c r="W19" s="16">
        <f t="shared" si="10"/>
        <v>1</v>
      </c>
      <c r="Y19" s="4">
        <v>3</v>
      </c>
      <c r="Z19" s="16" t="str" cm="1">
        <f t="array" ref="Z19">IF($Y19&gt;9,"",INDEX($B$2:$K$2,MATCH(SMALL(IF($B$7:$K$7=0,10^9,$B$7:$K$7)+(COLUMN($B$2:$K$2)-COLUMN($F$2))/10^6,$Y19),IF($B$7:$K$7=0,10^9,$B$7:$K$7)+(COLUMN($B$2:$K$2)-COLUMN($F$2))/10^6,0)))</f>
        <v>S3</v>
      </c>
      <c r="AA19" s="16">
        <f t="shared" si="11"/>
        <v>30.771740000000001</v>
      </c>
      <c r="AB19" s="16">
        <f t="shared" si="12"/>
        <v>2</v>
      </c>
      <c r="AC19" s="16">
        <f t="shared" si="13"/>
        <v>1</v>
      </c>
      <c r="AE19" s="4">
        <v>3</v>
      </c>
      <c r="AF19" s="16" t="str" cm="1">
        <f t="array" ref="AF19">IF($AE19&gt;9,"",INDEX($B$2:$K$2,MATCH(SMALL(IF($B$8:$K$8=0,10^9,$B$8:$K$8)+(COLUMN($B$2:$K$2)-COLUMN($G$2))/10^6,$AE19),IF($B$8:$K$8=0,10^9,$B$8:$K$8)+(COLUMN($B$2:$K$2)-COLUMN($G$2))/10^6,0)))</f>
        <v>S8</v>
      </c>
      <c r="AG19" s="16">
        <f t="shared" si="14"/>
        <v>28.659552999999999</v>
      </c>
      <c r="AH19" s="16">
        <f t="shared" si="15"/>
        <v>1</v>
      </c>
      <c r="AI19" s="16">
        <f t="shared" si="16"/>
        <v>1</v>
      </c>
      <c r="AK19" s="4">
        <v>3</v>
      </c>
      <c r="AL19" s="16" t="str" cm="1">
        <f t="array" ref="AL19">IF($AK19&gt;9,"",INDEX($B$2:$K$2,MATCH(SMALL(IF($B$9:$K$9=0,10^9,$B$9:$K$9)+(COLUMN($B$2:$K$2)-COLUMN($H$2))/10^6,$AK19),IF($B$9:$K$9=0,10^9,$B$9:$K$9)+(COLUMN($B$2:$K$2)-COLUMN($H$2))/10^6,0)))</f>
        <v>S2</v>
      </c>
      <c r="AM19" s="16">
        <f t="shared" si="17"/>
        <v>23.750157999999999</v>
      </c>
      <c r="AN19" s="16">
        <f t="shared" si="18"/>
        <v>1</v>
      </c>
      <c r="AO19" s="16">
        <f t="shared" si="19"/>
        <v>1</v>
      </c>
      <c r="AQ19" s="4">
        <v>3</v>
      </c>
      <c r="AR19" s="16" t="str" cm="1">
        <f t="array" ref="AR19">IF($AQ19&gt;9,"",INDEX($B$2:$K$2,MATCH(SMALL(IF($B$10:$K$10=0,10^9,$B$10:$K$10)+(COLUMN($B$2:$K$2)-COLUMN($I$2))/10^6,$AQ19),IF($B$10:$K$10=0,10^9,$B$10:$K$10)+(COLUMN($B$2:$K$2)-COLUMN($I$2))/10^6,0)))</f>
        <v>S2</v>
      </c>
      <c r="AS19" s="16">
        <f t="shared" si="20"/>
        <v>26.300951000000001</v>
      </c>
      <c r="AT19" s="16">
        <f t="shared" si="21"/>
        <v>1</v>
      </c>
      <c r="AU19" s="16">
        <f t="shared" si="22"/>
        <v>1</v>
      </c>
      <c r="AW19" s="4">
        <v>3</v>
      </c>
      <c r="AX19" s="16" t="str" cm="1">
        <f t="array" ref="AX19">IF($AW19&gt;9,"",INDEX($B$2:$K$2,MATCH(SMALL(IF($B$11:$K$11=0,10^9,$B$11:$K$11)+(COLUMN($B$2:$K$2)-COLUMN($J$2))/10^6,$AW19),IF($B$11:$K$11=0,10^9,$B$11:$K$11)+(COLUMN($B$2:$K$2)-COLUMN($J$2))/10^6,0)))</f>
        <v>S3</v>
      </c>
      <c r="AY19" s="16">
        <f t="shared" si="23"/>
        <v>34.828867000000002</v>
      </c>
      <c r="AZ19" s="16">
        <f t="shared" si="24"/>
        <v>2</v>
      </c>
      <c r="BA19" s="16">
        <f t="shared" si="25"/>
        <v>1</v>
      </c>
      <c r="BC19" s="4">
        <v>3</v>
      </c>
      <c r="BD19" s="16" t="str" cm="1">
        <f t="array" ref="BD19">IF($BC19&gt;9,"",INDEX($B$2:$K$2,MATCH(SMALL(IF($B$12:$K$12=0,10^9,$B$12:$K$12)+(COLUMN($B$2:$K$2)-COLUMN($K$2))/10^6,$BC19),IF($B$12:$K$12=0,10^9,$B$12:$K$12)+(COLUMN($B$2:$K$2)-COLUMN($K$2))/10^6,0)))</f>
        <v>S3</v>
      </c>
      <c r="BE19" s="16">
        <f t="shared" si="26"/>
        <v>39.151116999999999</v>
      </c>
      <c r="BF19" s="16">
        <f t="shared" si="27"/>
        <v>2</v>
      </c>
      <c r="BG19" s="16">
        <f t="shared" si="28"/>
        <v>1</v>
      </c>
    </row>
    <row r="20" spans="1:59" ht="15" customHeight="1" x14ac:dyDescent="0.3">
      <c r="A20" s="4">
        <v>4</v>
      </c>
      <c r="B20" s="16" t="str" cm="1">
        <f t="array" ref="B20">IF($A20&gt;9,"",INDEX($B$2:$K$2,MATCH(SMALL(IF($B$3:$K$3=0,10^9,$B$3:$K$3)+(COLUMN($B$2:$K$2)-COLUMN($B$2))/10^6,$A20),IF($B$3:$K$3=0,10^9,$B$3:$K$3)+(COLUMN($B$2:$K$2)-COLUMN($B$2))/10^6,0)))</f>
        <v>S8</v>
      </c>
      <c r="C20" s="16">
        <f t="shared" si="0"/>
        <v>57.210662999999997</v>
      </c>
      <c r="D20" s="16">
        <f t="shared" si="1"/>
        <v>1</v>
      </c>
      <c r="E20" s="16">
        <f t="shared" ref="E20:E25" si="29">IF(D20="","",IF(D20=$L$3,1,0))</f>
        <v>1</v>
      </c>
      <c r="G20" s="4">
        <v>4</v>
      </c>
      <c r="H20" s="16" t="str" cm="1">
        <f t="array" ref="H20">IF($G20&gt;9,"",INDEX($B$2:$K$2,MATCH(SMALL(IF($B$4:$K$4=0,10^9,$B$4:$K$4)+(COLUMN($B$2:$K$2)-COLUMN($C$2))/10^6,$G20),IF($B$4:$K$4=0,10^9,$B$4:$K$4)+(COLUMN($B$2:$K$2)-COLUMN($C$2))/10^6,0)))</f>
        <v>S1</v>
      </c>
      <c r="I20" s="16">
        <f t="shared" si="2"/>
        <v>33.294744000000001</v>
      </c>
      <c r="J20" s="16">
        <f t="shared" si="3"/>
        <v>1</v>
      </c>
      <c r="K20" s="16">
        <f t="shared" si="4"/>
        <v>1</v>
      </c>
      <c r="M20" s="4">
        <v>4</v>
      </c>
      <c r="N20" s="16" t="str" cm="1">
        <f t="array" ref="N20">IF($M20&gt;9,"",INDEX($B$2:$K$2,MATCH(SMALL(IF($B$5:$K$5=0,10^9,$B$5:$K$5)+(COLUMN($B$2:$K$2)-COLUMN($D$2))/10^6,$M20),IF($B$5:$K$5=0,10^9,$B$5:$K$5)+(COLUMN($B$2:$K$2)-COLUMN($D$2))/10^6,0)))</f>
        <v>S4</v>
      </c>
      <c r="O20" s="16">
        <f t="shared" si="5"/>
        <v>34.882373999999999</v>
      </c>
      <c r="P20" s="16">
        <f t="shared" si="6"/>
        <v>1</v>
      </c>
      <c r="Q20" s="16">
        <f t="shared" si="7"/>
        <v>0</v>
      </c>
      <c r="S20" s="4">
        <v>4</v>
      </c>
      <c r="T20" s="16" t="str" cm="1">
        <f t="array" ref="T20">IF($S20&gt;9,"",INDEX($B$2:$K$2,MATCH(SMALL(IF($B$6:$K$6=0,10^9,$B$6:$K$6)+(COLUMN($B$2:$K$2)-COLUMN($E$2))/10^6,$S20),IF($B$6:$K$6=0,10^9,$B$6:$K$6)+(COLUMN($B$2:$K$2)-COLUMN($E$2))/10^6,0)))</f>
        <v>S2</v>
      </c>
      <c r="U20" s="16">
        <f t="shared" si="8"/>
        <v>21.409811000000001</v>
      </c>
      <c r="V20" s="16">
        <f t="shared" si="9"/>
        <v>1</v>
      </c>
      <c r="W20" s="16">
        <f t="shared" si="10"/>
        <v>1</v>
      </c>
      <c r="Y20" s="4">
        <v>4</v>
      </c>
      <c r="Z20" s="16" t="str" cm="1">
        <f t="array" ref="Z20">IF($Y20&gt;9,"",INDEX($B$2:$K$2,MATCH(SMALL(IF($B$7:$K$7=0,10^9,$B$7:$K$7)+(COLUMN($B$2:$K$2)-COLUMN($F$2))/10^6,$Y20),IF($B$7:$K$7=0,10^9,$B$7:$K$7)+(COLUMN($B$2:$K$2)-COLUMN($F$2))/10^6,0)))</f>
        <v>S6</v>
      </c>
      <c r="AA20" s="16">
        <f t="shared" si="11"/>
        <v>45.985759000000002</v>
      </c>
      <c r="AB20" s="16">
        <f t="shared" si="12"/>
        <v>1</v>
      </c>
      <c r="AC20" s="16">
        <f t="shared" si="13"/>
        <v>0</v>
      </c>
      <c r="AE20" s="4">
        <v>4</v>
      </c>
      <c r="AF20" s="16" t="str" cm="1">
        <f t="array" ref="AF20">IF($AE20&gt;9,"",INDEX($B$2:$K$2,MATCH(SMALL(IF($B$8:$K$8=0,10^9,$B$8:$K$8)+(COLUMN($B$2:$K$2)-COLUMN($G$2))/10^6,$AE20),IF($B$8:$K$8=0,10^9,$B$8:$K$8)+(COLUMN($B$2:$K$2)-COLUMN($G$2))/10^6,0)))</f>
        <v>S7</v>
      </c>
      <c r="AG20" s="16">
        <f t="shared" si="14"/>
        <v>35.106124999999999</v>
      </c>
      <c r="AH20" s="16">
        <f t="shared" si="15"/>
        <v>1</v>
      </c>
      <c r="AI20" s="16">
        <f t="shared" si="16"/>
        <v>1</v>
      </c>
      <c r="AK20" s="4">
        <v>4</v>
      </c>
      <c r="AL20" s="16" t="str" cm="1">
        <f t="array" ref="AL20">IF($AK20&gt;9,"",INDEX($B$2:$K$2,MATCH(SMALL(IF($B$9:$K$9=0,10^9,$B$9:$K$9)+(COLUMN($B$2:$K$2)-COLUMN($H$2))/10^6,$AK20),IF($B$9:$K$9=0,10^9,$B$9:$K$9)+(COLUMN($B$2:$K$2)-COLUMN($H$2))/10^6,0)))</f>
        <v>S6</v>
      </c>
      <c r="AM20" s="16">
        <f t="shared" si="17"/>
        <v>35.106124999999999</v>
      </c>
      <c r="AN20" s="16">
        <f t="shared" si="18"/>
        <v>1</v>
      </c>
      <c r="AO20" s="16">
        <f t="shared" si="19"/>
        <v>1</v>
      </c>
      <c r="AQ20" s="4">
        <v>4</v>
      </c>
      <c r="AR20" s="16" t="str" cm="1">
        <f t="array" ref="AR20">IF($AQ20&gt;9,"",INDEX($B$2:$K$2,MATCH(SMALL(IF($B$10:$K$10=0,10^9,$B$10:$K$10)+(COLUMN($B$2:$K$2)-COLUMN($I$2))/10^6,$AQ20),IF($B$10:$K$10=0,10^9,$B$10:$K$10)+(COLUMN($B$2:$K$2)-COLUMN($I$2))/10^6,0)))</f>
        <v>S6</v>
      </c>
      <c r="AS20" s="16">
        <f t="shared" si="20"/>
        <v>28.659552999999999</v>
      </c>
      <c r="AT20" s="16">
        <f t="shared" si="21"/>
        <v>1</v>
      </c>
      <c r="AU20" s="16">
        <f t="shared" si="22"/>
        <v>1</v>
      </c>
      <c r="AW20" s="4">
        <v>4</v>
      </c>
      <c r="AX20" s="16" t="str" cm="1">
        <f t="array" ref="AX20">IF($AW20&gt;9,"",INDEX($B$2:$K$2,MATCH(SMALL(IF($B$11:$K$11=0,10^9,$B$11:$K$11)+(COLUMN($B$2:$K$2)-COLUMN($J$2))/10^6,$AW20),IF($B$11:$K$11=0,10^9,$B$11:$K$11)+(COLUMN($B$2:$K$2)-COLUMN($J$2))/10^6,0)))</f>
        <v>S6</v>
      </c>
      <c r="AY20" s="16">
        <f t="shared" si="23"/>
        <v>50.086126</v>
      </c>
      <c r="AZ20" s="16">
        <f t="shared" si="24"/>
        <v>1</v>
      </c>
      <c r="BA20" s="16">
        <f t="shared" si="25"/>
        <v>0</v>
      </c>
      <c r="BC20" s="4">
        <v>4</v>
      </c>
      <c r="BD20" s="16" t="str" cm="1">
        <f t="array" ref="BD20">IF($BC20&gt;9,"",INDEX($B$2:$K$2,MATCH(SMALL(IF($B$12:$K$12=0,10^9,$B$12:$K$12)+(COLUMN($B$2:$K$2)-COLUMN($K$2))/10^6,$BC20),IF($B$12:$K$12=0,10^9,$B$12:$K$12)+(COLUMN($B$2:$K$2)-COLUMN($K$2))/10^6,0)))</f>
        <v>S6</v>
      </c>
      <c r="BE20" s="16">
        <f t="shared" si="26"/>
        <v>54.068289999999998</v>
      </c>
      <c r="BF20" s="16">
        <f t="shared" si="27"/>
        <v>1</v>
      </c>
      <c r="BG20" s="16">
        <f t="shared" si="28"/>
        <v>0</v>
      </c>
    </row>
    <row r="21" spans="1:59" ht="15" customHeight="1" x14ac:dyDescent="0.3">
      <c r="A21" s="4">
        <v>5</v>
      </c>
      <c r="B21" s="16" t="str" cm="1">
        <f t="array" ref="B21">IF($A21&gt;9,"",INDEX($B$2:$K$2,MATCH(SMALL(IF($B$3:$K$3=0,10^9,$B$3:$K$3)+(COLUMN($B$2:$K$2)-COLUMN($B$2))/10^6,$A21),IF($B$3:$K$3=0,10^9,$B$3:$K$3)+(COLUMN($B$2:$K$2)-COLUMN($B$2))/10^6,0)))</f>
        <v>S6</v>
      </c>
      <c r="C21" s="16">
        <f t="shared" si="0"/>
        <v>69.816974999999999</v>
      </c>
      <c r="D21" s="16">
        <f t="shared" si="1"/>
        <v>1</v>
      </c>
      <c r="E21" s="16">
        <f t="shared" si="29"/>
        <v>1</v>
      </c>
      <c r="G21" s="4">
        <v>5</v>
      </c>
      <c r="H21" s="16" t="str" cm="1">
        <f t="array" ref="H21">IF($G21&gt;9,"",INDEX($B$2:$K$2,MATCH(SMALL(IF($B$4:$K$4=0,10^9,$B$4:$K$4)+(COLUMN($B$2:$K$2)-COLUMN($C$2))/10^6,$G21),IF($B$4:$K$4=0,10^9,$B$4:$K$4)+(COLUMN($B$2:$K$2)-COLUMN($C$2))/10^6,0)))</f>
        <v>S6</v>
      </c>
      <c r="I21" s="16">
        <f t="shared" si="2"/>
        <v>39.609972999999997</v>
      </c>
      <c r="J21" s="16">
        <f t="shared" si="3"/>
        <v>1</v>
      </c>
      <c r="K21" s="16">
        <f t="shared" si="4"/>
        <v>1</v>
      </c>
      <c r="M21" s="4">
        <v>5</v>
      </c>
      <c r="N21" s="16" t="str" cm="1">
        <f t="array" ref="N21">IF($M21&gt;9,"",INDEX($B$2:$K$2,MATCH(SMALL(IF($B$5:$K$5=0,10^9,$B$5:$K$5)+(COLUMN($B$2:$K$2)-COLUMN($D$2))/10^6,$M21),IF($B$5:$K$5=0,10^9,$B$5:$K$5)+(COLUMN($B$2:$K$2)-COLUMN($D$2))/10^6,0)))</f>
        <v>S10</v>
      </c>
      <c r="O21" s="16">
        <f t="shared" si="5"/>
        <v>39.151116999999999</v>
      </c>
      <c r="P21" s="16">
        <f t="shared" si="6"/>
        <v>2</v>
      </c>
      <c r="Q21" s="16">
        <f t="shared" si="7"/>
        <v>1</v>
      </c>
      <c r="S21" s="4">
        <v>5</v>
      </c>
      <c r="T21" s="16" t="str" cm="1">
        <f t="array" ref="T21">IF($S21&gt;9,"",INDEX($B$2:$K$2,MATCH(SMALL(IF($B$6:$K$6=0,10^9,$B$6:$K$6)+(COLUMN($B$2:$K$2)-COLUMN($E$2))/10^6,$S21),IF($B$6:$K$6=0,10^9,$B$6:$K$6)+(COLUMN($B$2:$K$2)-COLUMN($E$2))/10^6,0)))</f>
        <v>S3</v>
      </c>
      <c r="U21" s="16">
        <f t="shared" si="8"/>
        <v>34.882373999999999</v>
      </c>
      <c r="V21" s="16">
        <f t="shared" si="9"/>
        <v>2</v>
      </c>
      <c r="W21" s="16">
        <f t="shared" si="10"/>
        <v>0</v>
      </c>
      <c r="Y21" s="4">
        <v>5</v>
      </c>
      <c r="Z21" s="16" t="str" cm="1">
        <f t="array" ref="Z21">IF($Y21&gt;9,"",INDEX($B$2:$K$2,MATCH(SMALL(IF($B$7:$K$7=0,10^9,$B$7:$K$7)+(COLUMN($B$2:$K$2)-COLUMN($F$2))/10^6,$Y21),IF($B$7:$K$7=0,10^9,$B$7:$K$7)+(COLUMN($B$2:$K$2)-COLUMN($F$2))/10^6,0)))</f>
        <v>S4</v>
      </c>
      <c r="AA21" s="16">
        <f t="shared" si="11"/>
        <v>65.205061000000001</v>
      </c>
      <c r="AB21" s="16">
        <f t="shared" si="12"/>
        <v>1</v>
      </c>
      <c r="AC21" s="16">
        <f t="shared" si="13"/>
        <v>0</v>
      </c>
      <c r="AE21" s="4">
        <v>5</v>
      </c>
      <c r="AF21" s="16" t="str" cm="1">
        <f t="array" ref="AF21">IF($AE21&gt;9,"",INDEX($B$2:$K$2,MATCH(SMALL(IF($B$8:$K$8=0,10^9,$B$8:$K$8)+(COLUMN($B$2:$K$2)-COLUMN($G$2))/10^6,$AE21),IF($B$8:$K$8=0,10^9,$B$8:$K$8)+(COLUMN($B$2:$K$2)-COLUMN($G$2))/10^6,0)))</f>
        <v>S2</v>
      </c>
      <c r="AG21" s="16">
        <f t="shared" si="14"/>
        <v>39.609972999999997</v>
      </c>
      <c r="AH21" s="16">
        <f t="shared" si="15"/>
        <v>1</v>
      </c>
      <c r="AI21" s="16">
        <f t="shared" si="16"/>
        <v>1</v>
      </c>
      <c r="AK21" s="4">
        <v>5</v>
      </c>
      <c r="AL21" s="16" t="str" cm="1">
        <f t="array" ref="AL21">IF($AK21&gt;9,"",INDEX($B$2:$K$2,MATCH(SMALL(IF($B$9:$K$9=0,10^9,$B$9:$K$9)+(COLUMN($B$2:$K$2)-COLUMN($H$2))/10^6,$AK21),IF($B$9:$K$9=0,10^9,$B$9:$K$9)+(COLUMN($B$2:$K$2)-COLUMN($H$2))/10^6,0)))</f>
        <v>S3</v>
      </c>
      <c r="AM21" s="16">
        <f t="shared" si="17"/>
        <v>49.288030999999997</v>
      </c>
      <c r="AN21" s="16">
        <f t="shared" si="18"/>
        <v>2</v>
      </c>
      <c r="AO21" s="16">
        <f t="shared" si="19"/>
        <v>0</v>
      </c>
      <c r="AQ21" s="4">
        <v>5</v>
      </c>
      <c r="AR21" s="16" t="str" cm="1">
        <f t="array" ref="AR21">IF($AQ21&gt;9,"",INDEX($B$2:$K$2,MATCH(SMALL(IF($B$10:$K$10=0,10^9,$B$10:$K$10)+(COLUMN($B$2:$K$2)-COLUMN($I$2))/10^6,$AQ21),IF($B$10:$K$10=0,10^9,$B$10:$K$10)+(COLUMN($B$2:$K$2)-COLUMN($I$2))/10^6,0)))</f>
        <v>S3</v>
      </c>
      <c r="AS21" s="16">
        <f t="shared" si="20"/>
        <v>41.646849000000003</v>
      </c>
      <c r="AT21" s="16">
        <f t="shared" si="21"/>
        <v>2</v>
      </c>
      <c r="AU21" s="16">
        <f t="shared" si="22"/>
        <v>0</v>
      </c>
      <c r="AW21" s="4">
        <v>5</v>
      </c>
      <c r="AX21" s="16" t="str" cm="1">
        <f t="array" ref="AX21">IF($AW21&gt;9,"",INDEX($B$2:$K$2,MATCH(SMALL(IF($B$11:$K$11=0,10^9,$B$11:$K$11)+(COLUMN($B$2:$K$2)-COLUMN($J$2))/10^6,$AW21),IF($B$11:$K$11=0,10^9,$B$11:$K$11)+(COLUMN($B$2:$K$2)-COLUMN($J$2))/10^6,0)))</f>
        <v>S4</v>
      </c>
      <c r="AY21" s="16">
        <f t="shared" si="23"/>
        <v>69.067285999999996</v>
      </c>
      <c r="AZ21" s="16">
        <f t="shared" si="24"/>
        <v>1</v>
      </c>
      <c r="BA21" s="16">
        <f t="shared" si="25"/>
        <v>0</v>
      </c>
      <c r="BC21" s="4">
        <v>5</v>
      </c>
      <c r="BD21" s="16" t="str" cm="1">
        <f t="array" ref="BD21">IF($BC21&gt;9,"",INDEX($B$2:$K$2,MATCH(SMALL(IF($B$12:$K$12=0,10^9,$B$12:$K$12)+(COLUMN($B$2:$K$2)-COLUMN($K$2))/10^6,$BC21),IF($B$12:$K$12=0,10^9,$B$12:$K$12)+(COLUMN($B$2:$K$2)-COLUMN($K$2))/10^6,0)))</f>
        <v>S4</v>
      </c>
      <c r="BE21" s="16">
        <f t="shared" si="26"/>
        <v>73.206351999999995</v>
      </c>
      <c r="BF21" s="16">
        <f t="shared" si="27"/>
        <v>1</v>
      </c>
      <c r="BG21" s="16">
        <f t="shared" si="28"/>
        <v>0</v>
      </c>
    </row>
    <row r="22" spans="1:59" ht="15" customHeight="1" x14ac:dyDescent="0.3">
      <c r="A22" s="4">
        <v>6</v>
      </c>
      <c r="B22" s="16" t="str" cm="1">
        <f t="array" ref="B22">IF($A22&gt;9,"",INDEX($B$2:$K$2,MATCH(SMALL(IF($B$3:$K$3=0,10^9,$B$3:$K$3)+(COLUMN($B$2:$K$2)-COLUMN($B$2))/10^6,$A22),IF($B$3:$K$3=0,10^9,$B$3:$K$3)+(COLUMN($B$2:$K$2)-COLUMN($B$2))/10^6,0)))</f>
        <v>S3</v>
      </c>
      <c r="C22" s="16">
        <f t="shared" si="0"/>
        <v>84.512366</v>
      </c>
      <c r="D22" s="16">
        <f t="shared" si="1"/>
        <v>2</v>
      </c>
      <c r="E22" s="16">
        <f t="shared" si="29"/>
        <v>0</v>
      </c>
      <c r="G22" s="4">
        <v>6</v>
      </c>
      <c r="H22" s="16" t="str" cm="1">
        <f t="array" ref="H22">IF($G22&gt;9,"",INDEX($B$2:$K$2,MATCH(SMALL(IF($B$4:$K$4=0,10^9,$B$4:$K$4)+(COLUMN($B$2:$K$2)-COLUMN($C$2))/10^6,$G22),IF($B$4:$K$4=0,10^9,$B$4:$K$4)+(COLUMN($B$2:$K$2)-COLUMN($C$2))/10^6,0)))</f>
        <v>S3</v>
      </c>
      <c r="I22" s="16">
        <f t="shared" si="2"/>
        <v>54.899545000000003</v>
      </c>
      <c r="J22" s="16">
        <f t="shared" si="3"/>
        <v>2</v>
      </c>
      <c r="K22" s="16">
        <f t="shared" si="4"/>
        <v>0</v>
      </c>
      <c r="M22" s="4">
        <v>6</v>
      </c>
      <c r="N22" s="16" t="str" cm="1">
        <f t="array" ref="N22">IF($M22&gt;9,"",INDEX($B$2:$K$2,MATCH(SMALL(IF($B$5:$K$5=0,10^9,$B$5:$K$5)+(COLUMN($B$2:$K$2)-COLUMN($D$2))/10^6,$M22),IF($B$5:$K$5=0,10^9,$B$5:$K$5)+(COLUMN($B$2:$K$2)-COLUMN($D$2))/10^6,0)))</f>
        <v>S8</v>
      </c>
      <c r="O22" s="16">
        <f t="shared" si="5"/>
        <v>41.646849000000003</v>
      </c>
      <c r="P22" s="16">
        <f t="shared" si="6"/>
        <v>1</v>
      </c>
      <c r="Q22" s="16">
        <f t="shared" si="7"/>
        <v>0</v>
      </c>
      <c r="S22" s="4">
        <v>6</v>
      </c>
      <c r="T22" s="16" t="str" cm="1">
        <f t="array" ref="T22">IF($S22&gt;9,"",INDEX($B$2:$K$2,MATCH(SMALL(IF($B$6:$K$6=0,10^9,$B$6:$K$6)+(COLUMN($B$2:$K$2)-COLUMN($E$2))/10^6,$S22),IF($B$6:$K$6=0,10^9,$B$6:$K$6)+(COLUMN($B$2:$K$2)-COLUMN($E$2))/10^6,0)))</f>
        <v>S1</v>
      </c>
      <c r="U22" s="16">
        <f t="shared" si="8"/>
        <v>52.837297</v>
      </c>
      <c r="V22" s="16">
        <f t="shared" si="9"/>
        <v>1</v>
      </c>
      <c r="W22" s="16">
        <f t="shared" si="10"/>
        <v>1</v>
      </c>
      <c r="Y22" s="4">
        <v>6</v>
      </c>
      <c r="Z22" s="16" t="str" cm="1">
        <f t="array" ref="Z22">IF($Y22&gt;9,"",INDEX($B$2:$K$2,MATCH(SMALL(IF($B$7:$K$7=0,10^9,$B$7:$K$7)+(COLUMN($B$2:$K$2)-COLUMN($F$2))/10^6,$Y22),IF($B$7:$K$7=0,10^9,$B$7:$K$7)+(COLUMN($B$2:$K$2)-COLUMN($F$2))/10^6,0)))</f>
        <v>S8</v>
      </c>
      <c r="AA22" s="16">
        <f t="shared" si="11"/>
        <v>71.674402999999998</v>
      </c>
      <c r="AB22" s="16">
        <f t="shared" si="12"/>
        <v>1</v>
      </c>
      <c r="AC22" s="16">
        <f t="shared" si="13"/>
        <v>0</v>
      </c>
      <c r="AE22" s="4">
        <v>6</v>
      </c>
      <c r="AF22" s="16" t="str" cm="1">
        <f t="array" ref="AF22">IF($AE22&gt;9,"",INDEX($B$2:$K$2,MATCH(SMALL(IF($B$8:$K$8=0,10^9,$B$8:$K$8)+(COLUMN($B$2:$K$2)-COLUMN($G$2))/10^6,$AE22),IF($B$8:$K$8=0,10^9,$B$8:$K$8)+(COLUMN($B$2:$K$2)-COLUMN($G$2))/10^6,0)))</f>
        <v>S5</v>
      </c>
      <c r="AG22" s="16">
        <f t="shared" si="14"/>
        <v>45.985759000000002</v>
      </c>
      <c r="AH22" s="16">
        <f t="shared" si="15"/>
        <v>2</v>
      </c>
      <c r="AI22" s="16">
        <f t="shared" si="16"/>
        <v>0</v>
      </c>
      <c r="AK22" s="4">
        <v>6</v>
      </c>
      <c r="AL22" s="16" t="str" cm="1">
        <f t="array" ref="AL22">IF($AK22&gt;9,"",INDEX($B$2:$K$2,MATCH(SMALL(IF($B$9:$K$9=0,10^9,$B$9:$K$9)+(COLUMN($B$2:$K$2)-COLUMN($H$2))/10^6,$AK22),IF($B$9:$K$9=0,10^9,$B$9:$K$9)+(COLUMN($B$2:$K$2)-COLUMN($H$2))/10^6,0)))</f>
        <v>S1</v>
      </c>
      <c r="AM22" s="16">
        <f t="shared" si="17"/>
        <v>53.987127999999998</v>
      </c>
      <c r="AN22" s="16">
        <f t="shared" si="18"/>
        <v>1</v>
      </c>
      <c r="AO22" s="16">
        <f t="shared" si="19"/>
        <v>1</v>
      </c>
      <c r="AQ22" s="4">
        <v>6</v>
      </c>
      <c r="AR22" s="16" t="str" cm="1">
        <f t="array" ref="AR22">IF($AQ22&gt;9,"",INDEX($B$2:$K$2,MATCH(SMALL(IF($B$10:$K$10=0,10^9,$B$10:$K$10)+(COLUMN($B$2:$K$2)-COLUMN($I$2))/10^6,$AQ22),IF($B$10:$K$10=0,10^9,$B$10:$K$10)+(COLUMN($B$2:$K$2)-COLUMN($I$2))/10^6,0)))</f>
        <v>S1</v>
      </c>
      <c r="AS22" s="16">
        <f t="shared" si="20"/>
        <v>57.210662999999997</v>
      </c>
      <c r="AT22" s="16">
        <f t="shared" si="21"/>
        <v>1</v>
      </c>
      <c r="AU22" s="16">
        <f t="shared" si="22"/>
        <v>1</v>
      </c>
      <c r="AW22" s="4">
        <v>6</v>
      </c>
      <c r="AX22" s="16" t="str" cm="1">
        <f t="array" ref="AX22">IF($AW22&gt;9,"",INDEX($B$2:$K$2,MATCH(SMALL(IF($B$11:$K$11=0,10^9,$B$11:$K$11)+(COLUMN($B$2:$K$2)-COLUMN($J$2))/10^6,$AW22),IF($B$11:$K$11=0,10^9,$B$11:$K$11)+(COLUMN($B$2:$K$2)-COLUMN($J$2))/10^6,0)))</f>
        <v>S8</v>
      </c>
      <c r="AY22" s="16">
        <f t="shared" si="23"/>
        <v>75.944519</v>
      </c>
      <c r="AZ22" s="16">
        <f t="shared" si="24"/>
        <v>1</v>
      </c>
      <c r="BA22" s="16">
        <f t="shared" si="25"/>
        <v>0</v>
      </c>
      <c r="BC22" s="4">
        <v>6</v>
      </c>
      <c r="BD22" s="16" t="str" cm="1">
        <f t="array" ref="BD22">IF($BC22&gt;9,"",INDEX($B$2:$K$2,MATCH(SMALL(IF($B$12:$K$12=0,10^9,$B$12:$K$12)+(COLUMN($B$2:$K$2)-COLUMN($K$2))/10^6,$BC22),IF($B$12:$K$12=0,10^9,$B$12:$K$12)+(COLUMN($B$2:$K$2)-COLUMN($K$2))/10^6,0)))</f>
        <v>S8</v>
      </c>
      <c r="BE22" s="16">
        <f t="shared" si="26"/>
        <v>80.101748000000001</v>
      </c>
      <c r="BF22" s="16">
        <f t="shared" si="27"/>
        <v>1</v>
      </c>
      <c r="BG22" s="16">
        <f t="shared" si="28"/>
        <v>0</v>
      </c>
    </row>
    <row r="23" spans="1:59" ht="15" customHeight="1" x14ac:dyDescent="0.3">
      <c r="A23" s="4">
        <v>7</v>
      </c>
      <c r="B23" s="16" t="str" cm="1">
        <f t="array" ref="B23">IF($A23&gt;9,"",INDEX($B$2:$K$2,MATCH(SMALL(IF($B$3:$K$3=0,10^9,$B$3:$K$3)+(COLUMN($B$2:$K$2)-COLUMN($B$2))/10^6,$A23),IF($B$3:$K$3=0,10^9,$B$3:$K$3)+(COLUMN($B$2:$K$2)-COLUMN($B$2))/10^6,0)))</f>
        <v>S5</v>
      </c>
      <c r="C23" s="16">
        <f t="shared" si="0"/>
        <v>113.28327299999999</v>
      </c>
      <c r="D23" s="16">
        <f t="shared" si="1"/>
        <v>2</v>
      </c>
      <c r="E23" s="16">
        <f t="shared" si="29"/>
        <v>0</v>
      </c>
      <c r="G23" s="4">
        <v>7</v>
      </c>
      <c r="H23" s="16" t="str" cm="1">
        <f t="array" ref="H23">IF($G23&gt;9,"",INDEX($B$2:$K$2,MATCH(SMALL(IF($B$4:$K$4=0,10^9,$B$4:$K$4)+(COLUMN($B$2:$K$2)-COLUMN($C$2))/10^6,$G23),IF($B$4:$K$4=0,10^9,$B$4:$K$4)+(COLUMN($B$2:$K$2)-COLUMN($C$2))/10^6,0)))</f>
        <v>S5</v>
      </c>
      <c r="I23" s="16">
        <f t="shared" si="2"/>
        <v>84.909481</v>
      </c>
      <c r="J23" s="16">
        <f t="shared" si="3"/>
        <v>2</v>
      </c>
      <c r="K23" s="16">
        <f t="shared" si="4"/>
        <v>0</v>
      </c>
      <c r="M23" s="4">
        <v>7</v>
      </c>
      <c r="N23" s="16" t="str" cm="1">
        <f t="array" ref="N23">IF($M23&gt;9,"",INDEX($B$2:$K$2,MATCH(SMALL(IF($B$5:$K$5=0,10^9,$B$5:$K$5)+(COLUMN($B$2:$K$2)-COLUMN($D$2))/10^6,$M23),IF($B$5:$K$5=0,10^9,$B$5:$K$5)+(COLUMN($B$2:$K$2)-COLUMN($D$2))/10^6,0)))</f>
        <v>S7</v>
      </c>
      <c r="O23" s="16">
        <f t="shared" si="5"/>
        <v>49.288030999999997</v>
      </c>
      <c r="P23" s="16">
        <f t="shared" si="6"/>
        <v>1</v>
      </c>
      <c r="Q23" s="16">
        <f t="shared" si="7"/>
        <v>0</v>
      </c>
      <c r="S23" s="4">
        <v>7</v>
      </c>
      <c r="T23" s="16" t="str" cm="1">
        <f t="array" ref="T23">IF($S23&gt;9,"",INDEX($B$2:$K$2,MATCH(SMALL(IF($B$6:$K$6=0,10^9,$B$6:$K$6)+(COLUMN($B$2:$K$2)-COLUMN($E$2))/10^6,$S23),IF($B$6:$K$6=0,10^9,$B$6:$K$6)+(COLUMN($B$2:$K$2)-COLUMN($E$2))/10^6,0)))</f>
        <v>S5</v>
      </c>
      <c r="U23" s="16">
        <f t="shared" si="8"/>
        <v>65.205061000000001</v>
      </c>
      <c r="V23" s="16">
        <f t="shared" si="9"/>
        <v>2</v>
      </c>
      <c r="W23" s="16">
        <f t="shared" si="10"/>
        <v>0</v>
      </c>
      <c r="Y23" s="4">
        <v>7</v>
      </c>
      <c r="Z23" s="16" t="str" cm="1">
        <f t="array" ref="Z23">IF($Y23&gt;9,"",INDEX($B$2:$K$2,MATCH(SMALL(IF($B$7:$K$7=0,10^9,$B$7:$K$7)+(COLUMN($B$2:$K$2)-COLUMN($F$2))/10^6,$Y23),IF($B$7:$K$7=0,10^9,$B$7:$K$7)+(COLUMN($B$2:$K$2)-COLUMN($F$2))/10^6,0)))</f>
        <v>S7</v>
      </c>
      <c r="AA23" s="16">
        <f t="shared" si="11"/>
        <v>78.993734000000003</v>
      </c>
      <c r="AB23" s="16">
        <f t="shared" si="12"/>
        <v>1</v>
      </c>
      <c r="AC23" s="16">
        <f t="shared" si="13"/>
        <v>0</v>
      </c>
      <c r="AE23" s="4">
        <v>7</v>
      </c>
      <c r="AF23" s="16" t="str" cm="1">
        <f t="array" ref="AF23">IF($AE23&gt;9,"",INDEX($B$2:$K$2,MATCH(SMALL(IF($B$8:$K$8=0,10^9,$B$8:$K$8)+(COLUMN($B$2:$K$2)-COLUMN($G$2))/10^6,$AE23),IF($B$8:$K$8=0,10^9,$B$8:$K$8)+(COLUMN($B$2:$K$2)-COLUMN($G$2))/10^6,0)))</f>
        <v>S9</v>
      </c>
      <c r="AG23" s="16">
        <f t="shared" si="14"/>
        <v>50.086126</v>
      </c>
      <c r="AH23" s="16">
        <f t="shared" si="15"/>
        <v>2</v>
      </c>
      <c r="AI23" s="16">
        <f t="shared" si="16"/>
        <v>0</v>
      </c>
      <c r="AK23" s="4">
        <v>7</v>
      </c>
      <c r="AL23" s="16" t="str" cm="1">
        <f t="array" ref="AL23">IF($AK23&gt;9,"",INDEX($B$2:$K$2,MATCH(SMALL(IF($B$9:$K$9=0,10^9,$B$9:$K$9)+(COLUMN($B$2:$K$2)-COLUMN($H$2))/10^6,$AK23),IF($B$9:$K$9=0,10^9,$B$9:$K$9)+(COLUMN($B$2:$K$2)-COLUMN($H$2))/10^6,0)))</f>
        <v>S5</v>
      </c>
      <c r="AM23" s="16">
        <f t="shared" si="17"/>
        <v>78.993734000000003</v>
      </c>
      <c r="AN23" s="16">
        <f t="shared" si="18"/>
        <v>2</v>
      </c>
      <c r="AO23" s="16">
        <f t="shared" si="19"/>
        <v>0</v>
      </c>
      <c r="AQ23" s="4">
        <v>7</v>
      </c>
      <c r="AR23" s="16" t="str" cm="1">
        <f t="array" ref="AR23">IF($AQ23&gt;9,"",INDEX($B$2:$K$2,MATCH(SMALL(IF($B$10:$K$10=0,10^9,$B$10:$K$10)+(COLUMN($B$2:$K$2)-COLUMN($I$2))/10^6,$AQ23),IF($B$10:$K$10=0,10^9,$B$10:$K$10)+(COLUMN($B$2:$K$2)-COLUMN($I$2))/10^6,0)))</f>
        <v>S5</v>
      </c>
      <c r="AS23" s="16">
        <f t="shared" si="20"/>
        <v>71.674402999999998</v>
      </c>
      <c r="AT23" s="16">
        <f t="shared" si="21"/>
        <v>2</v>
      </c>
      <c r="AU23" s="16">
        <f t="shared" si="22"/>
        <v>0</v>
      </c>
      <c r="AW23" s="4">
        <v>7</v>
      </c>
      <c r="AX23" s="16" t="str" cm="1">
        <f t="array" ref="AX23">IF($AW23&gt;9,"",INDEX($B$2:$K$2,MATCH(SMALL(IF($B$11:$K$11=0,10^9,$B$11:$K$11)+(COLUMN($B$2:$K$2)-COLUMN($J$2))/10^6,$AW23),IF($B$11:$K$11=0,10^9,$B$11:$K$11)+(COLUMN($B$2:$K$2)-COLUMN($J$2))/10^6,0)))</f>
        <v>S7</v>
      </c>
      <c r="AY23" s="16">
        <f t="shared" si="23"/>
        <v>83.638627</v>
      </c>
      <c r="AZ23" s="16">
        <f t="shared" si="24"/>
        <v>1</v>
      </c>
      <c r="BA23" s="16">
        <f t="shared" si="25"/>
        <v>0</v>
      </c>
      <c r="BC23" s="4">
        <v>7</v>
      </c>
      <c r="BD23" s="16" t="str" cm="1">
        <f t="array" ref="BD23">IF($BC23&gt;9,"",INDEX($B$2:$K$2,MATCH(SMALL(IF($B$12:$K$12=0,10^9,$B$12:$K$12)+(COLUMN($B$2:$K$2)-COLUMN($K$2))/10^6,$BC23),IF($B$12:$K$12=0,10^9,$B$12:$K$12)+(COLUMN($B$2:$K$2)-COLUMN($K$2))/10^6,0)))</f>
        <v>S7</v>
      </c>
      <c r="BE23" s="16">
        <f t="shared" si="26"/>
        <v>87.661736000000005</v>
      </c>
      <c r="BF23" s="16">
        <f t="shared" si="27"/>
        <v>1</v>
      </c>
      <c r="BG23" s="16">
        <f t="shared" si="28"/>
        <v>0</v>
      </c>
    </row>
    <row r="24" spans="1:59" ht="15" customHeight="1" x14ac:dyDescent="0.3">
      <c r="A24" s="4">
        <v>8</v>
      </c>
      <c r="B24" s="16" t="str" cm="1">
        <f t="array" ref="B24">IF($A24&gt;9,"",INDEX($B$2:$K$2,MATCH(SMALL(IF($B$3:$K$3=0,10^9,$B$3:$K$3)+(COLUMN($B$2:$K$2)-COLUMN($B$2))/10^6,$A24),IF($B$3:$K$3=0,10^9,$B$3:$K$3)+(COLUMN($B$2:$K$2)-COLUMN($B$2))/10^6,0)))</f>
        <v>S9</v>
      </c>
      <c r="C24" s="16">
        <f t="shared" si="0"/>
        <v>115.854952</v>
      </c>
      <c r="D24" s="16">
        <f t="shared" si="1"/>
        <v>2</v>
      </c>
      <c r="E24" s="16">
        <f t="shared" si="29"/>
        <v>0</v>
      </c>
      <c r="G24" s="4">
        <v>8</v>
      </c>
      <c r="H24" s="16" t="str" cm="1">
        <f t="array" ref="H24">IF($G24&gt;9,"",INDEX($B$2:$K$2,MATCH(SMALL(IF($B$4:$K$4=0,10^9,$B$4:$K$4)+(COLUMN($B$2:$K$2)-COLUMN($C$2))/10^6,$G24),IF($B$4:$K$4=0,10^9,$B$4:$K$4)+(COLUMN($B$2:$K$2)-COLUMN($C$2))/10^6,0)))</f>
        <v>S9</v>
      </c>
      <c r="I24" s="16">
        <f t="shared" si="2"/>
        <v>88.559189000000003</v>
      </c>
      <c r="J24" s="16">
        <f t="shared" si="3"/>
        <v>2</v>
      </c>
      <c r="K24" s="16">
        <f t="shared" si="4"/>
        <v>0</v>
      </c>
      <c r="M24" s="4">
        <v>8</v>
      </c>
      <c r="N24" s="16" t="str" cm="1">
        <f t="array" ref="N24">IF($M24&gt;9,"",INDEX($B$2:$K$2,MATCH(SMALL(IF($B$5:$K$5=0,10^9,$B$5:$K$5)+(COLUMN($B$2:$K$2)-COLUMN($D$2))/10^6,$M24),IF($B$5:$K$5=0,10^9,$B$5:$K$5)+(COLUMN($B$2:$K$2)-COLUMN($D$2))/10^6,0)))</f>
        <v>S2</v>
      </c>
      <c r="O24" s="16">
        <f t="shared" si="5"/>
        <v>54.899545000000003</v>
      </c>
      <c r="P24" s="16">
        <f t="shared" si="6"/>
        <v>1</v>
      </c>
      <c r="Q24" s="16">
        <f t="shared" si="7"/>
        <v>0</v>
      </c>
      <c r="S24" s="4">
        <v>8</v>
      </c>
      <c r="T24" s="16" t="str" cm="1">
        <f t="array" ref="T24">IF($S24&gt;9,"",INDEX($B$2:$K$2,MATCH(SMALL(IF($B$6:$K$6=0,10^9,$B$6:$K$6)+(COLUMN($B$2:$K$2)-COLUMN($E$2))/10^6,$S24),IF($B$6:$K$6=0,10^9,$B$6:$K$6)+(COLUMN($B$2:$K$2)-COLUMN($E$2))/10^6,0)))</f>
        <v>S9</v>
      </c>
      <c r="U24" s="16">
        <f t="shared" si="8"/>
        <v>69.067285999999996</v>
      </c>
      <c r="V24" s="16">
        <f t="shared" si="9"/>
        <v>2</v>
      </c>
      <c r="W24" s="16">
        <f t="shared" si="10"/>
        <v>0</v>
      </c>
      <c r="Y24" s="4">
        <v>8</v>
      </c>
      <c r="Z24" s="16" t="str" cm="1">
        <f t="array" ref="Z24">IF($Y24&gt;9,"",INDEX($B$2:$K$2,MATCH(SMALL(IF($B$7:$K$7=0,10^9,$B$7:$K$7)+(COLUMN($B$2:$K$2)-COLUMN($F$2))/10^6,$Y24),IF($B$7:$K$7=0,10^9,$B$7:$K$7)+(COLUMN($B$2:$K$2)-COLUMN($F$2))/10^6,0)))</f>
        <v>S2</v>
      </c>
      <c r="AA24" s="16">
        <f t="shared" si="11"/>
        <v>84.909481</v>
      </c>
      <c r="AB24" s="16">
        <f t="shared" si="12"/>
        <v>1</v>
      </c>
      <c r="AC24" s="16">
        <f t="shared" si="13"/>
        <v>0</v>
      </c>
      <c r="AE24" s="4">
        <v>8</v>
      </c>
      <c r="AF24" s="16" t="str" cm="1">
        <f t="array" ref="AF24">IF($AE24&gt;9,"",INDEX($B$2:$K$2,MATCH(SMALL(IF($B$8:$K$8=0,10^9,$B$8:$K$8)+(COLUMN($B$2:$K$2)-COLUMN($G$2))/10^6,$AE24),IF($B$8:$K$8=0,10^9,$B$8:$K$8)+(COLUMN($B$2:$K$2)-COLUMN($G$2))/10^6,0)))</f>
        <v>S10</v>
      </c>
      <c r="AG24" s="16">
        <f t="shared" si="14"/>
        <v>54.068289999999998</v>
      </c>
      <c r="AH24" s="16">
        <f t="shared" si="15"/>
        <v>2</v>
      </c>
      <c r="AI24" s="16">
        <f t="shared" si="16"/>
        <v>0</v>
      </c>
      <c r="AK24" s="4">
        <v>8</v>
      </c>
      <c r="AL24" s="16" t="str" cm="1">
        <f t="array" ref="AL24">IF($AK24&gt;9,"",INDEX($B$2:$K$2,MATCH(SMALL(IF($B$9:$K$9=0,10^9,$B$9:$K$9)+(COLUMN($B$2:$K$2)-COLUMN($H$2))/10^6,$AK24),IF($B$9:$K$9=0,10^9,$B$9:$K$9)+(COLUMN($B$2:$K$2)-COLUMN($H$2))/10^6,0)))</f>
        <v>S9</v>
      </c>
      <c r="AM24" s="16">
        <f t="shared" si="17"/>
        <v>83.638627</v>
      </c>
      <c r="AN24" s="16">
        <f t="shared" si="18"/>
        <v>2</v>
      </c>
      <c r="AO24" s="16">
        <f t="shared" si="19"/>
        <v>0</v>
      </c>
      <c r="AQ24" s="4">
        <v>8</v>
      </c>
      <c r="AR24" s="16" t="str" cm="1">
        <f t="array" ref="AR24">IF($AQ24&gt;9,"",INDEX($B$2:$K$2,MATCH(SMALL(IF($B$10:$K$10=0,10^9,$B$10:$K$10)+(COLUMN($B$2:$K$2)-COLUMN($I$2))/10^6,$AQ24),IF($B$10:$K$10=0,10^9,$B$10:$K$10)+(COLUMN($B$2:$K$2)-COLUMN($I$2))/10^6,0)))</f>
        <v>S9</v>
      </c>
      <c r="AS24" s="16">
        <f t="shared" si="20"/>
        <v>75.944519</v>
      </c>
      <c r="AT24" s="16">
        <f t="shared" si="21"/>
        <v>2</v>
      </c>
      <c r="AU24" s="16">
        <f t="shared" si="22"/>
        <v>0</v>
      </c>
      <c r="AW24" s="4">
        <v>8</v>
      </c>
      <c r="AX24" s="16" t="str" cm="1">
        <f t="array" ref="AX24">IF($AW24&gt;9,"",INDEX($B$2:$K$2,MATCH(SMALL(IF($B$11:$K$11=0,10^9,$B$11:$K$11)+(COLUMN($B$2:$K$2)-COLUMN($J$2))/10^6,$AW24),IF($B$11:$K$11=0,10^9,$B$11:$K$11)+(COLUMN($B$2:$K$2)-COLUMN($J$2))/10^6,0)))</f>
        <v>S2</v>
      </c>
      <c r="AY24" s="16">
        <f t="shared" si="23"/>
        <v>88.559189000000003</v>
      </c>
      <c r="AZ24" s="16">
        <f t="shared" si="24"/>
        <v>1</v>
      </c>
      <c r="BA24" s="16">
        <f t="shared" si="25"/>
        <v>0</v>
      </c>
      <c r="BC24" s="4">
        <v>8</v>
      </c>
      <c r="BD24" s="16" t="str" cm="1">
        <f t="array" ref="BD24">IF($BC24&gt;9,"",INDEX($B$2:$K$2,MATCH(SMALL(IF($B$12:$K$12=0,10^9,$B$12:$K$12)+(COLUMN($B$2:$K$2)-COLUMN($K$2))/10^6,$BC24),IF($B$12:$K$12=0,10^9,$B$12:$K$12)+(COLUMN($B$2:$K$2)-COLUMN($K$2))/10^6,0)))</f>
        <v>S2</v>
      </c>
      <c r="BE24" s="16">
        <f t="shared" si="26"/>
        <v>92.573483999999993</v>
      </c>
      <c r="BF24" s="16">
        <f t="shared" si="27"/>
        <v>1</v>
      </c>
      <c r="BG24" s="16">
        <f t="shared" si="28"/>
        <v>0</v>
      </c>
    </row>
    <row r="25" spans="1:59" ht="15" customHeight="1" x14ac:dyDescent="0.3">
      <c r="A25" s="4">
        <v>9</v>
      </c>
      <c r="B25" s="16" t="str" cm="1">
        <f t="array" ref="B25">IF($A25&gt;9,"",INDEX($B$2:$K$2,MATCH(SMALL(IF($B$3:$K$3=0,10^9,$B$3:$K$3)+(COLUMN($B$2:$K$2)-COLUMN($B$2))/10^6,$A25),IF($B$3:$K$3=0,10^9,$B$3:$K$3)+(COLUMN($B$2:$K$2)-COLUMN($B$2))/10^6,0)))</f>
        <v>S10</v>
      </c>
      <c r="C25" s="16">
        <f t="shared" si="0"/>
        <v>119.704177</v>
      </c>
      <c r="D25" s="16">
        <f t="shared" si="1"/>
        <v>2</v>
      </c>
      <c r="E25" s="16">
        <f t="shared" si="29"/>
        <v>0</v>
      </c>
      <c r="G25" s="4">
        <v>9</v>
      </c>
      <c r="H25" s="16" t="str" cm="1">
        <f t="array" ref="H25">IF($G25&gt;9,"",INDEX($B$2:$K$2,MATCH(SMALL(IF($B$4:$K$4=0,10^9,$B$4:$K$4)+(COLUMN($B$2:$K$2)-COLUMN($C$2))/10^6,$G25),IF($B$4:$K$4=0,10^9,$B$4:$K$4)+(COLUMN($B$2:$K$2)-COLUMN($C$2))/10^6,0)))</f>
        <v>S10</v>
      </c>
      <c r="I25" s="16">
        <f t="shared" si="2"/>
        <v>92.573483999999993</v>
      </c>
      <c r="J25" s="16">
        <f t="shared" si="3"/>
        <v>2</v>
      </c>
      <c r="K25" s="16">
        <f t="shared" si="4"/>
        <v>0</v>
      </c>
      <c r="M25" s="4">
        <v>9</v>
      </c>
      <c r="N25" s="16" t="str" cm="1">
        <f t="array" ref="N25">IF($M25&gt;9,"",INDEX($B$2:$K$2,MATCH(SMALL(IF($B$5:$K$5=0,10^9,$B$5:$K$5)+(COLUMN($B$2:$K$2)-COLUMN($D$2))/10^6,$M25),IF($B$5:$K$5=0,10^9,$B$5:$K$5)+(COLUMN($B$2:$K$2)-COLUMN($D$2))/10^6,0)))</f>
        <v>S1</v>
      </c>
      <c r="O25" s="16">
        <f t="shared" si="5"/>
        <v>84.512366</v>
      </c>
      <c r="P25" s="16">
        <f t="shared" si="6"/>
        <v>1</v>
      </c>
      <c r="Q25" s="16">
        <f t="shared" si="7"/>
        <v>0</v>
      </c>
      <c r="S25" s="4">
        <v>9</v>
      </c>
      <c r="T25" s="16" t="str" cm="1">
        <f t="array" ref="T25">IF($S25&gt;9,"",INDEX($B$2:$K$2,MATCH(SMALL(IF($B$6:$K$6=0,10^9,$B$6:$K$6)+(COLUMN($B$2:$K$2)-COLUMN($E$2))/10^6,$S25),IF($B$6:$K$6=0,10^9,$B$6:$K$6)+(COLUMN($B$2:$K$2)-COLUMN($E$2))/10^6,0)))</f>
        <v>S10</v>
      </c>
      <c r="U25" s="16">
        <f t="shared" si="8"/>
        <v>73.206351999999995</v>
      </c>
      <c r="V25" s="16">
        <f t="shared" si="9"/>
        <v>2</v>
      </c>
      <c r="W25" s="16">
        <f t="shared" si="10"/>
        <v>0</v>
      </c>
      <c r="Y25" s="4">
        <v>9</v>
      </c>
      <c r="Z25" s="16" t="str" cm="1">
        <f t="array" ref="Z25">IF($Y25&gt;9,"",INDEX($B$2:$K$2,MATCH(SMALL(IF($B$7:$K$7=0,10^9,$B$7:$K$7)+(COLUMN($B$2:$K$2)-COLUMN($F$2))/10^6,$Y25),IF($B$7:$K$7=0,10^9,$B$7:$K$7)+(COLUMN($B$2:$K$2)-COLUMN($F$2))/10^6,0)))</f>
        <v>S1</v>
      </c>
      <c r="AA25" s="16">
        <f t="shared" si="11"/>
        <v>113.28327299999999</v>
      </c>
      <c r="AB25" s="16">
        <f t="shared" si="12"/>
        <v>1</v>
      </c>
      <c r="AC25" s="16">
        <f t="shared" si="13"/>
        <v>0</v>
      </c>
      <c r="AE25" s="4">
        <v>9</v>
      </c>
      <c r="AF25" s="16" t="str" cm="1">
        <f t="array" ref="AF25">IF($AE25&gt;9,"",INDEX($B$2:$K$2,MATCH(SMALL(IF($B$8:$K$8=0,10^9,$B$8:$K$8)+(COLUMN($B$2:$K$2)-COLUMN($G$2))/10^6,$AE25),IF($B$8:$K$8=0,10^9,$B$8:$K$8)+(COLUMN($B$2:$K$2)-COLUMN($G$2))/10^6,0)))</f>
        <v>S1</v>
      </c>
      <c r="AG25" s="16">
        <f t="shared" si="14"/>
        <v>69.816974999999999</v>
      </c>
      <c r="AH25" s="16">
        <f t="shared" si="15"/>
        <v>1</v>
      </c>
      <c r="AI25" s="16">
        <f t="shared" si="16"/>
        <v>1</v>
      </c>
      <c r="AK25" s="4">
        <v>9</v>
      </c>
      <c r="AL25" s="16" t="str" cm="1">
        <f t="array" ref="AL25">IF($AK25&gt;9,"",INDEX($B$2:$K$2,MATCH(SMALL(IF($B$9:$K$9=0,10^9,$B$9:$K$9)+(COLUMN($B$2:$K$2)-COLUMN($H$2))/10^6,$AK25),IF($B$9:$K$9=0,10^9,$B$9:$K$9)+(COLUMN($B$2:$K$2)-COLUMN($H$2))/10^6,0)))</f>
        <v>S10</v>
      </c>
      <c r="AM25" s="16">
        <f t="shared" si="17"/>
        <v>87.661736000000005</v>
      </c>
      <c r="AN25" s="16">
        <f t="shared" si="18"/>
        <v>2</v>
      </c>
      <c r="AO25" s="16">
        <f t="shared" si="19"/>
        <v>0</v>
      </c>
      <c r="AQ25" s="4">
        <v>9</v>
      </c>
      <c r="AR25" s="16" t="str" cm="1">
        <f t="array" ref="AR25">IF($AQ25&gt;9,"",INDEX($B$2:$K$2,MATCH(SMALL(IF($B$10:$K$10=0,10^9,$B$10:$K$10)+(COLUMN($B$2:$K$2)-COLUMN($I$2))/10^6,$AQ25),IF($B$10:$K$10=0,10^9,$B$10:$K$10)+(COLUMN($B$2:$K$2)-COLUMN($I$2))/10^6,0)))</f>
        <v>S10</v>
      </c>
      <c r="AS25" s="16">
        <f t="shared" si="20"/>
        <v>80.101748000000001</v>
      </c>
      <c r="AT25" s="16">
        <f t="shared" si="21"/>
        <v>2</v>
      </c>
      <c r="AU25" s="16">
        <f t="shared" si="22"/>
        <v>0</v>
      </c>
      <c r="AW25" s="4">
        <v>9</v>
      </c>
      <c r="AX25" s="16" t="str" cm="1">
        <f t="array" ref="AX25">IF($AW25&gt;9,"",INDEX($B$2:$K$2,MATCH(SMALL(IF($B$11:$K$11=0,10^9,$B$11:$K$11)+(COLUMN($B$2:$K$2)-COLUMN($J$2))/10^6,$AW25),IF($B$11:$K$11=0,10^9,$B$11:$K$11)+(COLUMN($B$2:$K$2)-COLUMN($J$2))/10^6,0)))</f>
        <v>S1</v>
      </c>
      <c r="AY25" s="16">
        <f t="shared" si="23"/>
        <v>115.854952</v>
      </c>
      <c r="AZ25" s="16">
        <f t="shared" si="24"/>
        <v>1</v>
      </c>
      <c r="BA25" s="16">
        <f t="shared" si="25"/>
        <v>0</v>
      </c>
      <c r="BC25" s="4">
        <v>9</v>
      </c>
      <c r="BD25" s="16" t="str" cm="1">
        <f t="array" ref="BD25">IF($BC25&gt;9,"",INDEX($B$2:$K$2,MATCH(SMALL(IF($B$12:$K$12=0,10^9,$B$12:$K$12)+(COLUMN($B$2:$K$2)-COLUMN($K$2))/10^6,$BC25),IF($B$12:$K$12=0,10^9,$B$12:$K$12)+(COLUMN($B$2:$K$2)-COLUMN($K$2))/10^6,0)))</f>
        <v>S1</v>
      </c>
      <c r="BE25" s="16">
        <f t="shared" si="26"/>
        <v>119.704177</v>
      </c>
      <c r="BF25" s="16">
        <f t="shared" si="27"/>
        <v>1</v>
      </c>
      <c r="BG25" s="16">
        <f t="shared" si="28"/>
        <v>0</v>
      </c>
    </row>
    <row r="26" spans="1:59" ht="15" customHeight="1" x14ac:dyDescent="0.3"/>
    <row r="27" spans="1:59" ht="15" customHeight="1" x14ac:dyDescent="0.3"/>
    <row r="28" spans="1:59" ht="15" customHeight="1" thickBot="1" x14ac:dyDescent="0.35">
      <c r="A28" s="73" t="s">
        <v>112</v>
      </c>
      <c r="B28" s="74"/>
      <c r="C28" s="74"/>
      <c r="D28" s="74"/>
      <c r="E28" s="74"/>
      <c r="F28" s="74"/>
      <c r="G28" s="75"/>
    </row>
    <row r="29" spans="1:59" ht="15" customHeight="1" x14ac:dyDescent="0.3">
      <c r="A29" s="3" t="s">
        <v>36</v>
      </c>
      <c r="B29" s="18" t="s">
        <v>1</v>
      </c>
      <c r="C29" s="4" t="s">
        <v>33</v>
      </c>
      <c r="D29" s="4" t="s">
        <v>63</v>
      </c>
      <c r="E29" s="4" t="s">
        <v>34</v>
      </c>
      <c r="F29" s="4" t="s">
        <v>64</v>
      </c>
      <c r="G29" s="4" t="s">
        <v>35</v>
      </c>
      <c r="I29" s="88"/>
      <c r="K29" s="76"/>
      <c r="L29" s="77"/>
    </row>
    <row r="30" spans="1:59" ht="15" customHeight="1" thickBot="1" x14ac:dyDescent="0.35">
      <c r="A30" s="4" t="s">
        <v>65</v>
      </c>
      <c r="B30" s="5">
        <v>1</v>
      </c>
      <c r="C30" s="17">
        <f ca="1">SUM(INDIRECT(ADDRESS(17,5+(ROW()-30)*6)&amp;":"&amp;ADDRESS(COLUMN()+14,5+(ROW()-30)*6)))</f>
        <v>1</v>
      </c>
      <c r="D30" s="17">
        <f t="shared" ref="D30:G39" ca="1" si="30">SUM(INDIRECT(ADDRESS(17,5+(ROW()-30)*6)&amp;":"&amp;ADDRESS(COLUMN()+14,5+(ROW()-30)*6)))</f>
        <v>2</v>
      </c>
      <c r="E30" s="17">
        <f ca="1">SUM(INDIRECT(ADDRESS(17,5+(ROW()-30)*6)&amp;":"&amp;ADDRESS(COLUMN()+14,5+(ROW()-30)*6)))</f>
        <v>3</v>
      </c>
      <c r="F30" s="17">
        <f t="shared" ca="1" si="30"/>
        <v>4</v>
      </c>
      <c r="G30" s="17">
        <f t="shared" ca="1" si="30"/>
        <v>5</v>
      </c>
      <c r="I30" s="89"/>
      <c r="K30" s="78"/>
      <c r="L30" s="79"/>
    </row>
    <row r="31" spans="1:59" ht="15" customHeight="1" thickBot="1" x14ac:dyDescent="0.35">
      <c r="A31" s="4" t="s">
        <v>66</v>
      </c>
      <c r="B31" s="5">
        <v>1</v>
      </c>
      <c r="C31" s="17">
        <f t="shared" ref="C31:C39" ca="1" si="31">SUM(INDIRECT(ADDRESS(17,5+(ROW()-30)*6)&amp;":"&amp;ADDRESS(COLUMN()+14,5+(ROW()-30)*6)))</f>
        <v>1</v>
      </c>
      <c r="D31" s="17">
        <f t="shared" ca="1" si="30"/>
        <v>2</v>
      </c>
      <c r="E31" s="17">
        <f t="shared" ca="1" si="30"/>
        <v>3</v>
      </c>
      <c r="F31" s="17">
        <f t="shared" ca="1" si="30"/>
        <v>4</v>
      </c>
      <c r="G31" s="17">
        <f t="shared" ca="1" si="30"/>
        <v>5</v>
      </c>
    </row>
    <row r="32" spans="1:59" ht="15" customHeight="1" x14ac:dyDescent="0.3">
      <c r="A32" s="4" t="s">
        <v>67</v>
      </c>
      <c r="B32" s="5">
        <v>2</v>
      </c>
      <c r="C32" s="17">
        <f t="shared" ca="1" si="31"/>
        <v>0</v>
      </c>
      <c r="D32" s="17">
        <f t="shared" ca="1" si="30"/>
        <v>1</v>
      </c>
      <c r="E32" s="17">
        <f t="shared" ca="1" si="30"/>
        <v>2</v>
      </c>
      <c r="F32" s="17">
        <f t="shared" ca="1" si="30"/>
        <v>2</v>
      </c>
      <c r="G32" s="17">
        <f t="shared" ca="1" si="30"/>
        <v>3</v>
      </c>
      <c r="I32" s="88"/>
      <c r="K32" s="84"/>
      <c r="L32" s="85"/>
    </row>
    <row r="33" spans="1:12" ht="15" customHeight="1" thickBot="1" x14ac:dyDescent="0.35">
      <c r="A33" s="4" t="s">
        <v>68</v>
      </c>
      <c r="B33" s="5">
        <v>1</v>
      </c>
      <c r="C33" s="17">
        <f t="shared" ca="1" si="31"/>
        <v>1</v>
      </c>
      <c r="D33" s="17">
        <f t="shared" ca="1" si="30"/>
        <v>2</v>
      </c>
      <c r="E33" s="17">
        <f t="shared" ca="1" si="30"/>
        <v>3</v>
      </c>
      <c r="F33" s="17">
        <f t="shared" ca="1" si="30"/>
        <v>4</v>
      </c>
      <c r="G33" s="17">
        <f t="shared" ca="1" si="30"/>
        <v>4</v>
      </c>
      <c r="I33" s="89"/>
      <c r="K33" s="86"/>
      <c r="L33" s="87"/>
    </row>
    <row r="34" spans="1:12" ht="15" customHeight="1" x14ac:dyDescent="0.3">
      <c r="A34" s="4" t="s">
        <v>69</v>
      </c>
      <c r="B34" s="5">
        <v>2</v>
      </c>
      <c r="C34" s="17">
        <f t="shared" ca="1" si="31"/>
        <v>1</v>
      </c>
      <c r="D34" s="17">
        <f t="shared" ca="1" si="30"/>
        <v>2</v>
      </c>
      <c r="E34" s="17">
        <f t="shared" ca="1" si="30"/>
        <v>3</v>
      </c>
      <c r="F34" s="17">
        <f t="shared" ca="1" si="30"/>
        <v>3</v>
      </c>
      <c r="G34" s="17">
        <f t="shared" ca="1" si="30"/>
        <v>3</v>
      </c>
    </row>
    <row r="35" spans="1:12" ht="15" customHeight="1" x14ac:dyDescent="0.3">
      <c r="A35" s="4" t="s">
        <v>70</v>
      </c>
      <c r="B35" s="5">
        <v>1</v>
      </c>
      <c r="C35" s="17">
        <f t="shared" ca="1" si="31"/>
        <v>0</v>
      </c>
      <c r="D35" s="17">
        <f t="shared" ca="1" si="30"/>
        <v>1</v>
      </c>
      <c r="E35" s="17">
        <f t="shared" ca="1" si="30"/>
        <v>2</v>
      </c>
      <c r="F35" s="17">
        <f t="shared" ca="1" si="30"/>
        <v>3</v>
      </c>
      <c r="G35" s="17">
        <f t="shared" ca="1" si="30"/>
        <v>4</v>
      </c>
    </row>
    <row r="36" spans="1:12" ht="15" customHeight="1" x14ac:dyDescent="0.3">
      <c r="A36" s="4" t="s">
        <v>71</v>
      </c>
      <c r="B36" s="5">
        <v>1</v>
      </c>
      <c r="C36" s="17">
        <f t="shared" ca="1" si="31"/>
        <v>1</v>
      </c>
      <c r="D36" s="17">
        <f t="shared" ca="1" si="30"/>
        <v>2</v>
      </c>
      <c r="E36" s="17">
        <f t="shared" ca="1" si="30"/>
        <v>3</v>
      </c>
      <c r="F36" s="17">
        <f t="shared" ca="1" si="30"/>
        <v>4</v>
      </c>
      <c r="G36" s="17">
        <f t="shared" ca="1" si="30"/>
        <v>4</v>
      </c>
    </row>
    <row r="37" spans="1:12" ht="15" customHeight="1" x14ac:dyDescent="0.3">
      <c r="A37" s="4" t="s">
        <v>72</v>
      </c>
      <c r="B37" s="5">
        <v>1</v>
      </c>
      <c r="C37" s="17">
        <f t="shared" ca="1" si="31"/>
        <v>1</v>
      </c>
      <c r="D37" s="17">
        <f t="shared" ca="1" si="30"/>
        <v>2</v>
      </c>
      <c r="E37" s="17">
        <f t="shared" ca="1" si="30"/>
        <v>3</v>
      </c>
      <c r="F37" s="17">
        <f t="shared" ca="1" si="30"/>
        <v>4</v>
      </c>
      <c r="G37" s="17">
        <f t="shared" ca="1" si="30"/>
        <v>4</v>
      </c>
    </row>
    <row r="38" spans="1:12" ht="15" customHeight="1" x14ac:dyDescent="0.3">
      <c r="A38" s="4" t="s">
        <v>73</v>
      </c>
      <c r="B38" s="5">
        <v>2</v>
      </c>
      <c r="C38" s="17">
        <f t="shared" ca="1" si="31"/>
        <v>1</v>
      </c>
      <c r="D38" s="17">
        <f t="shared" ca="1" si="30"/>
        <v>2</v>
      </c>
      <c r="E38" s="17">
        <f t="shared" ca="1" si="30"/>
        <v>3</v>
      </c>
      <c r="F38" s="17">
        <f t="shared" ca="1" si="30"/>
        <v>3</v>
      </c>
      <c r="G38" s="17">
        <f t="shared" ca="1" si="30"/>
        <v>3</v>
      </c>
    </row>
    <row r="39" spans="1:12" ht="15" customHeight="1" x14ac:dyDescent="0.3">
      <c r="A39" s="4" t="s">
        <v>74</v>
      </c>
      <c r="B39" s="5">
        <v>2</v>
      </c>
      <c r="C39" s="17">
        <f t="shared" ca="1" si="31"/>
        <v>1</v>
      </c>
      <c r="D39" s="17">
        <f t="shared" ca="1" si="30"/>
        <v>2</v>
      </c>
      <c r="E39" s="17">
        <f t="shared" ca="1" si="30"/>
        <v>3</v>
      </c>
      <c r="F39" s="17">
        <f t="shared" ca="1" si="30"/>
        <v>3</v>
      </c>
      <c r="G39" s="17">
        <f t="shared" ca="1" si="30"/>
        <v>3</v>
      </c>
    </row>
    <row r="40" spans="1:12" ht="15" customHeight="1" x14ac:dyDescent="0.3"/>
    <row r="41" spans="1:12" ht="15" customHeight="1" x14ac:dyDescent="0.3"/>
    <row r="42" spans="1:12" ht="15" customHeight="1" x14ac:dyDescent="0.3">
      <c r="A42" s="73" t="s">
        <v>113</v>
      </c>
      <c r="B42" s="74"/>
      <c r="C42" s="74"/>
      <c r="D42" s="74"/>
      <c r="E42" s="74"/>
      <c r="F42" s="74"/>
      <c r="G42" s="75"/>
    </row>
    <row r="43" spans="1:12" ht="15" customHeight="1" thickBot="1" x14ac:dyDescent="0.35">
      <c r="A43" s="10" t="s">
        <v>36</v>
      </c>
      <c r="B43" s="19" t="s">
        <v>1</v>
      </c>
      <c r="E43" s="28" t="s">
        <v>34</v>
      </c>
      <c r="G43" s="28" t="s">
        <v>35</v>
      </c>
    </row>
    <row r="44" spans="1:12" ht="15" customHeight="1" x14ac:dyDescent="0.3">
      <c r="A44" s="4" t="s">
        <v>65</v>
      </c>
      <c r="B44" s="5">
        <v>1</v>
      </c>
      <c r="E44" s="17">
        <f ca="1">E30</f>
        <v>3</v>
      </c>
      <c r="G44" s="17">
        <f ca="1">G30</f>
        <v>5</v>
      </c>
      <c r="I44" s="80"/>
      <c r="J44" s="81"/>
    </row>
    <row r="45" spans="1:12" ht="15" customHeight="1" thickBot="1" x14ac:dyDescent="0.35">
      <c r="A45" s="4" t="s">
        <v>66</v>
      </c>
      <c r="B45" s="5">
        <v>1</v>
      </c>
      <c r="E45" s="17">
        <f t="shared" ref="E45:E53" ca="1" si="32">E31</f>
        <v>3</v>
      </c>
      <c r="G45" s="17">
        <f t="shared" ref="G45:G53" ca="1" si="33">G31</f>
        <v>5</v>
      </c>
      <c r="I45" s="82"/>
      <c r="J45" s="83"/>
    </row>
    <row r="46" spans="1:12" ht="15" customHeight="1" thickBot="1" x14ac:dyDescent="0.35">
      <c r="A46" s="4" t="s">
        <v>67</v>
      </c>
      <c r="B46" s="5">
        <v>2</v>
      </c>
      <c r="E46" s="17">
        <f t="shared" ca="1" si="32"/>
        <v>2</v>
      </c>
      <c r="G46" s="17">
        <f t="shared" ca="1" si="33"/>
        <v>3</v>
      </c>
    </row>
    <row r="47" spans="1:12" ht="15" customHeight="1" x14ac:dyDescent="0.3">
      <c r="A47" s="4" t="s">
        <v>68</v>
      </c>
      <c r="B47" s="5">
        <v>1</v>
      </c>
      <c r="E47" s="17">
        <f t="shared" ca="1" si="32"/>
        <v>3</v>
      </c>
      <c r="G47" s="17">
        <f t="shared" ca="1" si="33"/>
        <v>4</v>
      </c>
      <c r="I47" s="80"/>
      <c r="J47" s="81"/>
    </row>
    <row r="48" spans="1:12" ht="15" customHeight="1" thickBot="1" x14ac:dyDescent="0.35">
      <c r="A48" s="4" t="s">
        <v>69</v>
      </c>
      <c r="B48" s="5">
        <v>2</v>
      </c>
      <c r="E48" s="17">
        <f t="shared" ca="1" si="32"/>
        <v>3</v>
      </c>
      <c r="G48" s="17">
        <f t="shared" ca="1" si="33"/>
        <v>3</v>
      </c>
      <c r="I48" s="82"/>
      <c r="J48" s="83"/>
    </row>
    <row r="49" spans="1:59" ht="15" customHeight="1" x14ac:dyDescent="0.3">
      <c r="A49" s="4" t="s">
        <v>70</v>
      </c>
      <c r="B49" s="5">
        <v>1</v>
      </c>
      <c r="E49" s="17">
        <f t="shared" ca="1" si="32"/>
        <v>2</v>
      </c>
      <c r="G49" s="17">
        <f t="shared" ca="1" si="33"/>
        <v>4</v>
      </c>
    </row>
    <row r="50" spans="1:59" ht="15" customHeight="1" x14ac:dyDescent="0.3">
      <c r="A50" s="4" t="s">
        <v>71</v>
      </c>
      <c r="B50" s="5">
        <v>1</v>
      </c>
      <c r="E50" s="17">
        <f t="shared" ca="1" si="32"/>
        <v>3</v>
      </c>
      <c r="G50" s="17">
        <f t="shared" ca="1" si="33"/>
        <v>4</v>
      </c>
    </row>
    <row r="51" spans="1:59" ht="15" customHeight="1" x14ac:dyDescent="0.3">
      <c r="A51" s="4" t="s">
        <v>72</v>
      </c>
      <c r="B51" s="5">
        <v>1</v>
      </c>
      <c r="E51" s="17">
        <f t="shared" ca="1" si="32"/>
        <v>3</v>
      </c>
      <c r="G51" s="17">
        <f t="shared" ca="1" si="33"/>
        <v>4</v>
      </c>
    </row>
    <row r="52" spans="1:59" ht="15" customHeight="1" x14ac:dyDescent="0.3">
      <c r="A52" s="4" t="s">
        <v>73</v>
      </c>
      <c r="B52" s="5">
        <v>2</v>
      </c>
      <c r="E52" s="17">
        <f t="shared" ca="1" si="32"/>
        <v>3</v>
      </c>
      <c r="G52" s="17">
        <f t="shared" ca="1" si="33"/>
        <v>3</v>
      </c>
    </row>
    <row r="53" spans="1:59" ht="15" customHeight="1" x14ac:dyDescent="0.3">
      <c r="A53" s="4" t="s">
        <v>74</v>
      </c>
      <c r="B53" s="5">
        <v>2</v>
      </c>
      <c r="E53" s="17">
        <f t="shared" ca="1" si="32"/>
        <v>3</v>
      </c>
      <c r="G53" s="17">
        <f t="shared" ca="1" si="33"/>
        <v>3</v>
      </c>
    </row>
    <row r="54" spans="1:59" ht="15" customHeight="1" x14ac:dyDescent="0.3"/>
    <row r="55" spans="1:59" ht="15" customHeight="1" x14ac:dyDescent="0.3"/>
    <row r="56" spans="1:59" ht="15" customHeight="1" thickBot="1" x14ac:dyDescent="0.3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</row>
    <row r="57" spans="1:59" ht="15" customHeight="1" x14ac:dyDescent="0.3"/>
    <row r="58" spans="1:59" ht="15" customHeight="1" x14ac:dyDescent="0.3"/>
    <row r="59" spans="1:59" ht="15" customHeight="1" x14ac:dyDescent="0.3"/>
    <row r="60" spans="1:59" ht="15" customHeight="1" x14ac:dyDescent="0.3">
      <c r="A60" s="68" t="s">
        <v>48</v>
      </c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</row>
    <row r="61" spans="1:59" ht="15" customHeight="1" x14ac:dyDescent="0.3">
      <c r="A61" s="3" t="s">
        <v>0</v>
      </c>
      <c r="B61" s="4" t="s">
        <v>9</v>
      </c>
      <c r="C61" s="4" t="s">
        <v>10</v>
      </c>
      <c r="D61" s="4" t="s">
        <v>11</v>
      </c>
      <c r="E61" s="4" t="s">
        <v>12</v>
      </c>
      <c r="F61" s="4" t="s">
        <v>13</v>
      </c>
      <c r="G61" s="4" t="s">
        <v>14</v>
      </c>
      <c r="H61" s="4" t="s">
        <v>15</v>
      </c>
      <c r="I61" s="4" t="s">
        <v>16</v>
      </c>
      <c r="J61" s="4" t="s">
        <v>17</v>
      </c>
      <c r="K61" s="4" t="s">
        <v>18</v>
      </c>
      <c r="L61" s="18" t="s">
        <v>1</v>
      </c>
    </row>
    <row r="62" spans="1:59" ht="15" customHeight="1" x14ac:dyDescent="0.3">
      <c r="A62" s="4" t="s">
        <v>9</v>
      </c>
      <c r="B62" s="11">
        <v>0</v>
      </c>
      <c r="C62" s="11">
        <v>25</v>
      </c>
      <c r="D62" s="11">
        <v>70</v>
      </c>
      <c r="E62" s="11">
        <v>41</v>
      </c>
      <c r="F62" s="11">
        <v>98</v>
      </c>
      <c r="G62" s="11">
        <v>59</v>
      </c>
      <c r="H62" s="11">
        <v>40</v>
      </c>
      <c r="I62" s="11">
        <v>37</v>
      </c>
      <c r="J62" s="11">
        <v>99</v>
      </c>
      <c r="K62" s="11">
        <v>103</v>
      </c>
      <c r="L62" s="5">
        <v>1</v>
      </c>
    </row>
    <row r="63" spans="1:59" ht="15" customHeight="1" x14ac:dyDescent="0.3">
      <c r="A63" s="4" t="s">
        <v>10</v>
      </c>
      <c r="B63" s="11">
        <v>25</v>
      </c>
      <c r="C63" s="11">
        <v>0</v>
      </c>
      <c r="D63" s="11">
        <v>45</v>
      </c>
      <c r="E63" s="11">
        <v>16</v>
      </c>
      <c r="F63" s="11">
        <v>73</v>
      </c>
      <c r="G63" s="11">
        <v>34</v>
      </c>
      <c r="H63" s="11">
        <v>21</v>
      </c>
      <c r="I63" s="11">
        <v>18</v>
      </c>
      <c r="J63" s="11">
        <v>74</v>
      </c>
      <c r="K63" s="11">
        <v>78</v>
      </c>
      <c r="L63" s="5">
        <v>1</v>
      </c>
    </row>
    <row r="64" spans="1:59" ht="15" customHeight="1" x14ac:dyDescent="0.3">
      <c r="A64" s="4" t="s">
        <v>11</v>
      </c>
      <c r="B64" s="11">
        <v>70</v>
      </c>
      <c r="C64" s="11">
        <v>45</v>
      </c>
      <c r="D64" s="11">
        <v>0</v>
      </c>
      <c r="E64" s="11">
        <v>29</v>
      </c>
      <c r="F64" s="11">
        <v>28</v>
      </c>
      <c r="G64" s="11">
        <v>11</v>
      </c>
      <c r="H64" s="11">
        <v>38</v>
      </c>
      <c r="I64" s="11">
        <v>35</v>
      </c>
      <c r="J64" s="11">
        <v>29</v>
      </c>
      <c r="K64" s="11">
        <v>33</v>
      </c>
      <c r="L64" s="5">
        <v>2</v>
      </c>
    </row>
    <row r="65" spans="1:59" ht="15" customHeight="1" x14ac:dyDescent="0.3">
      <c r="A65" s="4" t="s">
        <v>12</v>
      </c>
      <c r="B65" s="11">
        <v>41</v>
      </c>
      <c r="C65" s="11">
        <v>16</v>
      </c>
      <c r="D65" s="11">
        <v>29</v>
      </c>
      <c r="E65" s="11">
        <v>0</v>
      </c>
      <c r="F65" s="11">
        <v>57</v>
      </c>
      <c r="G65" s="11">
        <v>18</v>
      </c>
      <c r="H65" s="11">
        <v>16</v>
      </c>
      <c r="I65" s="11">
        <v>13</v>
      </c>
      <c r="J65" s="11">
        <v>58</v>
      </c>
      <c r="K65" s="11">
        <v>62</v>
      </c>
      <c r="L65" s="5">
        <v>1</v>
      </c>
    </row>
    <row r="66" spans="1:59" ht="15" customHeight="1" x14ac:dyDescent="0.3">
      <c r="A66" s="4" t="s">
        <v>13</v>
      </c>
      <c r="B66" s="11">
        <v>98</v>
      </c>
      <c r="C66" s="11">
        <v>73</v>
      </c>
      <c r="D66" s="11">
        <v>28</v>
      </c>
      <c r="E66" s="11">
        <v>57</v>
      </c>
      <c r="F66" s="11">
        <v>0</v>
      </c>
      <c r="G66" s="11">
        <v>39</v>
      </c>
      <c r="H66" s="11">
        <v>66</v>
      </c>
      <c r="I66" s="11">
        <v>63</v>
      </c>
      <c r="J66" s="11">
        <v>5</v>
      </c>
      <c r="K66" s="11">
        <v>6</v>
      </c>
      <c r="L66" s="5">
        <v>2</v>
      </c>
    </row>
    <row r="67" spans="1:59" ht="15" customHeight="1" x14ac:dyDescent="0.3">
      <c r="A67" s="4" t="s">
        <v>14</v>
      </c>
      <c r="B67" s="11">
        <v>59</v>
      </c>
      <c r="C67" s="11">
        <v>34</v>
      </c>
      <c r="D67" s="11">
        <v>11</v>
      </c>
      <c r="E67" s="11">
        <v>18</v>
      </c>
      <c r="F67" s="11">
        <v>39</v>
      </c>
      <c r="G67" s="11">
        <v>0</v>
      </c>
      <c r="H67" s="11">
        <v>27</v>
      </c>
      <c r="I67" s="11">
        <v>24</v>
      </c>
      <c r="J67" s="11">
        <v>40</v>
      </c>
      <c r="K67" s="11">
        <v>44</v>
      </c>
      <c r="L67" s="5">
        <v>1</v>
      </c>
    </row>
    <row r="68" spans="1:59" ht="15" customHeight="1" x14ac:dyDescent="0.3">
      <c r="A68" s="4" t="s">
        <v>15</v>
      </c>
      <c r="B68" s="11">
        <v>40</v>
      </c>
      <c r="C68" s="11">
        <v>21</v>
      </c>
      <c r="D68" s="11">
        <v>38</v>
      </c>
      <c r="E68" s="11">
        <v>16</v>
      </c>
      <c r="F68" s="11">
        <v>66</v>
      </c>
      <c r="G68" s="11">
        <v>27</v>
      </c>
      <c r="H68" s="11">
        <v>0</v>
      </c>
      <c r="I68" s="11">
        <v>9</v>
      </c>
      <c r="J68" s="11">
        <v>67</v>
      </c>
      <c r="K68" s="11">
        <v>71</v>
      </c>
      <c r="L68" s="5">
        <v>1</v>
      </c>
    </row>
    <row r="69" spans="1:59" ht="15" customHeight="1" x14ac:dyDescent="0.3">
      <c r="A69" s="4" t="s">
        <v>16</v>
      </c>
      <c r="B69" s="11">
        <v>37</v>
      </c>
      <c r="C69" s="11">
        <v>18</v>
      </c>
      <c r="D69" s="11">
        <v>35</v>
      </c>
      <c r="E69" s="11">
        <v>13</v>
      </c>
      <c r="F69" s="11">
        <v>63</v>
      </c>
      <c r="G69" s="11">
        <v>24</v>
      </c>
      <c r="H69" s="11">
        <v>9</v>
      </c>
      <c r="I69" s="11">
        <v>0</v>
      </c>
      <c r="J69" s="11">
        <v>64</v>
      </c>
      <c r="K69" s="11">
        <v>68</v>
      </c>
      <c r="L69" s="5">
        <v>1</v>
      </c>
    </row>
    <row r="70" spans="1:59" ht="15" customHeight="1" x14ac:dyDescent="0.3">
      <c r="A70" s="4" t="s">
        <v>17</v>
      </c>
      <c r="B70" s="11">
        <v>99</v>
      </c>
      <c r="C70" s="11">
        <v>74</v>
      </c>
      <c r="D70" s="11">
        <v>29</v>
      </c>
      <c r="E70" s="11">
        <v>58</v>
      </c>
      <c r="F70" s="11">
        <v>5</v>
      </c>
      <c r="G70" s="11">
        <v>40</v>
      </c>
      <c r="H70" s="11">
        <v>67</v>
      </c>
      <c r="I70" s="11">
        <v>64</v>
      </c>
      <c r="J70" s="11">
        <v>0</v>
      </c>
      <c r="K70" s="11">
        <v>4</v>
      </c>
      <c r="L70" s="5">
        <v>2</v>
      </c>
    </row>
    <row r="71" spans="1:59" ht="15" customHeight="1" x14ac:dyDescent="0.3">
      <c r="A71" s="4" t="s">
        <v>18</v>
      </c>
      <c r="B71" s="11">
        <v>103</v>
      </c>
      <c r="C71" s="11">
        <v>78</v>
      </c>
      <c r="D71" s="11">
        <v>33</v>
      </c>
      <c r="E71" s="11">
        <v>62</v>
      </c>
      <c r="F71" s="11">
        <v>6</v>
      </c>
      <c r="G71" s="11">
        <v>44</v>
      </c>
      <c r="H71" s="11">
        <v>71</v>
      </c>
      <c r="I71" s="11">
        <v>68</v>
      </c>
      <c r="J71" s="11">
        <v>4</v>
      </c>
      <c r="K71" s="11">
        <v>0</v>
      </c>
      <c r="L71" s="5">
        <v>2</v>
      </c>
    </row>
    <row r="72" spans="1:59" ht="15" customHeight="1" x14ac:dyDescent="0.3"/>
    <row r="73" spans="1:59" ht="15" customHeight="1" x14ac:dyDescent="0.3"/>
    <row r="74" spans="1:59" ht="15" customHeight="1" x14ac:dyDescent="0.3">
      <c r="A74" s="56" t="s">
        <v>53</v>
      </c>
      <c r="B74" s="57"/>
      <c r="C74" s="57"/>
      <c r="D74" s="57"/>
      <c r="E74" s="58"/>
      <c r="G74" s="56" t="s">
        <v>54</v>
      </c>
      <c r="H74" s="57"/>
      <c r="I74" s="57"/>
      <c r="J74" s="57"/>
      <c r="K74" s="58"/>
      <c r="M74" s="72" t="s">
        <v>55</v>
      </c>
      <c r="N74" s="72"/>
      <c r="O74" s="72"/>
      <c r="P74" s="72"/>
      <c r="Q74" s="72"/>
      <c r="S74" s="72" t="s">
        <v>56</v>
      </c>
      <c r="T74" s="72"/>
      <c r="U74" s="72"/>
      <c r="V74" s="72"/>
      <c r="W74" s="72"/>
      <c r="Y74" s="72" t="s">
        <v>57</v>
      </c>
      <c r="Z74" s="72"/>
      <c r="AA74" s="72"/>
      <c r="AB74" s="72"/>
      <c r="AC74" s="72"/>
      <c r="AE74" s="72" t="s">
        <v>58</v>
      </c>
      <c r="AF74" s="72"/>
      <c r="AG74" s="72"/>
      <c r="AH74" s="72"/>
      <c r="AI74" s="72"/>
      <c r="AK74" s="72" t="s">
        <v>59</v>
      </c>
      <c r="AL74" s="72"/>
      <c r="AM74" s="72"/>
      <c r="AN74" s="72"/>
      <c r="AO74" s="72"/>
      <c r="AQ74" s="72" t="s">
        <v>60</v>
      </c>
      <c r="AR74" s="72"/>
      <c r="AS74" s="72"/>
      <c r="AT74" s="72"/>
      <c r="AU74" s="72"/>
      <c r="AW74" s="72" t="s">
        <v>61</v>
      </c>
      <c r="AX74" s="72"/>
      <c r="AY74" s="72"/>
      <c r="AZ74" s="72"/>
      <c r="BA74" s="72"/>
      <c r="BC74" s="72" t="s">
        <v>62</v>
      </c>
      <c r="BD74" s="72"/>
      <c r="BE74" s="72"/>
      <c r="BF74" s="72"/>
      <c r="BG74" s="72"/>
    </row>
    <row r="75" spans="1:59" ht="34.950000000000003" customHeight="1" x14ac:dyDescent="0.3">
      <c r="A75" s="10" t="s">
        <v>19</v>
      </c>
      <c r="B75" s="9" t="s">
        <v>21</v>
      </c>
      <c r="C75" s="9" t="s">
        <v>22</v>
      </c>
      <c r="D75" s="9" t="s">
        <v>1</v>
      </c>
      <c r="E75" s="15" t="s">
        <v>23</v>
      </c>
      <c r="G75" s="10" t="s">
        <v>19</v>
      </c>
      <c r="H75" s="9" t="s">
        <v>21</v>
      </c>
      <c r="I75" s="9" t="s">
        <v>22</v>
      </c>
      <c r="J75" s="9" t="s">
        <v>1</v>
      </c>
      <c r="K75" s="15" t="s">
        <v>23</v>
      </c>
      <c r="M75" s="10" t="s">
        <v>19</v>
      </c>
      <c r="N75" s="9" t="s">
        <v>21</v>
      </c>
      <c r="O75" s="9" t="s">
        <v>22</v>
      </c>
      <c r="P75" s="9" t="s">
        <v>1</v>
      </c>
      <c r="Q75" s="15" t="s">
        <v>23</v>
      </c>
      <c r="S75" s="10" t="s">
        <v>19</v>
      </c>
      <c r="T75" s="9" t="s">
        <v>21</v>
      </c>
      <c r="U75" s="9" t="s">
        <v>22</v>
      </c>
      <c r="V75" s="9" t="s">
        <v>1</v>
      </c>
      <c r="W75" s="15" t="s">
        <v>23</v>
      </c>
      <c r="Y75" s="10" t="s">
        <v>19</v>
      </c>
      <c r="Z75" s="9" t="s">
        <v>21</v>
      </c>
      <c r="AA75" s="9" t="s">
        <v>22</v>
      </c>
      <c r="AB75" s="9" t="s">
        <v>1</v>
      </c>
      <c r="AC75" s="15" t="s">
        <v>23</v>
      </c>
      <c r="AE75" s="10" t="s">
        <v>19</v>
      </c>
      <c r="AF75" s="9" t="s">
        <v>21</v>
      </c>
      <c r="AG75" s="9" t="s">
        <v>22</v>
      </c>
      <c r="AH75" s="9" t="s">
        <v>1</v>
      </c>
      <c r="AI75" s="15" t="s">
        <v>23</v>
      </c>
      <c r="AK75" s="10" t="s">
        <v>19</v>
      </c>
      <c r="AL75" s="9" t="s">
        <v>21</v>
      </c>
      <c r="AM75" s="9" t="s">
        <v>22</v>
      </c>
      <c r="AN75" s="9" t="s">
        <v>1</v>
      </c>
      <c r="AO75" s="15" t="s">
        <v>23</v>
      </c>
      <c r="AQ75" s="10" t="s">
        <v>19</v>
      </c>
      <c r="AR75" s="9" t="s">
        <v>21</v>
      </c>
      <c r="AS75" s="9" t="s">
        <v>22</v>
      </c>
      <c r="AT75" s="9" t="s">
        <v>1</v>
      </c>
      <c r="AU75" s="15" t="s">
        <v>23</v>
      </c>
      <c r="AW75" s="10" t="s">
        <v>19</v>
      </c>
      <c r="AX75" s="9" t="s">
        <v>21</v>
      </c>
      <c r="AY75" s="9" t="s">
        <v>22</v>
      </c>
      <c r="AZ75" s="9" t="s">
        <v>1</v>
      </c>
      <c r="BA75" s="15" t="s">
        <v>23</v>
      </c>
      <c r="BC75" s="10" t="s">
        <v>19</v>
      </c>
      <c r="BD75" s="9" t="s">
        <v>21</v>
      </c>
      <c r="BE75" s="9" t="s">
        <v>22</v>
      </c>
      <c r="BF75" s="9" t="s">
        <v>1</v>
      </c>
      <c r="BG75" s="15" t="s">
        <v>23</v>
      </c>
    </row>
    <row r="76" spans="1:59" ht="15" customHeight="1" x14ac:dyDescent="0.3">
      <c r="A76" s="4">
        <v>1</v>
      </c>
      <c r="B76" s="16" t="str" cm="1">
        <f t="array" ref="B76">IF($A76&gt;9,"",INDEX($B$61:$K$61,MATCH(SMALL(IF($B$62:$K$62=0,10^9,$B$62:$K$62)+(COLUMN($B$61:$K$61)-COLUMN($B$61))/10^6,$A76),IF($B$62:$K$62=0,10^9,$B$62:$K$62)+(COLUMN($B$61:$K$61)-COLUMN($B$61))/10^6,0)))</f>
        <v>S2</v>
      </c>
      <c r="C76" s="16">
        <f t="shared" ref="C76:C84" si="34">IF(B76="","",INDEX($B$62:$K$62,MATCH(B76,$B$61:$K$61,0)))</f>
        <v>25</v>
      </c>
      <c r="D76" s="16">
        <f t="shared" ref="D76:D84" si="35">IF(B76="","",INDEX($L$62:$L$71,MATCH(B76,$A$62:$A$71,0)))</f>
        <v>1</v>
      </c>
      <c r="E76" s="16">
        <f t="shared" ref="E76:E84" si="36">IF(D76="","",IF(D76=$L$62,1,0))</f>
        <v>1</v>
      </c>
      <c r="G76" s="4">
        <v>1</v>
      </c>
      <c r="H76" s="16" t="str" cm="1">
        <f t="array" ref="H76">IF($G76&gt;9,"",INDEX($B$61:$K$61,MATCH(SMALL(IF($B$63:$K$63=0,10^9,$B$63:$K$63)+(COLUMN($B$61:$K$61)-COLUMN($C$61))/10^6,$G76),IF($B$63:$K$63=0,10^9,$B$63:$K$63)+(COLUMN($B$61:$K$61)-COLUMN($C$61))/10^6,0)))</f>
        <v>S4</v>
      </c>
      <c r="I76" s="16">
        <f t="shared" ref="I76:I84" si="37">IF(H76="","",INDEX($B$63:$K$63,MATCH(H76,$B$61:$K$61,0)))</f>
        <v>16</v>
      </c>
      <c r="J76" s="16">
        <f t="shared" ref="J76:J84" si="38">IF(H76="","",INDEX($L$62:$L$71,MATCH(H76,$A$62:$A$71,0)))</f>
        <v>1</v>
      </c>
      <c r="K76" s="16">
        <f t="shared" ref="K76:K84" si="39">IF(J76="","",IF(J76=$L$63,1,0))</f>
        <v>1</v>
      </c>
      <c r="M76" s="4">
        <v>1</v>
      </c>
      <c r="N76" s="16" t="str" cm="1">
        <f t="array" ref="N76">IF($M76&gt;9,"",INDEX($B$61:$K$61,MATCH(SMALL(IF($B$64:$K$64=0,10^9,$B$64:$K$64)+(COLUMN($B$61:$K$61)-COLUMN($D$61))/10^6,$M76),IF($B$64:$K$64=0,10^9,$B$64:$K$64)+(COLUMN($B$61:$K$61)-COLUMN($D$61))/10^6,0)))</f>
        <v>S6</v>
      </c>
      <c r="O76" s="16">
        <f t="shared" ref="O76:O84" si="40">IF(N76="","",INDEX($B$64:$K$64,MATCH(N76,$B$61:$K$61,0)))</f>
        <v>11</v>
      </c>
      <c r="P76" s="16">
        <f t="shared" ref="P76:P84" si="41">IF(N76="","",INDEX($L$62:$L$71,MATCH(N76,$A$62:$A$71,0)))</f>
        <v>1</v>
      </c>
      <c r="Q76" s="16">
        <f t="shared" ref="Q76:Q84" si="42">IF(P76="","",IF(P76=$L$64,1,0))</f>
        <v>0</v>
      </c>
      <c r="S76" s="4">
        <v>1</v>
      </c>
      <c r="T76" s="16" t="str" cm="1">
        <f t="array" ref="T76">IF($S76&gt;9,"",INDEX($B$61:$K$61,MATCH(SMALL(IF($B$65:$K$65=0,10^9,$B$65:$K$65)+(COLUMN($B$61:$K$61)-COLUMN($E$61))/10^6,$S76),IF($B$65:$K$65=0,10^9,$B$65:$K$65)+(COLUMN($B$61:$K$61)-COLUMN($E$61))/10^6,0)))</f>
        <v>S8</v>
      </c>
      <c r="U76" s="16">
        <f t="shared" ref="U76:U84" si="43">IF(T76="","",INDEX($B$65:$K$65,MATCH(T76,$B$61:$K$61,0)))</f>
        <v>13</v>
      </c>
      <c r="V76" s="16">
        <f t="shared" ref="V76:V84" si="44">IF(T76="","",INDEX($L$62:$L$71,MATCH(T76,$A$62:$A$71,0)))</f>
        <v>1</v>
      </c>
      <c r="W76" s="16">
        <f t="shared" ref="W76:W84" si="45">IF(V76="","",IF(V76=$L$65,1,0))</f>
        <v>1</v>
      </c>
      <c r="Y76" s="4">
        <v>1</v>
      </c>
      <c r="Z76" s="16" t="str" cm="1">
        <f t="array" ref="Z76">IF($Y76&gt;9,"",INDEX($B$61:$K$61,MATCH(SMALL(IF($B$66:$K$66=0,10^9,$B$66:$K$66)+(COLUMN($B$61:$K$61)-COLUMN($F$61))/10^6,$Y76),IF($B$66:$K$66=0,10^9,$B$66:$K$66)+(COLUMN($B$61:$K$61)-COLUMN($F$61))/10^6,0)))</f>
        <v>S9</v>
      </c>
      <c r="AA76" s="16">
        <f t="shared" ref="AA76:AA84" si="46">IF(Z76="","",INDEX($B$66:$K$66,MATCH(Z76,$B$61:$K$61,0)))</f>
        <v>5</v>
      </c>
      <c r="AB76" s="16">
        <f t="shared" ref="AB76:AB84" si="47">IF(Z76="","",INDEX($L$62:$L$71,MATCH(Z76,$A$62:$A$71,0)))</f>
        <v>2</v>
      </c>
      <c r="AC76" s="16">
        <f t="shared" ref="AC76:AC84" si="48">IF(AB76="","",IF(AB76=$L$66,1,0))</f>
        <v>1</v>
      </c>
      <c r="AE76" s="4">
        <v>1</v>
      </c>
      <c r="AF76" s="16" t="str" cm="1">
        <f t="array" ref="AF76">IF($AE76&gt;9,"",INDEX($B$61:$K$61,MATCH(SMALL(IF($B$67:$K$67=0,10^9,$B$67:$K$67)+(COLUMN($B$61:$K$61)-COLUMN($G$61))/10^6,$AE76),IF($B$67:$K$67=0,10^9,$B$67:$K$67)+(COLUMN($B$61:$K$61)-COLUMN($G$61))/10^6,0)))</f>
        <v>S3</v>
      </c>
      <c r="AG76" s="16">
        <f t="shared" ref="AG76:AG84" si="49">IF(AF76="","",INDEX($B$67:$K$67,MATCH(AF76,$B$61:$K$61,0)))</f>
        <v>11</v>
      </c>
      <c r="AH76" s="16">
        <f t="shared" ref="AH76:AH84" si="50">IF(AF76="","",INDEX($L$62:$L$71,MATCH(AF76,$A$62:$A$71,0)))</f>
        <v>2</v>
      </c>
      <c r="AI76" s="16">
        <f t="shared" ref="AI76:AI84" si="51">IF(AH76="","",IF(AH76=$L$67,1,0))</f>
        <v>0</v>
      </c>
      <c r="AK76" s="4">
        <v>1</v>
      </c>
      <c r="AL76" s="16" t="str" cm="1">
        <f t="array" ref="AL76">IF($AK76&gt;9,"",INDEX($B$61:$K$61,MATCH(SMALL(IF($B$68:$K$68=0,10^9,$B$68:$K$68)+(COLUMN($B$61:$K$61)-COLUMN($H$61))/10^6,$AK76),IF($B$68:$K$68=0,10^9,$B$68:$K$68)+(COLUMN($B$61:$K$61)-COLUMN($H$61))/10^6,0)))</f>
        <v>S8</v>
      </c>
      <c r="AM76" s="16">
        <f t="shared" ref="AM76:AM84" si="52">IF(AL76="","",INDEX($B$68:$K$68,MATCH(AL76,$B$61:$K$61,0)))</f>
        <v>9</v>
      </c>
      <c r="AN76" s="16">
        <f t="shared" ref="AN76:AN84" si="53">IF(AL76="","",INDEX($L$62:$L$71,MATCH(AL76,$A$62:$A$71,0)))</f>
        <v>1</v>
      </c>
      <c r="AO76" s="16">
        <f t="shared" ref="AO76:AO84" si="54">IF(AN76="","",IF(AN76=$L$68,1,0))</f>
        <v>1</v>
      </c>
      <c r="AQ76" s="4">
        <v>1</v>
      </c>
      <c r="AR76" s="16" t="str" cm="1">
        <f t="array" ref="AR76">IF($AQ76&gt;9,"",INDEX($B$61:$K$61,MATCH(SMALL(IF($B$69:$K$69=0,10^9,$B$69:$K$69)+(COLUMN($B$61:$K$61)-COLUMN($I$61))/10^6,$AQ76),IF($B$69:$K$69=0,10^9,$B$69:$K$69)+(COLUMN($B$61:$K$61)-COLUMN($I$61))/10^6,0)))</f>
        <v>S7</v>
      </c>
      <c r="AS76" s="16">
        <f t="shared" ref="AS76:AS84" si="55">IF(AR76="","",INDEX($B$69:$K$69,MATCH(AR76,$B$61:$K$61,0)))</f>
        <v>9</v>
      </c>
      <c r="AT76" s="16">
        <f t="shared" ref="AT76:AT84" si="56">IF(AR76="","",INDEX($L$62:$L$71,MATCH(AR76,$A$62:$A$71,0)))</f>
        <v>1</v>
      </c>
      <c r="AU76" s="16">
        <f t="shared" ref="AU76:AU84" si="57">IF(AT76="","",IF(AT76=$L$69,1,0))</f>
        <v>1</v>
      </c>
      <c r="AW76" s="4">
        <v>1</v>
      </c>
      <c r="AX76" s="16" t="str" cm="1">
        <f t="array" ref="AX76">IF($AW76&gt;9,"",INDEX($B$61:$K$61,MATCH(SMALL(IF($B$70:$K$70=0,10^9,$B$70:$K$70)+(COLUMN($B$61:$K$61)-COLUMN($J$61))/10^6,$AW76),IF($B$70:$K$70=0,10^9,$B$70:$K$70)+(COLUMN($B$61:$K$61)-COLUMN($J$61))/10^6,0)))</f>
        <v>S10</v>
      </c>
      <c r="AY76" s="16">
        <f t="shared" ref="AY76:AY84" si="58">IF(AX76="","",INDEX($B$70:$K$70,MATCH(AX76,$B$61:$K$61,0)))</f>
        <v>4</v>
      </c>
      <c r="AZ76" s="16">
        <f t="shared" ref="AZ76:AZ84" si="59">IF(AX76="","",INDEX($L$62:$L$71,MATCH(AX76,$A$62:$A$71,0)))</f>
        <v>2</v>
      </c>
      <c r="BA76" s="16">
        <f t="shared" ref="BA76:BA84" si="60">IF(AZ76="","",IF(AZ76=$L$70,1,0))</f>
        <v>1</v>
      </c>
      <c r="BC76" s="4">
        <v>1</v>
      </c>
      <c r="BD76" s="16" t="str" cm="1">
        <f t="array" ref="BD76">IF($BC76&gt;9,"",INDEX($B$61:$K$61,MATCH(SMALL(IF($B$71:$K$71=0,10^9,$B$71:$K$71)+(COLUMN($B$61:$K$61)-COLUMN($K$61))/10^6,$BC76),IF($B$71:$K$71=0,10^9,$B$71:$K$71)+(COLUMN($B$61:$K$61)-COLUMN($K$61))/10^6,0)))</f>
        <v>S9</v>
      </c>
      <c r="BE76" s="16">
        <f t="shared" ref="BE76:BE84" si="61">IF(BD76="","",INDEX($B$71:$K$71,MATCH(BD76,$B$61:$K$61,0)))</f>
        <v>4</v>
      </c>
      <c r="BF76" s="16">
        <f t="shared" ref="BF76:BF84" si="62">IF(BD76="","",INDEX($L$62:$L$71,MATCH(BD76,$A$62:$A$71,0)))</f>
        <v>2</v>
      </c>
      <c r="BG76" s="16">
        <f t="shared" ref="BG76:BG84" si="63">IF(BF76="","",IF(BF76=$L$71,1,0))</f>
        <v>1</v>
      </c>
    </row>
    <row r="77" spans="1:59" ht="15" customHeight="1" x14ac:dyDescent="0.3">
      <c r="A77" s="4">
        <v>2</v>
      </c>
      <c r="B77" s="16" t="str" cm="1">
        <f t="array" ref="B77">IF($A77&gt;9,"",INDEX($B$61:$K$61,MATCH(SMALL(IF($B$62:$K$62=0,10^9,$B$62:$K$62)+(COLUMN($B$61:$K$61)-COLUMN($B$61))/10^6,$A77),IF($B$62:$K$62=0,10^9,$B$62:$K$62)+(COLUMN($B$61:$K$61)-COLUMN($B$61))/10^6,0)))</f>
        <v>S8</v>
      </c>
      <c r="C77" s="16">
        <f t="shared" si="34"/>
        <v>37</v>
      </c>
      <c r="D77" s="16">
        <f t="shared" si="35"/>
        <v>1</v>
      </c>
      <c r="E77" s="16">
        <f t="shared" si="36"/>
        <v>1</v>
      </c>
      <c r="G77" s="4">
        <v>2</v>
      </c>
      <c r="H77" s="16" t="str" cm="1">
        <f t="array" ref="H77">IF($G77&gt;9,"",INDEX($B$61:$K$61,MATCH(SMALL(IF($B$63:$K$63=0,10^9,$B$63:$K$63)+(COLUMN($B$61:$K$61)-COLUMN($C$61))/10^6,$G77),IF($B$63:$K$63=0,10^9,$B$63:$K$63)+(COLUMN($B$61:$K$61)-COLUMN($C$61))/10^6,0)))</f>
        <v>S8</v>
      </c>
      <c r="I77" s="16">
        <f t="shared" si="37"/>
        <v>18</v>
      </c>
      <c r="J77" s="16">
        <f t="shared" si="38"/>
        <v>1</v>
      </c>
      <c r="K77" s="16">
        <f t="shared" si="39"/>
        <v>1</v>
      </c>
      <c r="M77" s="4">
        <v>2</v>
      </c>
      <c r="N77" s="16" t="str" cm="1">
        <f t="array" ref="N77">IF($M77&gt;9,"",INDEX($B$61:$K$61,MATCH(SMALL(IF($B$64:$K$64=0,10^9,$B$64:$K$64)+(COLUMN($B$61:$K$61)-COLUMN($D$61))/10^6,$M77),IF($B$64:$K$64=0,10^9,$B$64:$K$64)+(COLUMN($B$61:$K$61)-COLUMN($D$61))/10^6,0)))</f>
        <v>S5</v>
      </c>
      <c r="O77" s="16">
        <f t="shared" si="40"/>
        <v>28</v>
      </c>
      <c r="P77" s="16">
        <f t="shared" si="41"/>
        <v>2</v>
      </c>
      <c r="Q77" s="16">
        <f t="shared" si="42"/>
        <v>1</v>
      </c>
      <c r="S77" s="4">
        <v>2</v>
      </c>
      <c r="T77" s="16" t="str" cm="1">
        <f t="array" ref="T77">IF($S77&gt;9,"",INDEX($B$61:$K$61,MATCH(SMALL(IF($B$65:$K$65=0,10^9,$B$65:$K$65)+(COLUMN($B$61:$K$61)-COLUMN($E$61))/10^6,$S77),IF($B$65:$K$65=0,10^9,$B$65:$K$65)+(COLUMN($B$61:$K$61)-COLUMN($E$61))/10^6,0)))</f>
        <v>S2</v>
      </c>
      <c r="U77" s="16">
        <f t="shared" si="43"/>
        <v>16</v>
      </c>
      <c r="V77" s="16">
        <f t="shared" si="44"/>
        <v>1</v>
      </c>
      <c r="W77" s="16">
        <f t="shared" si="45"/>
        <v>1</v>
      </c>
      <c r="Y77" s="4">
        <v>2</v>
      </c>
      <c r="Z77" s="16" t="str" cm="1">
        <f t="array" ref="Z77">IF($Y77&gt;9,"",INDEX($B$61:$K$61,MATCH(SMALL(IF($B$66:$K$66=0,10^9,$B$66:$K$66)+(COLUMN($B$61:$K$61)-COLUMN($F$61))/10^6,$Y77),IF($B$66:$K$66=0,10^9,$B$66:$K$66)+(COLUMN($B$61:$K$61)-COLUMN($F$61))/10^6,0)))</f>
        <v>S10</v>
      </c>
      <c r="AA77" s="16">
        <f t="shared" si="46"/>
        <v>6</v>
      </c>
      <c r="AB77" s="16">
        <f t="shared" si="47"/>
        <v>2</v>
      </c>
      <c r="AC77" s="16">
        <f t="shared" si="48"/>
        <v>1</v>
      </c>
      <c r="AE77" s="4">
        <v>2</v>
      </c>
      <c r="AF77" s="16" t="str" cm="1">
        <f t="array" ref="AF77">IF($AE77&gt;9,"",INDEX($B$61:$K$61,MATCH(SMALL(IF($B$67:$K$67=0,10^9,$B$67:$K$67)+(COLUMN($B$61:$K$61)-COLUMN($G$61))/10^6,$AE77),IF($B$67:$K$67=0,10^9,$B$67:$K$67)+(COLUMN($B$61:$K$61)-COLUMN($G$61))/10^6,0)))</f>
        <v>S4</v>
      </c>
      <c r="AG77" s="16">
        <f t="shared" si="49"/>
        <v>18</v>
      </c>
      <c r="AH77" s="16">
        <f t="shared" si="50"/>
        <v>1</v>
      </c>
      <c r="AI77" s="16">
        <f t="shared" si="51"/>
        <v>1</v>
      </c>
      <c r="AK77" s="4">
        <v>2</v>
      </c>
      <c r="AL77" s="16" t="str" cm="1">
        <f t="array" ref="AL77">IF($AK77&gt;9,"",INDEX($B$61:$K$61,MATCH(SMALL(IF($B$68:$K$68=0,10^9,$B$68:$K$68)+(COLUMN($B$61:$K$61)-COLUMN($H$61))/10^6,$AK77),IF($B$68:$K$68=0,10^9,$B$68:$K$68)+(COLUMN($B$61:$K$61)-COLUMN($H$61))/10^6,0)))</f>
        <v>S4</v>
      </c>
      <c r="AM77" s="16">
        <f t="shared" si="52"/>
        <v>16</v>
      </c>
      <c r="AN77" s="16">
        <f t="shared" si="53"/>
        <v>1</v>
      </c>
      <c r="AO77" s="16">
        <f t="shared" si="54"/>
        <v>1</v>
      </c>
      <c r="AQ77" s="4">
        <v>2</v>
      </c>
      <c r="AR77" s="16" t="str" cm="1">
        <f t="array" ref="AR77">IF($AQ77&gt;9,"",INDEX($B$61:$K$61,MATCH(SMALL(IF($B$69:$K$69=0,10^9,$B$69:$K$69)+(COLUMN($B$61:$K$61)-COLUMN($I$61))/10^6,$AQ77),IF($B$69:$K$69=0,10^9,$B$69:$K$69)+(COLUMN($B$61:$K$61)-COLUMN($I$61))/10^6,0)))</f>
        <v>S4</v>
      </c>
      <c r="AS77" s="16">
        <f t="shared" si="55"/>
        <v>13</v>
      </c>
      <c r="AT77" s="16">
        <f t="shared" si="56"/>
        <v>1</v>
      </c>
      <c r="AU77" s="16">
        <f t="shared" si="57"/>
        <v>1</v>
      </c>
      <c r="AW77" s="4">
        <v>2</v>
      </c>
      <c r="AX77" s="16" t="str" cm="1">
        <f t="array" ref="AX77">IF($AW77&gt;9,"",INDEX($B$61:$K$61,MATCH(SMALL(IF($B$70:$K$70=0,10^9,$B$70:$K$70)+(COLUMN($B$61:$K$61)-COLUMN($J$61))/10^6,$AW77),IF($B$70:$K$70=0,10^9,$B$70:$K$70)+(COLUMN($B$61:$K$61)-COLUMN($J$61))/10^6,0)))</f>
        <v>S5</v>
      </c>
      <c r="AY77" s="16">
        <f t="shared" si="58"/>
        <v>5</v>
      </c>
      <c r="AZ77" s="16">
        <f t="shared" si="59"/>
        <v>2</v>
      </c>
      <c r="BA77" s="16">
        <f t="shared" si="60"/>
        <v>1</v>
      </c>
      <c r="BC77" s="4">
        <v>2</v>
      </c>
      <c r="BD77" s="16" t="str" cm="1">
        <f t="array" ref="BD77">IF($BC77&gt;9,"",INDEX($B$61:$K$61,MATCH(SMALL(IF($B$71:$K$71=0,10^9,$B$71:$K$71)+(COLUMN($B$61:$K$61)-COLUMN($K$61))/10^6,$BC77),IF($B$71:$K$71=0,10^9,$B$71:$K$71)+(COLUMN($B$61:$K$61)-COLUMN($K$61))/10^6,0)))</f>
        <v>S5</v>
      </c>
      <c r="BE77" s="16">
        <f t="shared" si="61"/>
        <v>6</v>
      </c>
      <c r="BF77" s="16">
        <f t="shared" si="62"/>
        <v>2</v>
      </c>
      <c r="BG77" s="16">
        <f t="shared" si="63"/>
        <v>1</v>
      </c>
    </row>
    <row r="78" spans="1:59" ht="15" customHeight="1" x14ac:dyDescent="0.3">
      <c r="A78" s="4">
        <v>3</v>
      </c>
      <c r="B78" s="16" t="str" cm="1">
        <f t="array" ref="B78">IF($A78&gt;9,"",INDEX($B$61:$K$61,MATCH(SMALL(IF($B$62:$K$62=0,10^9,$B$62:$K$62)+(COLUMN($B$61:$K$61)-COLUMN($B$61))/10^6,$A78),IF($B$62:$K$62=0,10^9,$B$62:$K$62)+(COLUMN($B$61:$K$61)-COLUMN($B$61))/10^6,0)))</f>
        <v>S7</v>
      </c>
      <c r="C78" s="16">
        <f t="shared" si="34"/>
        <v>40</v>
      </c>
      <c r="D78" s="16">
        <f t="shared" si="35"/>
        <v>1</v>
      </c>
      <c r="E78" s="16">
        <f t="shared" si="36"/>
        <v>1</v>
      </c>
      <c r="G78" s="4">
        <v>3</v>
      </c>
      <c r="H78" s="16" t="str" cm="1">
        <f t="array" ref="H78">IF($G78&gt;9,"",INDEX($B$61:$K$61,MATCH(SMALL(IF($B$63:$K$63=0,10^9,$B$63:$K$63)+(COLUMN($B$61:$K$61)-COLUMN($C$61))/10^6,$G78),IF($B$63:$K$63=0,10^9,$B$63:$K$63)+(COLUMN($B$61:$K$61)-COLUMN($C$61))/10^6,0)))</f>
        <v>S7</v>
      </c>
      <c r="I78" s="16">
        <f t="shared" si="37"/>
        <v>21</v>
      </c>
      <c r="J78" s="16">
        <f t="shared" si="38"/>
        <v>1</v>
      </c>
      <c r="K78" s="16">
        <f t="shared" si="39"/>
        <v>1</v>
      </c>
      <c r="M78" s="4">
        <v>3</v>
      </c>
      <c r="N78" s="16" t="str" cm="1">
        <f t="array" ref="N78">IF($M78&gt;9,"",INDEX($B$61:$K$61,MATCH(SMALL(IF($B$64:$K$64=0,10^9,$B$64:$K$64)+(COLUMN($B$61:$K$61)-COLUMN($D$61))/10^6,$M78),IF($B$64:$K$64=0,10^9,$B$64:$K$64)+(COLUMN($B$61:$K$61)-COLUMN($D$61))/10^6,0)))</f>
        <v>S4</v>
      </c>
      <c r="O78" s="16">
        <f t="shared" si="40"/>
        <v>29</v>
      </c>
      <c r="P78" s="16">
        <f t="shared" si="41"/>
        <v>1</v>
      </c>
      <c r="Q78" s="16">
        <f t="shared" si="42"/>
        <v>0</v>
      </c>
      <c r="S78" s="4">
        <v>3</v>
      </c>
      <c r="T78" s="16" t="str" cm="1">
        <f t="array" ref="T78">IF($S78&gt;9,"",INDEX($B$61:$K$61,MATCH(SMALL(IF($B$65:$K$65=0,10^9,$B$65:$K$65)+(COLUMN($B$61:$K$61)-COLUMN($E$61))/10^6,$S78),IF($B$65:$K$65=0,10^9,$B$65:$K$65)+(COLUMN($B$61:$K$61)-COLUMN($E$61))/10^6,0)))</f>
        <v>S7</v>
      </c>
      <c r="U78" s="16">
        <f t="shared" si="43"/>
        <v>16</v>
      </c>
      <c r="V78" s="16">
        <f t="shared" si="44"/>
        <v>1</v>
      </c>
      <c r="W78" s="16">
        <f t="shared" si="45"/>
        <v>1</v>
      </c>
      <c r="Y78" s="4">
        <v>3</v>
      </c>
      <c r="Z78" s="16" t="str" cm="1">
        <f t="array" ref="Z78">IF($Y78&gt;9,"",INDEX($B$61:$K$61,MATCH(SMALL(IF($B$66:$K$66=0,10^9,$B$66:$K$66)+(COLUMN($B$61:$K$61)-COLUMN($F$61))/10^6,$Y78),IF($B$66:$K$66=0,10^9,$B$66:$K$66)+(COLUMN($B$61:$K$61)-COLUMN($F$61))/10^6,0)))</f>
        <v>S3</v>
      </c>
      <c r="AA78" s="16">
        <f t="shared" si="46"/>
        <v>28</v>
      </c>
      <c r="AB78" s="16">
        <f t="shared" si="47"/>
        <v>2</v>
      </c>
      <c r="AC78" s="16">
        <f t="shared" si="48"/>
        <v>1</v>
      </c>
      <c r="AE78" s="4">
        <v>3</v>
      </c>
      <c r="AF78" s="16" t="str" cm="1">
        <f t="array" ref="AF78">IF($AE78&gt;9,"",INDEX($B$61:$K$61,MATCH(SMALL(IF($B$67:$K$67=0,10^9,$B$67:$K$67)+(COLUMN($B$61:$K$61)-COLUMN($G$61))/10^6,$AE78),IF($B$67:$K$67=0,10^9,$B$67:$K$67)+(COLUMN($B$61:$K$61)-COLUMN($G$61))/10^6,0)))</f>
        <v>S8</v>
      </c>
      <c r="AG78" s="16">
        <f t="shared" si="49"/>
        <v>24</v>
      </c>
      <c r="AH78" s="16">
        <f t="shared" si="50"/>
        <v>1</v>
      </c>
      <c r="AI78" s="16">
        <f t="shared" si="51"/>
        <v>1</v>
      </c>
      <c r="AK78" s="4">
        <v>3</v>
      </c>
      <c r="AL78" s="16" t="str" cm="1">
        <f t="array" ref="AL78">IF($AK78&gt;9,"",INDEX($B$61:$K$61,MATCH(SMALL(IF($B$68:$K$68=0,10^9,$B$68:$K$68)+(COLUMN($B$61:$K$61)-COLUMN($H$61))/10^6,$AK78),IF($B$68:$K$68=0,10^9,$B$68:$K$68)+(COLUMN($B$61:$K$61)-COLUMN($H$61))/10^6,0)))</f>
        <v>S2</v>
      </c>
      <c r="AM78" s="16">
        <f t="shared" si="52"/>
        <v>21</v>
      </c>
      <c r="AN78" s="16">
        <f t="shared" si="53"/>
        <v>1</v>
      </c>
      <c r="AO78" s="16">
        <f t="shared" si="54"/>
        <v>1</v>
      </c>
      <c r="AQ78" s="4">
        <v>3</v>
      </c>
      <c r="AR78" s="16" t="str" cm="1">
        <f t="array" ref="AR78">IF($AQ78&gt;9,"",INDEX($B$61:$K$61,MATCH(SMALL(IF($B$69:$K$69=0,10^9,$B$69:$K$69)+(COLUMN($B$61:$K$61)-COLUMN($I$61))/10^6,$AQ78),IF($B$69:$K$69=0,10^9,$B$69:$K$69)+(COLUMN($B$61:$K$61)-COLUMN($I$61))/10^6,0)))</f>
        <v>S2</v>
      </c>
      <c r="AS78" s="16">
        <f t="shared" si="55"/>
        <v>18</v>
      </c>
      <c r="AT78" s="16">
        <f t="shared" si="56"/>
        <v>1</v>
      </c>
      <c r="AU78" s="16">
        <f t="shared" si="57"/>
        <v>1</v>
      </c>
      <c r="AW78" s="4">
        <v>3</v>
      </c>
      <c r="AX78" s="16" t="str" cm="1">
        <f t="array" ref="AX78">IF($AW78&gt;9,"",INDEX($B$61:$K$61,MATCH(SMALL(IF($B$70:$K$70=0,10^9,$B$70:$K$70)+(COLUMN($B$61:$K$61)-COLUMN($J$61))/10^6,$AW78),IF($B$70:$K$70=0,10^9,$B$70:$K$70)+(COLUMN($B$61:$K$61)-COLUMN($J$61))/10^6,0)))</f>
        <v>S3</v>
      </c>
      <c r="AY78" s="16">
        <f t="shared" si="58"/>
        <v>29</v>
      </c>
      <c r="AZ78" s="16">
        <f t="shared" si="59"/>
        <v>2</v>
      </c>
      <c r="BA78" s="16">
        <f t="shared" si="60"/>
        <v>1</v>
      </c>
      <c r="BC78" s="4">
        <v>3</v>
      </c>
      <c r="BD78" s="16" t="str" cm="1">
        <f t="array" ref="BD78">IF($BC78&gt;9,"",INDEX($B$61:$K$61,MATCH(SMALL(IF($B$71:$K$71=0,10^9,$B$71:$K$71)+(COLUMN($B$61:$K$61)-COLUMN($K$61))/10^6,$BC78),IF($B$71:$K$71=0,10^9,$B$71:$K$71)+(COLUMN($B$61:$K$61)-COLUMN($K$61))/10^6,0)))</f>
        <v>S3</v>
      </c>
      <c r="BE78" s="16">
        <f t="shared" si="61"/>
        <v>33</v>
      </c>
      <c r="BF78" s="16">
        <f t="shared" si="62"/>
        <v>2</v>
      </c>
      <c r="BG78" s="16">
        <f t="shared" si="63"/>
        <v>1</v>
      </c>
    </row>
    <row r="79" spans="1:59" ht="15" customHeight="1" x14ac:dyDescent="0.3">
      <c r="A79" s="4">
        <v>4</v>
      </c>
      <c r="B79" s="16" t="str" cm="1">
        <f t="array" ref="B79">IF($A79&gt;9,"",INDEX($B$61:$K$61,MATCH(SMALL(IF($B$62:$K$62=0,10^9,$B$62:$K$62)+(COLUMN($B$61:$K$61)-COLUMN($B$61))/10^6,$A79),IF($B$62:$K$62=0,10^9,$B$62:$K$62)+(COLUMN($B$61:$K$61)-COLUMN($B$61))/10^6,0)))</f>
        <v>S4</v>
      </c>
      <c r="C79" s="16">
        <f t="shared" si="34"/>
        <v>41</v>
      </c>
      <c r="D79" s="16">
        <f t="shared" si="35"/>
        <v>1</v>
      </c>
      <c r="E79" s="16">
        <f t="shared" si="36"/>
        <v>1</v>
      </c>
      <c r="G79" s="4">
        <v>4</v>
      </c>
      <c r="H79" s="16" t="str" cm="1">
        <f t="array" ref="H79">IF($G79&gt;9,"",INDEX($B$61:$K$61,MATCH(SMALL(IF($B$63:$K$63=0,10^9,$B$63:$K$63)+(COLUMN($B$61:$K$61)-COLUMN($C$61))/10^6,$G79),IF($B$63:$K$63=0,10^9,$B$63:$K$63)+(COLUMN($B$61:$K$61)-COLUMN($C$61))/10^6,0)))</f>
        <v>S1</v>
      </c>
      <c r="I79" s="16">
        <f t="shared" si="37"/>
        <v>25</v>
      </c>
      <c r="J79" s="16">
        <f t="shared" si="38"/>
        <v>1</v>
      </c>
      <c r="K79" s="16">
        <f t="shared" si="39"/>
        <v>1</v>
      </c>
      <c r="M79" s="4">
        <v>4</v>
      </c>
      <c r="N79" s="16" t="str" cm="1">
        <f t="array" ref="N79">IF($M79&gt;9,"",INDEX($B$61:$K$61,MATCH(SMALL(IF($B$64:$K$64=0,10^9,$B$64:$K$64)+(COLUMN($B$61:$K$61)-COLUMN($D$61))/10^6,$M79),IF($B$64:$K$64=0,10^9,$B$64:$K$64)+(COLUMN($B$61:$K$61)-COLUMN($D$61))/10^6,0)))</f>
        <v>S9</v>
      </c>
      <c r="O79" s="16">
        <f t="shared" si="40"/>
        <v>29</v>
      </c>
      <c r="P79" s="16">
        <f t="shared" si="41"/>
        <v>2</v>
      </c>
      <c r="Q79" s="16">
        <f t="shared" si="42"/>
        <v>1</v>
      </c>
      <c r="S79" s="4">
        <v>4</v>
      </c>
      <c r="T79" s="16" t="str" cm="1">
        <f t="array" ref="T79">IF($S79&gt;9,"",INDEX($B$61:$K$61,MATCH(SMALL(IF($B$65:$K$65=0,10^9,$B$65:$K$65)+(COLUMN($B$61:$K$61)-COLUMN($E$61))/10^6,$S79),IF($B$65:$K$65=0,10^9,$B$65:$K$65)+(COLUMN($B$61:$K$61)-COLUMN($E$61))/10^6,0)))</f>
        <v>S6</v>
      </c>
      <c r="U79" s="16">
        <f t="shared" si="43"/>
        <v>18</v>
      </c>
      <c r="V79" s="16">
        <f t="shared" si="44"/>
        <v>1</v>
      </c>
      <c r="W79" s="16">
        <f t="shared" si="45"/>
        <v>1</v>
      </c>
      <c r="Y79" s="4">
        <v>4</v>
      </c>
      <c r="Z79" s="16" t="str" cm="1">
        <f t="array" ref="Z79">IF($Y79&gt;9,"",INDEX($B$61:$K$61,MATCH(SMALL(IF($B$66:$K$66=0,10^9,$B$66:$K$66)+(COLUMN($B$61:$K$61)-COLUMN($F$61))/10^6,$Y79),IF($B$66:$K$66=0,10^9,$B$66:$K$66)+(COLUMN($B$61:$K$61)-COLUMN($F$61))/10^6,0)))</f>
        <v>S6</v>
      </c>
      <c r="AA79" s="16">
        <f t="shared" si="46"/>
        <v>39</v>
      </c>
      <c r="AB79" s="16">
        <f t="shared" si="47"/>
        <v>1</v>
      </c>
      <c r="AC79" s="16">
        <f t="shared" si="48"/>
        <v>0</v>
      </c>
      <c r="AE79" s="4">
        <v>4</v>
      </c>
      <c r="AF79" s="16" t="str" cm="1">
        <f t="array" ref="AF79">IF($AE79&gt;9,"",INDEX($B$61:$K$61,MATCH(SMALL(IF($B$67:$K$67=0,10^9,$B$67:$K$67)+(COLUMN($B$61:$K$61)-COLUMN($G$61))/10^6,$AE79),IF($B$67:$K$67=0,10^9,$B$67:$K$67)+(COLUMN($B$61:$K$61)-COLUMN($G$61))/10^6,0)))</f>
        <v>S7</v>
      </c>
      <c r="AG79" s="16">
        <f t="shared" si="49"/>
        <v>27</v>
      </c>
      <c r="AH79" s="16">
        <f t="shared" si="50"/>
        <v>1</v>
      </c>
      <c r="AI79" s="16">
        <f t="shared" si="51"/>
        <v>1</v>
      </c>
      <c r="AK79" s="4">
        <v>4</v>
      </c>
      <c r="AL79" s="16" t="str" cm="1">
        <f t="array" ref="AL79">IF($AK79&gt;9,"",INDEX($B$61:$K$61,MATCH(SMALL(IF($B$68:$K$68=0,10^9,$B$68:$K$68)+(COLUMN($B$61:$K$61)-COLUMN($H$61))/10^6,$AK79),IF($B$68:$K$68=0,10^9,$B$68:$K$68)+(COLUMN($B$61:$K$61)-COLUMN($H$61))/10^6,0)))</f>
        <v>S6</v>
      </c>
      <c r="AM79" s="16">
        <f t="shared" si="52"/>
        <v>27</v>
      </c>
      <c r="AN79" s="16">
        <f t="shared" si="53"/>
        <v>1</v>
      </c>
      <c r="AO79" s="16">
        <f t="shared" si="54"/>
        <v>1</v>
      </c>
      <c r="AQ79" s="4">
        <v>4</v>
      </c>
      <c r="AR79" s="16" t="str" cm="1">
        <f t="array" ref="AR79">IF($AQ79&gt;9,"",INDEX($B$61:$K$61,MATCH(SMALL(IF($B$69:$K$69=0,10^9,$B$69:$K$69)+(COLUMN($B$61:$K$61)-COLUMN($I$61))/10^6,$AQ79),IF($B$69:$K$69=0,10^9,$B$69:$K$69)+(COLUMN($B$61:$K$61)-COLUMN($I$61))/10^6,0)))</f>
        <v>S6</v>
      </c>
      <c r="AS79" s="16">
        <f t="shared" si="55"/>
        <v>24</v>
      </c>
      <c r="AT79" s="16">
        <f t="shared" si="56"/>
        <v>1</v>
      </c>
      <c r="AU79" s="16">
        <f t="shared" si="57"/>
        <v>1</v>
      </c>
      <c r="AW79" s="4">
        <v>4</v>
      </c>
      <c r="AX79" s="16" t="str" cm="1">
        <f t="array" ref="AX79">IF($AW79&gt;9,"",INDEX($B$61:$K$61,MATCH(SMALL(IF($B$70:$K$70=0,10^9,$B$70:$K$70)+(COLUMN($B$61:$K$61)-COLUMN($J$61))/10^6,$AW79),IF($B$70:$K$70=0,10^9,$B$70:$K$70)+(COLUMN($B$61:$K$61)-COLUMN($J$61))/10^6,0)))</f>
        <v>S6</v>
      </c>
      <c r="AY79" s="16">
        <f t="shared" si="58"/>
        <v>40</v>
      </c>
      <c r="AZ79" s="16">
        <f t="shared" si="59"/>
        <v>1</v>
      </c>
      <c r="BA79" s="16">
        <f t="shared" si="60"/>
        <v>0</v>
      </c>
      <c r="BC79" s="4">
        <v>4</v>
      </c>
      <c r="BD79" s="16" t="str" cm="1">
        <f t="array" ref="BD79">IF($BC79&gt;9,"",INDEX($B$61:$K$61,MATCH(SMALL(IF($B$71:$K$71=0,10^9,$B$71:$K$71)+(COLUMN($B$61:$K$61)-COLUMN($K$61))/10^6,$BC79),IF($B$71:$K$71=0,10^9,$B$71:$K$71)+(COLUMN($B$61:$K$61)-COLUMN($K$61))/10^6,0)))</f>
        <v>S6</v>
      </c>
      <c r="BE79" s="16">
        <f t="shared" si="61"/>
        <v>44</v>
      </c>
      <c r="BF79" s="16">
        <f t="shared" si="62"/>
        <v>1</v>
      </c>
      <c r="BG79" s="16">
        <f t="shared" si="63"/>
        <v>0</v>
      </c>
    </row>
    <row r="80" spans="1:59" ht="15" customHeight="1" x14ac:dyDescent="0.3">
      <c r="A80" s="4">
        <v>5</v>
      </c>
      <c r="B80" s="16" t="str" cm="1">
        <f t="array" ref="B80">IF($A80&gt;9,"",INDEX($B$61:$K$61,MATCH(SMALL(IF($B$62:$K$62=0,10^9,$B$62:$K$62)+(COLUMN($B$61:$K$61)-COLUMN($B$61))/10^6,$A80),IF($B$62:$K$62=0,10^9,$B$62:$K$62)+(COLUMN($B$61:$K$61)-COLUMN($B$61))/10^6,0)))</f>
        <v>S6</v>
      </c>
      <c r="C80" s="16">
        <f t="shared" si="34"/>
        <v>59</v>
      </c>
      <c r="D80" s="16">
        <f t="shared" si="35"/>
        <v>1</v>
      </c>
      <c r="E80" s="16">
        <f t="shared" si="36"/>
        <v>1</v>
      </c>
      <c r="G80" s="4">
        <v>5</v>
      </c>
      <c r="H80" s="16" t="str" cm="1">
        <f t="array" ref="H80">IF($G80&gt;9,"",INDEX($B$61:$K$61,MATCH(SMALL(IF($B$63:$K$63=0,10^9,$B$63:$K$63)+(COLUMN($B$61:$K$61)-COLUMN($C$61))/10^6,$G80),IF($B$63:$K$63=0,10^9,$B$63:$K$63)+(COLUMN($B$61:$K$61)-COLUMN($C$61))/10^6,0)))</f>
        <v>S6</v>
      </c>
      <c r="I80" s="16">
        <f t="shared" si="37"/>
        <v>34</v>
      </c>
      <c r="J80" s="16">
        <f t="shared" si="38"/>
        <v>1</v>
      </c>
      <c r="K80" s="16">
        <f t="shared" si="39"/>
        <v>1</v>
      </c>
      <c r="M80" s="4">
        <v>5</v>
      </c>
      <c r="N80" s="16" t="str" cm="1">
        <f t="array" ref="N80">IF($M80&gt;9,"",INDEX($B$61:$K$61,MATCH(SMALL(IF($B$64:$K$64=0,10^9,$B$64:$K$64)+(COLUMN($B$61:$K$61)-COLUMN($D$61))/10^6,$M80),IF($B$64:$K$64=0,10^9,$B$64:$K$64)+(COLUMN($B$61:$K$61)-COLUMN($D$61))/10^6,0)))</f>
        <v>S10</v>
      </c>
      <c r="O80" s="16">
        <f t="shared" si="40"/>
        <v>33</v>
      </c>
      <c r="P80" s="16">
        <f t="shared" si="41"/>
        <v>2</v>
      </c>
      <c r="Q80" s="16">
        <f t="shared" si="42"/>
        <v>1</v>
      </c>
      <c r="S80" s="4">
        <v>5</v>
      </c>
      <c r="T80" s="16" t="str" cm="1">
        <f t="array" ref="T80">IF($S80&gt;9,"",INDEX($B$61:$K$61,MATCH(SMALL(IF($B$65:$K$65=0,10^9,$B$65:$K$65)+(COLUMN($B$61:$K$61)-COLUMN($E$61))/10^6,$S80),IF($B$65:$K$65=0,10^9,$B$65:$K$65)+(COLUMN($B$61:$K$61)-COLUMN($E$61))/10^6,0)))</f>
        <v>S3</v>
      </c>
      <c r="U80" s="16">
        <f t="shared" si="43"/>
        <v>29</v>
      </c>
      <c r="V80" s="16">
        <f t="shared" si="44"/>
        <v>2</v>
      </c>
      <c r="W80" s="16">
        <f t="shared" si="45"/>
        <v>0</v>
      </c>
      <c r="Y80" s="4">
        <v>5</v>
      </c>
      <c r="Z80" s="16" t="str" cm="1">
        <f t="array" ref="Z80">IF($Y80&gt;9,"",INDEX($B$61:$K$61,MATCH(SMALL(IF($B$66:$K$66=0,10^9,$B$66:$K$66)+(COLUMN($B$61:$K$61)-COLUMN($F$61))/10^6,$Y80),IF($B$66:$K$66=0,10^9,$B$66:$K$66)+(COLUMN($B$61:$K$61)-COLUMN($F$61))/10^6,0)))</f>
        <v>S4</v>
      </c>
      <c r="AA80" s="16">
        <f t="shared" si="46"/>
        <v>57</v>
      </c>
      <c r="AB80" s="16">
        <f t="shared" si="47"/>
        <v>1</v>
      </c>
      <c r="AC80" s="16">
        <f t="shared" si="48"/>
        <v>0</v>
      </c>
      <c r="AE80" s="4">
        <v>5</v>
      </c>
      <c r="AF80" s="16" t="str" cm="1">
        <f t="array" ref="AF80">IF($AE80&gt;9,"",INDEX($B$61:$K$61,MATCH(SMALL(IF($B$67:$K$67=0,10^9,$B$67:$K$67)+(COLUMN($B$61:$K$61)-COLUMN($G$61))/10^6,$AE80),IF($B$67:$K$67=0,10^9,$B$67:$K$67)+(COLUMN($B$61:$K$61)-COLUMN($G$61))/10^6,0)))</f>
        <v>S2</v>
      </c>
      <c r="AG80" s="16">
        <f t="shared" si="49"/>
        <v>34</v>
      </c>
      <c r="AH80" s="16">
        <f t="shared" si="50"/>
        <v>1</v>
      </c>
      <c r="AI80" s="16">
        <f t="shared" si="51"/>
        <v>1</v>
      </c>
      <c r="AK80" s="4">
        <v>5</v>
      </c>
      <c r="AL80" s="16" t="str" cm="1">
        <f t="array" ref="AL80">IF($AK80&gt;9,"",INDEX($B$61:$K$61,MATCH(SMALL(IF($B$68:$K$68=0,10^9,$B$68:$K$68)+(COLUMN($B$61:$K$61)-COLUMN($H$61))/10^6,$AK80),IF($B$68:$K$68=0,10^9,$B$68:$K$68)+(COLUMN($B$61:$K$61)-COLUMN($H$61))/10^6,0)))</f>
        <v>S3</v>
      </c>
      <c r="AM80" s="16">
        <f t="shared" si="52"/>
        <v>38</v>
      </c>
      <c r="AN80" s="16">
        <f t="shared" si="53"/>
        <v>2</v>
      </c>
      <c r="AO80" s="16">
        <f t="shared" si="54"/>
        <v>0</v>
      </c>
      <c r="AQ80" s="4">
        <v>5</v>
      </c>
      <c r="AR80" s="16" t="str" cm="1">
        <f t="array" ref="AR80">IF($AQ80&gt;9,"",INDEX($B$61:$K$61,MATCH(SMALL(IF($B$69:$K$69=0,10^9,$B$69:$K$69)+(COLUMN($B$61:$K$61)-COLUMN($I$61))/10^6,$AQ80),IF($B$69:$K$69=0,10^9,$B$69:$K$69)+(COLUMN($B$61:$K$61)-COLUMN($I$61))/10^6,0)))</f>
        <v>S3</v>
      </c>
      <c r="AS80" s="16">
        <f t="shared" si="55"/>
        <v>35</v>
      </c>
      <c r="AT80" s="16">
        <f t="shared" si="56"/>
        <v>2</v>
      </c>
      <c r="AU80" s="16">
        <f t="shared" si="57"/>
        <v>0</v>
      </c>
      <c r="AW80" s="4">
        <v>5</v>
      </c>
      <c r="AX80" s="16" t="str" cm="1">
        <f t="array" ref="AX80">IF($AW80&gt;9,"",INDEX($B$61:$K$61,MATCH(SMALL(IF($B$70:$K$70=0,10^9,$B$70:$K$70)+(COLUMN($B$61:$K$61)-COLUMN($J$61))/10^6,$AW80),IF($B$70:$K$70=0,10^9,$B$70:$K$70)+(COLUMN($B$61:$K$61)-COLUMN($J$61))/10^6,0)))</f>
        <v>S4</v>
      </c>
      <c r="AY80" s="16">
        <f t="shared" si="58"/>
        <v>58</v>
      </c>
      <c r="AZ80" s="16">
        <f t="shared" si="59"/>
        <v>1</v>
      </c>
      <c r="BA80" s="16">
        <f t="shared" si="60"/>
        <v>0</v>
      </c>
      <c r="BC80" s="4">
        <v>5</v>
      </c>
      <c r="BD80" s="16" t="str" cm="1">
        <f t="array" ref="BD80">IF($BC80&gt;9,"",INDEX($B$61:$K$61,MATCH(SMALL(IF($B$71:$K$71=0,10^9,$B$71:$K$71)+(COLUMN($B$61:$K$61)-COLUMN($K$61))/10^6,$BC80),IF($B$71:$K$71=0,10^9,$B$71:$K$71)+(COLUMN($B$61:$K$61)-COLUMN($K$61))/10^6,0)))</f>
        <v>S4</v>
      </c>
      <c r="BE80" s="16">
        <f t="shared" si="61"/>
        <v>62</v>
      </c>
      <c r="BF80" s="16">
        <f t="shared" si="62"/>
        <v>1</v>
      </c>
      <c r="BG80" s="16">
        <f t="shared" si="63"/>
        <v>0</v>
      </c>
    </row>
    <row r="81" spans="1:59" ht="15" customHeight="1" x14ac:dyDescent="0.3">
      <c r="A81" s="4">
        <v>6</v>
      </c>
      <c r="B81" s="16" t="str" cm="1">
        <f t="array" ref="B81">IF($A81&gt;9,"",INDEX($B$61:$K$61,MATCH(SMALL(IF($B$62:$K$62=0,10^9,$B$62:$K$62)+(COLUMN($B$61:$K$61)-COLUMN($B$61))/10^6,$A81),IF($B$62:$K$62=0,10^9,$B$62:$K$62)+(COLUMN($B$61:$K$61)-COLUMN($B$61))/10^6,0)))</f>
        <v>S3</v>
      </c>
      <c r="C81" s="16">
        <f t="shared" si="34"/>
        <v>70</v>
      </c>
      <c r="D81" s="16">
        <f t="shared" si="35"/>
        <v>2</v>
      </c>
      <c r="E81" s="16">
        <f t="shared" si="36"/>
        <v>0</v>
      </c>
      <c r="G81" s="4">
        <v>6</v>
      </c>
      <c r="H81" s="16" t="str" cm="1">
        <f t="array" ref="H81">IF($G81&gt;9,"",INDEX($B$61:$K$61,MATCH(SMALL(IF($B$63:$K$63=0,10^9,$B$63:$K$63)+(COLUMN($B$61:$K$61)-COLUMN($C$61))/10^6,$G81),IF($B$63:$K$63=0,10^9,$B$63:$K$63)+(COLUMN($B$61:$K$61)-COLUMN($C$61))/10^6,0)))</f>
        <v>S3</v>
      </c>
      <c r="I81" s="16">
        <f t="shared" si="37"/>
        <v>45</v>
      </c>
      <c r="J81" s="16">
        <f t="shared" si="38"/>
        <v>2</v>
      </c>
      <c r="K81" s="16">
        <f t="shared" si="39"/>
        <v>0</v>
      </c>
      <c r="M81" s="4">
        <v>6</v>
      </c>
      <c r="N81" s="16" t="str" cm="1">
        <f t="array" ref="N81">IF($M81&gt;9,"",INDEX($B$61:$K$61,MATCH(SMALL(IF($B$64:$K$64=0,10^9,$B$64:$K$64)+(COLUMN($B$61:$K$61)-COLUMN($D$61))/10^6,$M81),IF($B$64:$K$64=0,10^9,$B$64:$K$64)+(COLUMN($B$61:$K$61)-COLUMN($D$61))/10^6,0)))</f>
        <v>S8</v>
      </c>
      <c r="O81" s="16">
        <f t="shared" si="40"/>
        <v>35</v>
      </c>
      <c r="P81" s="16">
        <f t="shared" si="41"/>
        <v>1</v>
      </c>
      <c r="Q81" s="16">
        <f t="shared" si="42"/>
        <v>0</v>
      </c>
      <c r="S81" s="4">
        <v>6</v>
      </c>
      <c r="T81" s="16" t="str" cm="1">
        <f t="array" ref="T81">IF($S81&gt;9,"",INDEX($B$61:$K$61,MATCH(SMALL(IF($B$65:$K$65=0,10^9,$B$65:$K$65)+(COLUMN($B$61:$K$61)-COLUMN($E$61))/10^6,$S81),IF($B$65:$K$65=0,10^9,$B$65:$K$65)+(COLUMN($B$61:$K$61)-COLUMN($E$61))/10^6,0)))</f>
        <v>S1</v>
      </c>
      <c r="U81" s="16">
        <f t="shared" si="43"/>
        <v>41</v>
      </c>
      <c r="V81" s="16">
        <f t="shared" si="44"/>
        <v>1</v>
      </c>
      <c r="W81" s="16">
        <f t="shared" si="45"/>
        <v>1</v>
      </c>
      <c r="Y81" s="4">
        <v>6</v>
      </c>
      <c r="Z81" s="16" t="str" cm="1">
        <f t="array" ref="Z81">IF($Y81&gt;9,"",INDEX($B$61:$K$61,MATCH(SMALL(IF($B$66:$K$66=0,10^9,$B$66:$K$66)+(COLUMN($B$61:$K$61)-COLUMN($F$61))/10^6,$Y81),IF($B$66:$K$66=0,10^9,$B$66:$K$66)+(COLUMN($B$61:$K$61)-COLUMN($F$61))/10^6,0)))</f>
        <v>S8</v>
      </c>
      <c r="AA81" s="16">
        <f t="shared" si="46"/>
        <v>63</v>
      </c>
      <c r="AB81" s="16">
        <f t="shared" si="47"/>
        <v>1</v>
      </c>
      <c r="AC81" s="16">
        <f t="shared" si="48"/>
        <v>0</v>
      </c>
      <c r="AE81" s="4">
        <v>6</v>
      </c>
      <c r="AF81" s="16" t="str" cm="1">
        <f t="array" ref="AF81">IF($AE81&gt;9,"",INDEX($B$61:$K$61,MATCH(SMALL(IF($B$67:$K$67=0,10^9,$B$67:$K$67)+(COLUMN($B$61:$K$61)-COLUMN($G$61))/10^6,$AE81),IF($B$67:$K$67=0,10^9,$B$67:$K$67)+(COLUMN($B$61:$K$61)-COLUMN($G$61))/10^6,0)))</f>
        <v>S5</v>
      </c>
      <c r="AG81" s="16">
        <f t="shared" si="49"/>
        <v>39</v>
      </c>
      <c r="AH81" s="16">
        <f t="shared" si="50"/>
        <v>2</v>
      </c>
      <c r="AI81" s="16">
        <f t="shared" si="51"/>
        <v>0</v>
      </c>
      <c r="AK81" s="4">
        <v>6</v>
      </c>
      <c r="AL81" s="16" t="str" cm="1">
        <f t="array" ref="AL81">IF($AK81&gt;9,"",INDEX($B$61:$K$61,MATCH(SMALL(IF($B$68:$K$68=0,10^9,$B$68:$K$68)+(COLUMN($B$61:$K$61)-COLUMN($H$61))/10^6,$AK81),IF($B$68:$K$68=0,10^9,$B$68:$K$68)+(COLUMN($B$61:$K$61)-COLUMN($H$61))/10^6,0)))</f>
        <v>S1</v>
      </c>
      <c r="AM81" s="16">
        <f t="shared" si="52"/>
        <v>40</v>
      </c>
      <c r="AN81" s="16">
        <f t="shared" si="53"/>
        <v>1</v>
      </c>
      <c r="AO81" s="16">
        <f t="shared" si="54"/>
        <v>1</v>
      </c>
      <c r="AQ81" s="4">
        <v>6</v>
      </c>
      <c r="AR81" s="16" t="str" cm="1">
        <f t="array" ref="AR81">IF($AQ81&gt;9,"",INDEX($B$61:$K$61,MATCH(SMALL(IF($B$69:$K$69=0,10^9,$B$69:$K$69)+(COLUMN($B$61:$K$61)-COLUMN($I$61))/10^6,$AQ81),IF($B$69:$K$69=0,10^9,$B$69:$K$69)+(COLUMN($B$61:$K$61)-COLUMN($I$61))/10^6,0)))</f>
        <v>S1</v>
      </c>
      <c r="AS81" s="16">
        <f t="shared" si="55"/>
        <v>37</v>
      </c>
      <c r="AT81" s="16">
        <f t="shared" si="56"/>
        <v>1</v>
      </c>
      <c r="AU81" s="16">
        <f t="shared" si="57"/>
        <v>1</v>
      </c>
      <c r="AW81" s="4">
        <v>6</v>
      </c>
      <c r="AX81" s="16" t="str" cm="1">
        <f t="array" ref="AX81">IF($AW81&gt;9,"",INDEX($B$61:$K$61,MATCH(SMALL(IF($B$70:$K$70=0,10^9,$B$70:$K$70)+(COLUMN($B$61:$K$61)-COLUMN($J$61))/10^6,$AW81),IF($B$70:$K$70=0,10^9,$B$70:$K$70)+(COLUMN($B$61:$K$61)-COLUMN($J$61))/10^6,0)))</f>
        <v>S8</v>
      </c>
      <c r="AY81" s="16">
        <f t="shared" si="58"/>
        <v>64</v>
      </c>
      <c r="AZ81" s="16">
        <f t="shared" si="59"/>
        <v>1</v>
      </c>
      <c r="BA81" s="16">
        <f t="shared" si="60"/>
        <v>0</v>
      </c>
      <c r="BC81" s="4">
        <v>6</v>
      </c>
      <c r="BD81" s="16" t="str" cm="1">
        <f t="array" ref="BD81">IF($BC81&gt;9,"",INDEX($B$61:$K$61,MATCH(SMALL(IF($B$71:$K$71=0,10^9,$B$71:$K$71)+(COLUMN($B$61:$K$61)-COLUMN($K$61))/10^6,$BC81),IF($B$71:$K$71=0,10^9,$B$71:$K$71)+(COLUMN($B$61:$K$61)-COLUMN($K$61))/10^6,0)))</f>
        <v>S8</v>
      </c>
      <c r="BE81" s="16">
        <f t="shared" si="61"/>
        <v>68</v>
      </c>
      <c r="BF81" s="16">
        <f t="shared" si="62"/>
        <v>1</v>
      </c>
      <c r="BG81" s="16">
        <f t="shared" si="63"/>
        <v>0</v>
      </c>
    </row>
    <row r="82" spans="1:59" ht="15" customHeight="1" x14ac:dyDescent="0.3">
      <c r="A82" s="4">
        <v>7</v>
      </c>
      <c r="B82" s="16" t="str" cm="1">
        <f t="array" ref="B82">IF($A82&gt;9,"",INDEX($B$61:$K$61,MATCH(SMALL(IF($B$62:$K$62=0,10^9,$B$62:$K$62)+(COLUMN($B$61:$K$61)-COLUMN($B$61))/10^6,$A82),IF($B$62:$K$62=0,10^9,$B$62:$K$62)+(COLUMN($B$61:$K$61)-COLUMN($B$61))/10^6,0)))</f>
        <v>S5</v>
      </c>
      <c r="C82" s="16">
        <f t="shared" si="34"/>
        <v>98</v>
      </c>
      <c r="D82" s="16">
        <f t="shared" si="35"/>
        <v>2</v>
      </c>
      <c r="E82" s="16">
        <f t="shared" si="36"/>
        <v>0</v>
      </c>
      <c r="G82" s="4">
        <v>7</v>
      </c>
      <c r="H82" s="16" t="str" cm="1">
        <f t="array" ref="H82">IF($G82&gt;9,"",INDEX($B$61:$K$61,MATCH(SMALL(IF($B$63:$K$63=0,10^9,$B$63:$K$63)+(COLUMN($B$61:$K$61)-COLUMN($C$61))/10^6,$G82),IF($B$63:$K$63=0,10^9,$B$63:$K$63)+(COLUMN($B$61:$K$61)-COLUMN($C$61))/10^6,0)))</f>
        <v>S5</v>
      </c>
      <c r="I82" s="16">
        <f t="shared" si="37"/>
        <v>73</v>
      </c>
      <c r="J82" s="16">
        <f t="shared" si="38"/>
        <v>2</v>
      </c>
      <c r="K82" s="16">
        <f t="shared" si="39"/>
        <v>0</v>
      </c>
      <c r="M82" s="4">
        <v>7</v>
      </c>
      <c r="N82" s="16" t="str" cm="1">
        <f t="array" ref="N82">IF($M82&gt;9,"",INDEX($B$61:$K$61,MATCH(SMALL(IF($B$64:$K$64=0,10^9,$B$64:$K$64)+(COLUMN($B$61:$K$61)-COLUMN($D$61))/10^6,$M82),IF($B$64:$K$64=0,10^9,$B$64:$K$64)+(COLUMN($B$61:$K$61)-COLUMN($D$61))/10^6,0)))</f>
        <v>S7</v>
      </c>
      <c r="O82" s="16">
        <f t="shared" si="40"/>
        <v>38</v>
      </c>
      <c r="P82" s="16">
        <f t="shared" si="41"/>
        <v>1</v>
      </c>
      <c r="Q82" s="16">
        <f t="shared" si="42"/>
        <v>0</v>
      </c>
      <c r="S82" s="4">
        <v>7</v>
      </c>
      <c r="T82" s="16" t="str" cm="1">
        <f t="array" ref="T82">IF($S82&gt;9,"",INDEX($B$61:$K$61,MATCH(SMALL(IF($B$65:$K$65=0,10^9,$B$65:$K$65)+(COLUMN($B$61:$K$61)-COLUMN($E$61))/10^6,$S82),IF($B$65:$K$65=0,10^9,$B$65:$K$65)+(COLUMN($B$61:$K$61)-COLUMN($E$61))/10^6,0)))</f>
        <v>S5</v>
      </c>
      <c r="U82" s="16">
        <f t="shared" si="43"/>
        <v>57</v>
      </c>
      <c r="V82" s="16">
        <f t="shared" si="44"/>
        <v>2</v>
      </c>
      <c r="W82" s="16">
        <f t="shared" si="45"/>
        <v>0</v>
      </c>
      <c r="Y82" s="4">
        <v>7</v>
      </c>
      <c r="Z82" s="16" t="str" cm="1">
        <f t="array" ref="Z82">IF($Y82&gt;9,"",INDEX($B$61:$K$61,MATCH(SMALL(IF($B$66:$K$66=0,10^9,$B$66:$K$66)+(COLUMN($B$61:$K$61)-COLUMN($F$61))/10^6,$Y82),IF($B$66:$K$66=0,10^9,$B$66:$K$66)+(COLUMN($B$61:$K$61)-COLUMN($F$61))/10^6,0)))</f>
        <v>S7</v>
      </c>
      <c r="AA82" s="16">
        <f t="shared" si="46"/>
        <v>66</v>
      </c>
      <c r="AB82" s="16">
        <f t="shared" si="47"/>
        <v>1</v>
      </c>
      <c r="AC82" s="16">
        <f t="shared" si="48"/>
        <v>0</v>
      </c>
      <c r="AE82" s="4">
        <v>7</v>
      </c>
      <c r="AF82" s="16" t="str" cm="1">
        <f t="array" ref="AF82">IF($AE82&gt;9,"",INDEX($B$61:$K$61,MATCH(SMALL(IF($B$67:$K$67=0,10^9,$B$67:$K$67)+(COLUMN($B$61:$K$61)-COLUMN($G$61))/10^6,$AE82),IF($B$67:$K$67=0,10^9,$B$67:$K$67)+(COLUMN($B$61:$K$61)-COLUMN($G$61))/10^6,0)))</f>
        <v>S9</v>
      </c>
      <c r="AG82" s="16">
        <f t="shared" si="49"/>
        <v>40</v>
      </c>
      <c r="AH82" s="16">
        <f t="shared" si="50"/>
        <v>2</v>
      </c>
      <c r="AI82" s="16">
        <f t="shared" si="51"/>
        <v>0</v>
      </c>
      <c r="AK82" s="4">
        <v>7</v>
      </c>
      <c r="AL82" s="16" t="str" cm="1">
        <f t="array" ref="AL82">IF($AK82&gt;9,"",INDEX($B$61:$K$61,MATCH(SMALL(IF($B$68:$K$68=0,10^9,$B$68:$K$68)+(COLUMN($B$61:$K$61)-COLUMN($H$61))/10^6,$AK82),IF($B$68:$K$68=0,10^9,$B$68:$K$68)+(COLUMN($B$61:$K$61)-COLUMN($H$61))/10^6,0)))</f>
        <v>S5</v>
      </c>
      <c r="AM82" s="16">
        <f t="shared" si="52"/>
        <v>66</v>
      </c>
      <c r="AN82" s="16">
        <f t="shared" si="53"/>
        <v>2</v>
      </c>
      <c r="AO82" s="16">
        <f t="shared" si="54"/>
        <v>0</v>
      </c>
      <c r="AQ82" s="4">
        <v>7</v>
      </c>
      <c r="AR82" s="16" t="str" cm="1">
        <f t="array" ref="AR82">IF($AQ82&gt;9,"",INDEX($B$61:$K$61,MATCH(SMALL(IF($B$69:$K$69=0,10^9,$B$69:$K$69)+(COLUMN($B$61:$K$61)-COLUMN($I$61))/10^6,$AQ82),IF($B$69:$K$69=0,10^9,$B$69:$K$69)+(COLUMN($B$61:$K$61)-COLUMN($I$61))/10^6,0)))</f>
        <v>S5</v>
      </c>
      <c r="AS82" s="16">
        <f t="shared" si="55"/>
        <v>63</v>
      </c>
      <c r="AT82" s="16">
        <f t="shared" si="56"/>
        <v>2</v>
      </c>
      <c r="AU82" s="16">
        <f t="shared" si="57"/>
        <v>0</v>
      </c>
      <c r="AW82" s="4">
        <v>7</v>
      </c>
      <c r="AX82" s="16" t="str" cm="1">
        <f t="array" ref="AX82">IF($AW82&gt;9,"",INDEX($B$61:$K$61,MATCH(SMALL(IF($B$70:$K$70=0,10^9,$B$70:$K$70)+(COLUMN($B$61:$K$61)-COLUMN($J$61))/10^6,$AW82),IF($B$70:$K$70=0,10^9,$B$70:$K$70)+(COLUMN($B$61:$K$61)-COLUMN($J$61))/10^6,0)))</f>
        <v>S7</v>
      </c>
      <c r="AY82" s="16">
        <f t="shared" si="58"/>
        <v>67</v>
      </c>
      <c r="AZ82" s="16">
        <f t="shared" si="59"/>
        <v>1</v>
      </c>
      <c r="BA82" s="16">
        <f t="shared" si="60"/>
        <v>0</v>
      </c>
      <c r="BC82" s="4">
        <v>7</v>
      </c>
      <c r="BD82" s="16" t="str" cm="1">
        <f t="array" ref="BD82">IF($BC82&gt;9,"",INDEX($B$61:$K$61,MATCH(SMALL(IF($B$71:$K$71=0,10^9,$B$71:$K$71)+(COLUMN($B$61:$K$61)-COLUMN($K$61))/10^6,$BC82),IF($B$71:$K$71=0,10^9,$B$71:$K$71)+(COLUMN($B$61:$K$61)-COLUMN($K$61))/10^6,0)))</f>
        <v>S7</v>
      </c>
      <c r="BE82" s="16">
        <f t="shared" si="61"/>
        <v>71</v>
      </c>
      <c r="BF82" s="16">
        <f t="shared" si="62"/>
        <v>1</v>
      </c>
      <c r="BG82" s="16">
        <f t="shared" si="63"/>
        <v>0</v>
      </c>
    </row>
    <row r="83" spans="1:59" ht="15" customHeight="1" x14ac:dyDescent="0.3">
      <c r="A83" s="4">
        <v>8</v>
      </c>
      <c r="B83" s="16" t="str" cm="1">
        <f t="array" ref="B83">IF($A83&gt;9,"",INDEX($B$61:$K$61,MATCH(SMALL(IF($B$62:$K$62=0,10^9,$B$62:$K$62)+(COLUMN($B$61:$K$61)-COLUMN($B$61))/10^6,$A83),IF($B$62:$K$62=0,10^9,$B$62:$K$62)+(COLUMN($B$61:$K$61)-COLUMN($B$61))/10^6,0)))</f>
        <v>S9</v>
      </c>
      <c r="C83" s="16">
        <f t="shared" si="34"/>
        <v>99</v>
      </c>
      <c r="D83" s="16">
        <f t="shared" si="35"/>
        <v>2</v>
      </c>
      <c r="E83" s="16">
        <f t="shared" si="36"/>
        <v>0</v>
      </c>
      <c r="G83" s="4">
        <v>8</v>
      </c>
      <c r="H83" s="16" t="str" cm="1">
        <f t="array" ref="H83">IF($G83&gt;9,"",INDEX($B$61:$K$61,MATCH(SMALL(IF($B$63:$K$63=0,10^9,$B$63:$K$63)+(COLUMN($B$61:$K$61)-COLUMN($C$61))/10^6,$G83),IF($B$63:$K$63=0,10^9,$B$63:$K$63)+(COLUMN($B$61:$K$61)-COLUMN($C$61))/10^6,0)))</f>
        <v>S9</v>
      </c>
      <c r="I83" s="16">
        <f t="shared" si="37"/>
        <v>74</v>
      </c>
      <c r="J83" s="16">
        <f t="shared" si="38"/>
        <v>2</v>
      </c>
      <c r="K83" s="16">
        <f t="shared" si="39"/>
        <v>0</v>
      </c>
      <c r="M83" s="4">
        <v>8</v>
      </c>
      <c r="N83" s="16" t="str" cm="1">
        <f t="array" ref="N83">IF($M83&gt;9,"",INDEX($B$61:$K$61,MATCH(SMALL(IF($B$64:$K$64=0,10^9,$B$64:$K$64)+(COLUMN($B$61:$K$61)-COLUMN($D$61))/10^6,$M83),IF($B$64:$K$64=0,10^9,$B$64:$K$64)+(COLUMN($B$61:$K$61)-COLUMN($D$61))/10^6,0)))</f>
        <v>S2</v>
      </c>
      <c r="O83" s="16">
        <f t="shared" si="40"/>
        <v>45</v>
      </c>
      <c r="P83" s="16">
        <f t="shared" si="41"/>
        <v>1</v>
      </c>
      <c r="Q83" s="16">
        <f t="shared" si="42"/>
        <v>0</v>
      </c>
      <c r="S83" s="4">
        <v>8</v>
      </c>
      <c r="T83" s="16" t="str" cm="1">
        <f t="array" ref="T83">IF($S83&gt;9,"",INDEX($B$61:$K$61,MATCH(SMALL(IF($B$65:$K$65=0,10^9,$B$65:$K$65)+(COLUMN($B$61:$K$61)-COLUMN($E$61))/10^6,$S83),IF($B$65:$K$65=0,10^9,$B$65:$K$65)+(COLUMN($B$61:$K$61)-COLUMN($E$61))/10^6,0)))</f>
        <v>S9</v>
      </c>
      <c r="U83" s="16">
        <f t="shared" si="43"/>
        <v>58</v>
      </c>
      <c r="V83" s="16">
        <f t="shared" si="44"/>
        <v>2</v>
      </c>
      <c r="W83" s="16">
        <f t="shared" si="45"/>
        <v>0</v>
      </c>
      <c r="Y83" s="4">
        <v>8</v>
      </c>
      <c r="Z83" s="16" t="str" cm="1">
        <f t="array" ref="Z83">IF($Y83&gt;9,"",INDEX($B$61:$K$61,MATCH(SMALL(IF($B$66:$K$66=0,10^9,$B$66:$K$66)+(COLUMN($B$61:$K$61)-COLUMN($F$61))/10^6,$Y83),IF($B$66:$K$66=0,10^9,$B$66:$K$66)+(COLUMN($B$61:$K$61)-COLUMN($F$61))/10^6,0)))</f>
        <v>S2</v>
      </c>
      <c r="AA83" s="16">
        <f t="shared" si="46"/>
        <v>73</v>
      </c>
      <c r="AB83" s="16">
        <f t="shared" si="47"/>
        <v>1</v>
      </c>
      <c r="AC83" s="16">
        <f t="shared" si="48"/>
        <v>0</v>
      </c>
      <c r="AE83" s="4">
        <v>8</v>
      </c>
      <c r="AF83" s="16" t="str" cm="1">
        <f t="array" ref="AF83">IF($AE83&gt;9,"",INDEX($B$61:$K$61,MATCH(SMALL(IF($B$67:$K$67=0,10^9,$B$67:$K$67)+(COLUMN($B$61:$K$61)-COLUMN($G$61))/10^6,$AE83),IF($B$67:$K$67=0,10^9,$B$67:$K$67)+(COLUMN($B$61:$K$61)-COLUMN($G$61))/10^6,0)))</f>
        <v>S10</v>
      </c>
      <c r="AG83" s="16">
        <f t="shared" si="49"/>
        <v>44</v>
      </c>
      <c r="AH83" s="16">
        <f t="shared" si="50"/>
        <v>2</v>
      </c>
      <c r="AI83" s="16">
        <f t="shared" si="51"/>
        <v>0</v>
      </c>
      <c r="AK83" s="4">
        <v>8</v>
      </c>
      <c r="AL83" s="16" t="str" cm="1">
        <f t="array" ref="AL83">IF($AK83&gt;9,"",INDEX($B$61:$K$61,MATCH(SMALL(IF($B$68:$K$68=0,10^9,$B$68:$K$68)+(COLUMN($B$61:$K$61)-COLUMN($H$61))/10^6,$AK83),IF($B$68:$K$68=0,10^9,$B$68:$K$68)+(COLUMN($B$61:$K$61)-COLUMN($H$61))/10^6,0)))</f>
        <v>S9</v>
      </c>
      <c r="AM83" s="16">
        <f t="shared" si="52"/>
        <v>67</v>
      </c>
      <c r="AN83" s="16">
        <f t="shared" si="53"/>
        <v>2</v>
      </c>
      <c r="AO83" s="16">
        <f t="shared" si="54"/>
        <v>0</v>
      </c>
      <c r="AQ83" s="4">
        <v>8</v>
      </c>
      <c r="AR83" s="16" t="str" cm="1">
        <f t="array" ref="AR83">IF($AQ83&gt;9,"",INDEX($B$61:$K$61,MATCH(SMALL(IF($B$69:$K$69=0,10^9,$B$69:$K$69)+(COLUMN($B$61:$K$61)-COLUMN($I$61))/10^6,$AQ83),IF($B$69:$K$69=0,10^9,$B$69:$K$69)+(COLUMN($B$61:$K$61)-COLUMN($I$61))/10^6,0)))</f>
        <v>S9</v>
      </c>
      <c r="AS83" s="16">
        <f t="shared" si="55"/>
        <v>64</v>
      </c>
      <c r="AT83" s="16">
        <f t="shared" si="56"/>
        <v>2</v>
      </c>
      <c r="AU83" s="16">
        <f t="shared" si="57"/>
        <v>0</v>
      </c>
      <c r="AW83" s="4">
        <v>8</v>
      </c>
      <c r="AX83" s="16" t="str" cm="1">
        <f t="array" ref="AX83">IF($AW83&gt;9,"",INDEX($B$61:$K$61,MATCH(SMALL(IF($B$70:$K$70=0,10^9,$B$70:$K$70)+(COLUMN($B$61:$K$61)-COLUMN($J$61))/10^6,$AW83),IF($B$70:$K$70=0,10^9,$B$70:$K$70)+(COLUMN($B$61:$K$61)-COLUMN($J$61))/10^6,0)))</f>
        <v>S2</v>
      </c>
      <c r="AY83" s="16">
        <f t="shared" si="58"/>
        <v>74</v>
      </c>
      <c r="AZ83" s="16">
        <f t="shared" si="59"/>
        <v>1</v>
      </c>
      <c r="BA83" s="16">
        <f t="shared" si="60"/>
        <v>0</v>
      </c>
      <c r="BC83" s="4">
        <v>8</v>
      </c>
      <c r="BD83" s="16" t="str" cm="1">
        <f t="array" ref="BD83">IF($BC83&gt;9,"",INDEX($B$61:$K$61,MATCH(SMALL(IF($B$71:$K$71=0,10^9,$B$71:$K$71)+(COLUMN($B$61:$K$61)-COLUMN($K$61))/10^6,$BC83),IF($B$71:$K$71=0,10^9,$B$71:$K$71)+(COLUMN($B$61:$K$61)-COLUMN($K$61))/10^6,0)))</f>
        <v>S2</v>
      </c>
      <c r="BE83" s="16">
        <f t="shared" si="61"/>
        <v>78</v>
      </c>
      <c r="BF83" s="16">
        <f t="shared" si="62"/>
        <v>1</v>
      </c>
      <c r="BG83" s="16">
        <f t="shared" si="63"/>
        <v>0</v>
      </c>
    </row>
    <row r="84" spans="1:59" ht="15" customHeight="1" x14ac:dyDescent="0.3">
      <c r="A84" s="4">
        <v>9</v>
      </c>
      <c r="B84" s="16" t="str" cm="1">
        <f t="array" ref="B84">IF($A84&gt;9,"",INDEX($B$61:$K$61,MATCH(SMALL(IF($B$62:$K$62=0,10^9,$B$62:$K$62)+(COLUMN($B$61:$K$61)-COLUMN($B$61))/10^6,$A84),IF($B$62:$K$62=0,10^9,$B$62:$K$62)+(COLUMN($B$61:$K$61)-COLUMN($B$61))/10^6,0)))</f>
        <v>S10</v>
      </c>
      <c r="C84" s="16">
        <f t="shared" si="34"/>
        <v>103</v>
      </c>
      <c r="D84" s="16">
        <f t="shared" si="35"/>
        <v>2</v>
      </c>
      <c r="E84" s="16">
        <f t="shared" si="36"/>
        <v>0</v>
      </c>
      <c r="G84" s="4">
        <v>9</v>
      </c>
      <c r="H84" s="16" t="str" cm="1">
        <f t="array" ref="H84">IF($G84&gt;9,"",INDEX($B$61:$K$61,MATCH(SMALL(IF($B$63:$K$63=0,10^9,$B$63:$K$63)+(COLUMN($B$61:$K$61)-COLUMN($C$61))/10^6,$G84),IF($B$63:$K$63=0,10^9,$B$63:$K$63)+(COLUMN($B$61:$K$61)-COLUMN($C$61))/10^6,0)))</f>
        <v>S10</v>
      </c>
      <c r="I84" s="16">
        <f t="shared" si="37"/>
        <v>78</v>
      </c>
      <c r="J84" s="16">
        <f t="shared" si="38"/>
        <v>2</v>
      </c>
      <c r="K84" s="16">
        <f t="shared" si="39"/>
        <v>0</v>
      </c>
      <c r="M84" s="4">
        <v>9</v>
      </c>
      <c r="N84" s="16" t="str" cm="1">
        <f t="array" ref="N84">IF($M84&gt;9,"",INDEX($B$61:$K$61,MATCH(SMALL(IF($B$64:$K$64=0,10^9,$B$64:$K$64)+(COLUMN($B$61:$K$61)-COLUMN($D$61))/10^6,$M84),IF($B$64:$K$64=0,10^9,$B$64:$K$64)+(COLUMN($B$61:$K$61)-COLUMN($D$61))/10^6,0)))</f>
        <v>S1</v>
      </c>
      <c r="O84" s="16">
        <f t="shared" si="40"/>
        <v>70</v>
      </c>
      <c r="P84" s="16">
        <f t="shared" si="41"/>
        <v>1</v>
      </c>
      <c r="Q84" s="16">
        <f t="shared" si="42"/>
        <v>0</v>
      </c>
      <c r="S84" s="4">
        <v>9</v>
      </c>
      <c r="T84" s="16" t="str" cm="1">
        <f t="array" ref="T84">IF($S84&gt;9,"",INDEX($B$61:$K$61,MATCH(SMALL(IF($B$65:$K$65=0,10^9,$B$65:$K$65)+(COLUMN($B$61:$K$61)-COLUMN($E$61))/10^6,$S84),IF($B$65:$K$65=0,10^9,$B$65:$K$65)+(COLUMN($B$61:$K$61)-COLUMN($E$61))/10^6,0)))</f>
        <v>S10</v>
      </c>
      <c r="U84" s="16">
        <f t="shared" si="43"/>
        <v>62</v>
      </c>
      <c r="V84" s="16">
        <f t="shared" si="44"/>
        <v>2</v>
      </c>
      <c r="W84" s="16">
        <f t="shared" si="45"/>
        <v>0</v>
      </c>
      <c r="Y84" s="4">
        <v>9</v>
      </c>
      <c r="Z84" s="16" t="str" cm="1">
        <f t="array" ref="Z84">IF($Y84&gt;9,"",INDEX($B$61:$K$61,MATCH(SMALL(IF($B$66:$K$66=0,10^9,$B$66:$K$66)+(COLUMN($B$61:$K$61)-COLUMN($F$61))/10^6,$Y84),IF($B$66:$K$66=0,10^9,$B$66:$K$66)+(COLUMN($B$61:$K$61)-COLUMN($F$61))/10^6,0)))</f>
        <v>S1</v>
      </c>
      <c r="AA84" s="16">
        <f t="shared" si="46"/>
        <v>98</v>
      </c>
      <c r="AB84" s="16">
        <f t="shared" si="47"/>
        <v>1</v>
      </c>
      <c r="AC84" s="16">
        <f t="shared" si="48"/>
        <v>0</v>
      </c>
      <c r="AE84" s="4">
        <v>9</v>
      </c>
      <c r="AF84" s="16" t="str" cm="1">
        <f t="array" ref="AF84">IF($AE84&gt;9,"",INDEX($B$61:$K$61,MATCH(SMALL(IF($B$67:$K$67=0,10^9,$B$67:$K$67)+(COLUMN($B$61:$K$61)-COLUMN($G$61))/10^6,$AE84),IF($B$67:$K$67=0,10^9,$B$67:$K$67)+(COLUMN($B$61:$K$61)-COLUMN($G$61))/10^6,0)))</f>
        <v>S1</v>
      </c>
      <c r="AG84" s="16">
        <f t="shared" si="49"/>
        <v>59</v>
      </c>
      <c r="AH84" s="16">
        <f t="shared" si="50"/>
        <v>1</v>
      </c>
      <c r="AI84" s="16">
        <f t="shared" si="51"/>
        <v>1</v>
      </c>
      <c r="AK84" s="4">
        <v>9</v>
      </c>
      <c r="AL84" s="16" t="str" cm="1">
        <f t="array" ref="AL84">IF($AK84&gt;9,"",INDEX($B$61:$K$61,MATCH(SMALL(IF($B$68:$K$68=0,10^9,$B$68:$K$68)+(COLUMN($B$61:$K$61)-COLUMN($H$61))/10^6,$AK84),IF($B$68:$K$68=0,10^9,$B$68:$K$68)+(COLUMN($B$61:$K$61)-COLUMN($H$61))/10^6,0)))</f>
        <v>S10</v>
      </c>
      <c r="AM84" s="16">
        <f t="shared" si="52"/>
        <v>71</v>
      </c>
      <c r="AN84" s="16">
        <f t="shared" si="53"/>
        <v>2</v>
      </c>
      <c r="AO84" s="16">
        <f t="shared" si="54"/>
        <v>0</v>
      </c>
      <c r="AQ84" s="4">
        <v>9</v>
      </c>
      <c r="AR84" s="16" t="str" cm="1">
        <f t="array" ref="AR84">IF($AQ84&gt;9,"",INDEX($B$61:$K$61,MATCH(SMALL(IF($B$69:$K$69=0,10^9,$B$69:$K$69)+(COLUMN($B$61:$K$61)-COLUMN($I$61))/10^6,$AQ84),IF($B$69:$K$69=0,10^9,$B$69:$K$69)+(COLUMN($B$61:$K$61)-COLUMN($I$61))/10^6,0)))</f>
        <v>S10</v>
      </c>
      <c r="AS84" s="16">
        <f t="shared" si="55"/>
        <v>68</v>
      </c>
      <c r="AT84" s="16">
        <f t="shared" si="56"/>
        <v>2</v>
      </c>
      <c r="AU84" s="16">
        <f t="shared" si="57"/>
        <v>0</v>
      </c>
      <c r="AW84" s="4">
        <v>9</v>
      </c>
      <c r="AX84" s="16" t="str" cm="1">
        <f t="array" ref="AX84">IF($AW84&gt;9,"",INDEX($B$61:$K$61,MATCH(SMALL(IF($B$70:$K$70=0,10^9,$B$70:$K$70)+(COLUMN($B$61:$K$61)-COLUMN($J$61))/10^6,$AW84),IF($B$70:$K$70=0,10^9,$B$70:$K$70)+(COLUMN($B$61:$K$61)-COLUMN($J$61))/10^6,0)))</f>
        <v>S1</v>
      </c>
      <c r="AY84" s="16">
        <f t="shared" si="58"/>
        <v>99</v>
      </c>
      <c r="AZ84" s="16">
        <f t="shared" si="59"/>
        <v>1</v>
      </c>
      <c r="BA84" s="16">
        <f t="shared" si="60"/>
        <v>0</v>
      </c>
      <c r="BC84" s="4">
        <v>9</v>
      </c>
      <c r="BD84" s="16" t="str" cm="1">
        <f t="array" ref="BD84">IF($BC84&gt;9,"",INDEX($B$61:$K$61,MATCH(SMALL(IF($B$71:$K$71=0,10^9,$B$71:$K$71)+(COLUMN($B$61:$K$61)-COLUMN($K$61))/10^6,$BC84),IF($B$71:$K$71=0,10^9,$B$71:$K$71)+(COLUMN($B$61:$K$61)-COLUMN($K$61))/10^6,0)))</f>
        <v>S1</v>
      </c>
      <c r="BE84" s="16">
        <f t="shared" si="61"/>
        <v>103</v>
      </c>
      <c r="BF84" s="16">
        <f t="shared" si="62"/>
        <v>1</v>
      </c>
      <c r="BG84" s="16">
        <f t="shared" si="63"/>
        <v>0</v>
      </c>
    </row>
    <row r="85" spans="1:59" ht="15" customHeight="1" x14ac:dyDescent="0.3"/>
    <row r="86" spans="1:59" ht="15" customHeight="1" x14ac:dyDescent="0.3"/>
    <row r="87" spans="1:59" ht="15" customHeight="1" x14ac:dyDescent="0.3">
      <c r="A87" s="73" t="s">
        <v>114</v>
      </c>
      <c r="B87" s="74"/>
      <c r="C87" s="74"/>
      <c r="D87" s="74"/>
      <c r="E87" s="74"/>
      <c r="F87" s="74"/>
      <c r="G87" s="75"/>
    </row>
    <row r="88" spans="1:59" ht="15" customHeight="1" x14ac:dyDescent="0.3">
      <c r="A88" s="3" t="s">
        <v>36</v>
      </c>
      <c r="B88" s="18" t="s">
        <v>1</v>
      </c>
      <c r="C88" s="4" t="s">
        <v>33</v>
      </c>
      <c r="D88" s="4" t="s">
        <v>63</v>
      </c>
      <c r="E88" s="4" t="s">
        <v>34</v>
      </c>
      <c r="F88" s="4" t="s">
        <v>64</v>
      </c>
      <c r="G88" s="4" t="s">
        <v>35</v>
      </c>
    </row>
    <row r="89" spans="1:59" ht="15" customHeight="1" x14ac:dyDescent="0.3">
      <c r="A89" s="4" t="s">
        <v>65</v>
      </c>
      <c r="B89" s="5">
        <v>1</v>
      </c>
      <c r="C89" s="17">
        <f ca="1">SUM(INDIRECT(ADDRESS(76,5+(ROW()-89)*6)&amp;":"&amp;ADDRESS(76+COLUMN()-3,5+(ROW()-89)*6)))</f>
        <v>1</v>
      </c>
      <c r="D89" s="17">
        <f t="shared" ref="D89:G98" ca="1" si="64">SUM(INDIRECT(ADDRESS(76,5+(ROW()-89)*6)&amp;":"&amp;ADDRESS(76+COLUMN()-3,5+(ROW()-89)*6)))</f>
        <v>2</v>
      </c>
      <c r="E89" s="17">
        <f t="shared" ca="1" si="64"/>
        <v>3</v>
      </c>
      <c r="F89" s="17">
        <f t="shared" ca="1" si="64"/>
        <v>4</v>
      </c>
      <c r="G89" s="17">
        <f t="shared" ca="1" si="64"/>
        <v>5</v>
      </c>
    </row>
    <row r="90" spans="1:59" ht="15" customHeight="1" x14ac:dyDescent="0.3">
      <c r="A90" s="4" t="s">
        <v>66</v>
      </c>
      <c r="B90" s="5">
        <v>1</v>
      </c>
      <c r="C90" s="17">
        <f t="shared" ref="C90:C98" ca="1" si="65">SUM(INDIRECT(ADDRESS(76,5+(ROW()-89)*6)&amp;":"&amp;ADDRESS(76+COLUMN()-3,5+(ROW()-89)*6)))</f>
        <v>1</v>
      </c>
      <c r="D90" s="17">
        <f t="shared" ca="1" si="64"/>
        <v>2</v>
      </c>
      <c r="E90" s="17">
        <f t="shared" ca="1" si="64"/>
        <v>3</v>
      </c>
      <c r="F90" s="17">
        <f t="shared" ca="1" si="64"/>
        <v>4</v>
      </c>
      <c r="G90" s="17">
        <f t="shared" ca="1" si="64"/>
        <v>5</v>
      </c>
    </row>
    <row r="91" spans="1:59" ht="15" customHeight="1" x14ac:dyDescent="0.3">
      <c r="A91" s="4" t="s">
        <v>67</v>
      </c>
      <c r="B91" s="5">
        <v>2</v>
      </c>
      <c r="C91" s="17">
        <f t="shared" ca="1" si="65"/>
        <v>0</v>
      </c>
      <c r="D91" s="17">
        <f t="shared" ca="1" si="64"/>
        <v>1</v>
      </c>
      <c r="E91" s="17">
        <f t="shared" ca="1" si="64"/>
        <v>1</v>
      </c>
      <c r="F91" s="17">
        <f t="shared" ca="1" si="64"/>
        <v>2</v>
      </c>
      <c r="G91" s="17">
        <f t="shared" ca="1" si="64"/>
        <v>3</v>
      </c>
    </row>
    <row r="92" spans="1:59" ht="15" customHeight="1" x14ac:dyDescent="0.3">
      <c r="A92" s="4" t="s">
        <v>68</v>
      </c>
      <c r="B92" s="5">
        <v>1</v>
      </c>
      <c r="C92" s="17">
        <f t="shared" ca="1" si="65"/>
        <v>1</v>
      </c>
      <c r="D92" s="17">
        <f t="shared" ca="1" si="64"/>
        <v>2</v>
      </c>
      <c r="E92" s="17">
        <f t="shared" ca="1" si="64"/>
        <v>3</v>
      </c>
      <c r="F92" s="17">
        <f t="shared" ca="1" si="64"/>
        <v>4</v>
      </c>
      <c r="G92" s="17">
        <f t="shared" ca="1" si="64"/>
        <v>4</v>
      </c>
    </row>
    <row r="93" spans="1:59" ht="15" customHeight="1" x14ac:dyDescent="0.3">
      <c r="A93" s="4" t="s">
        <v>69</v>
      </c>
      <c r="B93" s="5">
        <v>2</v>
      </c>
      <c r="C93" s="17">
        <f t="shared" ca="1" si="65"/>
        <v>1</v>
      </c>
      <c r="D93" s="17">
        <f t="shared" ca="1" si="64"/>
        <v>2</v>
      </c>
      <c r="E93" s="17">
        <f t="shared" ca="1" si="64"/>
        <v>3</v>
      </c>
      <c r="F93" s="17">
        <f t="shared" ca="1" si="64"/>
        <v>3</v>
      </c>
      <c r="G93" s="17">
        <f t="shared" ca="1" si="64"/>
        <v>3</v>
      </c>
    </row>
    <row r="94" spans="1:59" ht="15" customHeight="1" x14ac:dyDescent="0.3">
      <c r="A94" s="4" t="s">
        <v>70</v>
      </c>
      <c r="B94" s="5">
        <v>1</v>
      </c>
      <c r="C94" s="17">
        <f t="shared" ca="1" si="65"/>
        <v>0</v>
      </c>
      <c r="D94" s="17">
        <f t="shared" ca="1" si="64"/>
        <v>1</v>
      </c>
      <c r="E94" s="17">
        <f t="shared" ca="1" si="64"/>
        <v>2</v>
      </c>
      <c r="F94" s="17">
        <f t="shared" ca="1" si="64"/>
        <v>3</v>
      </c>
      <c r="G94" s="17">
        <f t="shared" ca="1" si="64"/>
        <v>4</v>
      </c>
    </row>
    <row r="95" spans="1:59" ht="15" customHeight="1" x14ac:dyDescent="0.3">
      <c r="A95" s="4" t="s">
        <v>71</v>
      </c>
      <c r="B95" s="5">
        <v>1</v>
      </c>
      <c r="C95" s="17">
        <f t="shared" ca="1" si="65"/>
        <v>1</v>
      </c>
      <c r="D95" s="17">
        <f t="shared" ca="1" si="64"/>
        <v>2</v>
      </c>
      <c r="E95" s="17">
        <f t="shared" ca="1" si="64"/>
        <v>3</v>
      </c>
      <c r="F95" s="17">
        <f t="shared" ca="1" si="64"/>
        <v>4</v>
      </c>
      <c r="G95" s="17">
        <f t="shared" ca="1" si="64"/>
        <v>4</v>
      </c>
    </row>
    <row r="96" spans="1:59" ht="15" customHeight="1" x14ac:dyDescent="0.3">
      <c r="A96" s="4" t="s">
        <v>72</v>
      </c>
      <c r="B96" s="5">
        <v>1</v>
      </c>
      <c r="C96" s="17">
        <f t="shared" ca="1" si="65"/>
        <v>1</v>
      </c>
      <c r="D96" s="17">
        <f t="shared" ca="1" si="64"/>
        <v>2</v>
      </c>
      <c r="E96" s="17">
        <f t="shared" ca="1" si="64"/>
        <v>3</v>
      </c>
      <c r="F96" s="17">
        <f t="shared" ca="1" si="64"/>
        <v>4</v>
      </c>
      <c r="G96" s="17">
        <f t="shared" ca="1" si="64"/>
        <v>4</v>
      </c>
    </row>
    <row r="97" spans="1:7" ht="15" customHeight="1" x14ac:dyDescent="0.3">
      <c r="A97" s="4" t="s">
        <v>73</v>
      </c>
      <c r="B97" s="5">
        <v>2</v>
      </c>
      <c r="C97" s="17">
        <f t="shared" ca="1" si="65"/>
        <v>1</v>
      </c>
      <c r="D97" s="17">
        <f t="shared" ca="1" si="64"/>
        <v>2</v>
      </c>
      <c r="E97" s="17">
        <f t="shared" ca="1" si="64"/>
        <v>3</v>
      </c>
      <c r="F97" s="17">
        <f t="shared" ca="1" si="64"/>
        <v>3</v>
      </c>
      <c r="G97" s="17">
        <f t="shared" ca="1" si="64"/>
        <v>3</v>
      </c>
    </row>
    <row r="98" spans="1:7" ht="15" customHeight="1" x14ac:dyDescent="0.3">
      <c r="A98" s="4" t="s">
        <v>74</v>
      </c>
      <c r="B98" s="5">
        <v>2</v>
      </c>
      <c r="C98" s="17">
        <f t="shared" ca="1" si="65"/>
        <v>1</v>
      </c>
      <c r="D98" s="17">
        <f t="shared" ca="1" si="64"/>
        <v>2</v>
      </c>
      <c r="E98" s="17">
        <f t="shared" ca="1" si="64"/>
        <v>3</v>
      </c>
      <c r="F98" s="17">
        <f t="shared" ca="1" si="64"/>
        <v>3</v>
      </c>
      <c r="G98" s="17">
        <f t="shared" ca="1" si="64"/>
        <v>3</v>
      </c>
    </row>
    <row r="99" spans="1:7" ht="15" customHeight="1" x14ac:dyDescent="0.3"/>
    <row r="100" spans="1:7" ht="15" customHeight="1" x14ac:dyDescent="0.3"/>
    <row r="101" spans="1:7" ht="15" customHeight="1" x14ac:dyDescent="0.3">
      <c r="A101" s="73" t="s">
        <v>115</v>
      </c>
      <c r="B101" s="74"/>
      <c r="C101" s="74"/>
      <c r="D101" s="74"/>
      <c r="E101" s="74"/>
      <c r="F101" s="74"/>
      <c r="G101" s="75"/>
    </row>
    <row r="102" spans="1:7" ht="15" customHeight="1" x14ac:dyDescent="0.3">
      <c r="A102" s="10" t="s">
        <v>36</v>
      </c>
      <c r="B102" s="19" t="s">
        <v>1</v>
      </c>
      <c r="E102" s="28" t="s">
        <v>34</v>
      </c>
      <c r="G102" s="28" t="s">
        <v>35</v>
      </c>
    </row>
    <row r="103" spans="1:7" ht="15" customHeight="1" x14ac:dyDescent="0.3">
      <c r="A103" s="4" t="s">
        <v>65</v>
      </c>
      <c r="B103" s="5">
        <v>1</v>
      </c>
      <c r="E103" s="17">
        <f ca="1">E89</f>
        <v>3</v>
      </c>
      <c r="G103" s="17">
        <f ca="1">G89</f>
        <v>5</v>
      </c>
    </row>
    <row r="104" spans="1:7" ht="15" customHeight="1" x14ac:dyDescent="0.3">
      <c r="A104" s="4" t="s">
        <v>66</v>
      </c>
      <c r="B104" s="5">
        <v>1</v>
      </c>
      <c r="E104" s="17">
        <f ca="1">E90</f>
        <v>3</v>
      </c>
      <c r="G104" s="17">
        <f t="shared" ref="G104:G112" ca="1" si="66">G90</f>
        <v>5</v>
      </c>
    </row>
    <row r="105" spans="1:7" ht="15" customHeight="1" x14ac:dyDescent="0.3">
      <c r="A105" s="4" t="s">
        <v>67</v>
      </c>
      <c r="B105" s="5">
        <v>2</v>
      </c>
      <c r="E105" s="17">
        <f ca="1">E91</f>
        <v>1</v>
      </c>
      <c r="G105" s="17">
        <f t="shared" ca="1" si="66"/>
        <v>3</v>
      </c>
    </row>
    <row r="106" spans="1:7" ht="15" customHeight="1" x14ac:dyDescent="0.3">
      <c r="A106" s="4" t="s">
        <v>68</v>
      </c>
      <c r="B106" s="5">
        <v>1</v>
      </c>
      <c r="E106" s="17">
        <f t="shared" ref="E106:E112" ca="1" si="67">E92</f>
        <v>3</v>
      </c>
      <c r="G106" s="17">
        <f ca="1">G92</f>
        <v>4</v>
      </c>
    </row>
    <row r="107" spans="1:7" ht="15" customHeight="1" x14ac:dyDescent="0.3">
      <c r="A107" s="4" t="s">
        <v>69</v>
      </c>
      <c r="B107" s="5">
        <v>2</v>
      </c>
      <c r="E107" s="17">
        <f t="shared" ca="1" si="67"/>
        <v>3</v>
      </c>
      <c r="G107" s="17">
        <f t="shared" ca="1" si="66"/>
        <v>3</v>
      </c>
    </row>
    <row r="108" spans="1:7" ht="15" customHeight="1" x14ac:dyDescent="0.3">
      <c r="A108" s="4" t="s">
        <v>70</v>
      </c>
      <c r="B108" s="5">
        <v>1</v>
      </c>
      <c r="E108" s="17">
        <f t="shared" ca="1" si="67"/>
        <v>2</v>
      </c>
      <c r="G108" s="17">
        <f t="shared" ca="1" si="66"/>
        <v>4</v>
      </c>
    </row>
    <row r="109" spans="1:7" ht="15" customHeight="1" x14ac:dyDescent="0.3">
      <c r="A109" s="4" t="s">
        <v>71</v>
      </c>
      <c r="B109" s="5">
        <v>1</v>
      </c>
      <c r="E109" s="17">
        <f t="shared" ca="1" si="67"/>
        <v>3</v>
      </c>
      <c r="G109" s="17">
        <f t="shared" ca="1" si="66"/>
        <v>4</v>
      </c>
    </row>
    <row r="110" spans="1:7" ht="15" customHeight="1" x14ac:dyDescent="0.3">
      <c r="A110" s="4" t="s">
        <v>72</v>
      </c>
      <c r="B110" s="5">
        <v>1</v>
      </c>
      <c r="E110" s="17">
        <f t="shared" ca="1" si="67"/>
        <v>3</v>
      </c>
      <c r="G110" s="17">
        <f t="shared" ca="1" si="66"/>
        <v>4</v>
      </c>
    </row>
    <row r="111" spans="1:7" ht="15" customHeight="1" x14ac:dyDescent="0.3">
      <c r="A111" s="4" t="s">
        <v>73</v>
      </c>
      <c r="B111" s="5">
        <v>2</v>
      </c>
      <c r="E111" s="17">
        <f t="shared" ca="1" si="67"/>
        <v>3</v>
      </c>
      <c r="G111" s="17">
        <f t="shared" ca="1" si="66"/>
        <v>3</v>
      </c>
    </row>
    <row r="112" spans="1:7" ht="15" customHeight="1" x14ac:dyDescent="0.3">
      <c r="A112" s="4" t="s">
        <v>74</v>
      </c>
      <c r="B112" s="5">
        <v>2</v>
      </c>
      <c r="E112" s="17">
        <f t="shared" ca="1" si="67"/>
        <v>3</v>
      </c>
      <c r="G112" s="17">
        <f t="shared" ca="1" si="66"/>
        <v>3</v>
      </c>
    </row>
    <row r="113" spans="1:59" ht="15" customHeight="1" x14ac:dyDescent="0.3"/>
    <row r="114" spans="1:59" ht="15" customHeight="1" x14ac:dyDescent="0.3"/>
    <row r="115" spans="1:59" ht="15" customHeight="1" thickBot="1" x14ac:dyDescent="0.3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</row>
    <row r="116" spans="1:59" ht="15" customHeight="1" x14ac:dyDescent="0.3"/>
    <row r="117" spans="1:59" ht="15" customHeight="1" x14ac:dyDescent="0.3"/>
    <row r="118" spans="1:59" ht="15" customHeight="1" x14ac:dyDescent="0.3"/>
    <row r="119" spans="1:59" ht="15" customHeight="1" x14ac:dyDescent="0.3">
      <c r="A119" s="68" t="s">
        <v>49</v>
      </c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</row>
    <row r="120" spans="1:59" ht="15" customHeight="1" x14ac:dyDescent="0.3">
      <c r="A120" s="3" t="s">
        <v>0</v>
      </c>
      <c r="B120" s="4" t="s">
        <v>9</v>
      </c>
      <c r="C120" s="4" t="s">
        <v>10</v>
      </c>
      <c r="D120" s="4" t="s">
        <v>11</v>
      </c>
      <c r="E120" s="4" t="s">
        <v>12</v>
      </c>
      <c r="F120" s="4" t="s">
        <v>13</v>
      </c>
      <c r="G120" s="4" t="s">
        <v>14</v>
      </c>
      <c r="H120" s="4" t="s">
        <v>15</v>
      </c>
      <c r="I120" s="4" t="s">
        <v>16</v>
      </c>
      <c r="J120" s="4" t="s">
        <v>17</v>
      </c>
      <c r="K120" s="4" t="s">
        <v>18</v>
      </c>
      <c r="L120" s="18" t="s">
        <v>1</v>
      </c>
    </row>
    <row r="121" spans="1:59" ht="15" customHeight="1" x14ac:dyDescent="0.3">
      <c r="A121" s="4" t="s">
        <v>9</v>
      </c>
      <c r="B121" s="11">
        <v>0</v>
      </c>
      <c r="C121" s="11">
        <v>0.54579999999999995</v>
      </c>
      <c r="D121" s="11">
        <v>1.0373570000000001</v>
      </c>
      <c r="E121" s="11">
        <v>0.56283499999999997</v>
      </c>
      <c r="F121" s="11">
        <v>1.152085</v>
      </c>
      <c r="G121" s="11">
        <v>0.68167900000000003</v>
      </c>
      <c r="H121" s="11">
        <v>0.574291</v>
      </c>
      <c r="I121" s="11">
        <v>0.62445600000000001</v>
      </c>
      <c r="J121" s="11">
        <v>1.12375</v>
      </c>
      <c r="K121" s="11">
        <v>1.108506</v>
      </c>
      <c r="L121" s="5">
        <v>1</v>
      </c>
    </row>
    <row r="122" spans="1:59" ht="15" customHeight="1" x14ac:dyDescent="0.3">
      <c r="A122" s="4" t="s">
        <v>10</v>
      </c>
      <c r="B122" s="11">
        <v>0.54579999999999995</v>
      </c>
      <c r="C122" s="11">
        <v>0</v>
      </c>
      <c r="D122" s="11">
        <v>0.49956899999999999</v>
      </c>
      <c r="E122" s="11">
        <v>0.30976700000000001</v>
      </c>
      <c r="F122" s="11">
        <v>0.63149599999999995</v>
      </c>
      <c r="G122" s="11">
        <v>0.33829599999999999</v>
      </c>
      <c r="H122" s="11">
        <v>0.50434800000000002</v>
      </c>
      <c r="I122" s="11">
        <v>0.44345699999999999</v>
      </c>
      <c r="J122" s="11">
        <v>0.66627499999999995</v>
      </c>
      <c r="K122" s="11">
        <v>0.72694700000000001</v>
      </c>
      <c r="L122" s="5">
        <v>1</v>
      </c>
    </row>
    <row r="123" spans="1:59" ht="15" customHeight="1" x14ac:dyDescent="0.3">
      <c r="A123" s="4" t="s">
        <v>11</v>
      </c>
      <c r="B123" s="11">
        <v>1.0373570000000001</v>
      </c>
      <c r="C123" s="11">
        <v>0.49956899999999999</v>
      </c>
      <c r="D123" s="11">
        <v>0</v>
      </c>
      <c r="E123" s="11">
        <v>0.50973100000000005</v>
      </c>
      <c r="F123" s="11">
        <v>0.20266999999999999</v>
      </c>
      <c r="G123" s="11">
        <v>0.36152400000000001</v>
      </c>
      <c r="H123" s="11">
        <v>0.82781099999999996</v>
      </c>
      <c r="I123" s="11">
        <v>0.64531000000000005</v>
      </c>
      <c r="J123" s="11">
        <v>0.24385499999999999</v>
      </c>
      <c r="K123" s="11">
        <v>0.41927999999999999</v>
      </c>
      <c r="L123" s="5">
        <v>2</v>
      </c>
    </row>
    <row r="124" spans="1:59" ht="15" customHeight="1" x14ac:dyDescent="0.3">
      <c r="A124" s="4" t="s">
        <v>12</v>
      </c>
      <c r="B124" s="11">
        <v>0.56283499999999997</v>
      </c>
      <c r="C124" s="11">
        <v>0.30976700000000001</v>
      </c>
      <c r="D124" s="11">
        <v>0.50973100000000005</v>
      </c>
      <c r="E124" s="11">
        <v>0</v>
      </c>
      <c r="F124" s="11">
        <v>0.68363399999999996</v>
      </c>
      <c r="G124" s="11">
        <v>0.22051599999999999</v>
      </c>
      <c r="H124" s="11">
        <v>0.32128899999999999</v>
      </c>
      <c r="I124" s="11">
        <v>0.20220399999999999</v>
      </c>
      <c r="J124" s="11">
        <v>0.71919500000000003</v>
      </c>
      <c r="K124" s="11">
        <v>0.74225399999999997</v>
      </c>
      <c r="L124" s="5">
        <v>1</v>
      </c>
    </row>
    <row r="125" spans="1:59" ht="15" customHeight="1" x14ac:dyDescent="0.3">
      <c r="A125" s="4" t="s">
        <v>13</v>
      </c>
      <c r="B125" s="11">
        <v>1.152085</v>
      </c>
      <c r="C125" s="11">
        <v>0.63149599999999995</v>
      </c>
      <c r="D125" s="11">
        <v>0.20266999999999999</v>
      </c>
      <c r="E125" s="11">
        <v>0.68363399999999996</v>
      </c>
      <c r="F125" s="11">
        <v>0</v>
      </c>
      <c r="G125" s="11">
        <v>0.53694500000000001</v>
      </c>
      <c r="H125" s="11">
        <v>1.00024</v>
      </c>
      <c r="I125" s="11">
        <v>0.81874599999999997</v>
      </c>
      <c r="J125" s="11">
        <v>7.3196999999999998E-2</v>
      </c>
      <c r="K125" s="11">
        <v>0.21699599999999999</v>
      </c>
      <c r="L125" s="5">
        <v>2</v>
      </c>
    </row>
    <row r="126" spans="1:59" ht="15" customHeight="1" x14ac:dyDescent="0.3">
      <c r="A126" s="4" t="s">
        <v>14</v>
      </c>
      <c r="B126" s="11">
        <v>0.68167900000000003</v>
      </c>
      <c r="C126" s="11">
        <v>0.33829599999999999</v>
      </c>
      <c r="D126" s="11">
        <v>0.36152400000000001</v>
      </c>
      <c r="E126" s="11">
        <v>0.22051599999999999</v>
      </c>
      <c r="F126" s="11">
        <v>0.53694500000000001</v>
      </c>
      <c r="G126" s="11">
        <v>0</v>
      </c>
      <c r="H126" s="11">
        <v>0.46984100000000001</v>
      </c>
      <c r="I126" s="11">
        <v>0.28494599999999998</v>
      </c>
      <c r="J126" s="11">
        <v>0.57267699999999999</v>
      </c>
      <c r="K126" s="11">
        <v>0.57135100000000005</v>
      </c>
      <c r="L126" s="5">
        <v>1</v>
      </c>
    </row>
    <row r="127" spans="1:59" ht="15" customHeight="1" x14ac:dyDescent="0.3">
      <c r="A127" s="4" t="s">
        <v>15</v>
      </c>
      <c r="B127" s="11">
        <v>0.574291</v>
      </c>
      <c r="C127" s="11">
        <v>0.50434800000000002</v>
      </c>
      <c r="D127" s="11">
        <v>0.82781099999999996</v>
      </c>
      <c r="E127" s="11">
        <v>0.32128899999999999</v>
      </c>
      <c r="F127" s="11">
        <v>1.00024</v>
      </c>
      <c r="G127" s="11">
        <v>0.46984100000000001</v>
      </c>
      <c r="H127" s="11">
        <v>0</v>
      </c>
      <c r="I127" s="11">
        <v>0.18553700000000001</v>
      </c>
      <c r="J127" s="11">
        <v>1.0347200000000001</v>
      </c>
      <c r="K127" s="11">
        <v>1.033188</v>
      </c>
      <c r="L127" s="5">
        <v>1</v>
      </c>
    </row>
    <row r="128" spans="1:59" ht="15" customHeight="1" x14ac:dyDescent="0.3">
      <c r="A128" s="4" t="s">
        <v>16</v>
      </c>
      <c r="B128" s="11">
        <v>0.62445600000000001</v>
      </c>
      <c r="C128" s="11">
        <v>0.44345699999999999</v>
      </c>
      <c r="D128" s="11">
        <v>0.64531000000000005</v>
      </c>
      <c r="E128" s="11">
        <v>0.20220399999999999</v>
      </c>
      <c r="F128" s="11">
        <v>0.81874599999999997</v>
      </c>
      <c r="G128" s="11">
        <v>0.28494599999999998</v>
      </c>
      <c r="H128" s="11">
        <v>0.18553700000000001</v>
      </c>
      <c r="I128" s="11">
        <v>0</v>
      </c>
      <c r="J128" s="11">
        <v>0.85374399999999995</v>
      </c>
      <c r="K128" s="11">
        <v>0.85166799999999998</v>
      </c>
      <c r="L128" s="5">
        <v>1</v>
      </c>
    </row>
    <row r="129" spans="1:12" ht="15" customHeight="1" x14ac:dyDescent="0.3">
      <c r="A129" s="4" t="s">
        <v>17</v>
      </c>
      <c r="B129" s="11">
        <v>1.12375</v>
      </c>
      <c r="C129" s="11">
        <v>0.66627499999999995</v>
      </c>
      <c r="D129" s="11">
        <v>0.24385499999999999</v>
      </c>
      <c r="E129" s="11">
        <v>0.71919500000000003</v>
      </c>
      <c r="F129" s="11">
        <v>7.3196999999999998E-2</v>
      </c>
      <c r="G129" s="11">
        <v>0.57267699999999999</v>
      </c>
      <c r="H129" s="11">
        <v>1.0347200000000001</v>
      </c>
      <c r="I129" s="11">
        <v>0.85374399999999995</v>
      </c>
      <c r="J129" s="11">
        <v>0</v>
      </c>
      <c r="K129" s="11">
        <v>0.175677</v>
      </c>
      <c r="L129" s="5">
        <v>2</v>
      </c>
    </row>
    <row r="130" spans="1:12" ht="15" customHeight="1" x14ac:dyDescent="0.3">
      <c r="A130" s="4" t="s">
        <v>18</v>
      </c>
      <c r="B130" s="11">
        <v>1.108506</v>
      </c>
      <c r="C130" s="11">
        <v>0.72694700000000001</v>
      </c>
      <c r="D130" s="11">
        <v>0.41927999999999999</v>
      </c>
      <c r="E130" s="11">
        <v>0.74225399999999997</v>
      </c>
      <c r="F130" s="11">
        <v>0.21699599999999999</v>
      </c>
      <c r="G130" s="11">
        <v>0.57135100000000005</v>
      </c>
      <c r="H130" s="11">
        <v>1.033188</v>
      </c>
      <c r="I130" s="11">
        <v>0.85166799999999998</v>
      </c>
      <c r="J130" s="11">
        <v>0.175677</v>
      </c>
      <c r="K130" s="11">
        <v>0</v>
      </c>
      <c r="L130" s="5">
        <v>2</v>
      </c>
    </row>
    <row r="131" spans="1:12" ht="15" customHeight="1" x14ac:dyDescent="0.3"/>
    <row r="132" spans="1:12" ht="15" customHeight="1" x14ac:dyDescent="0.3"/>
    <row r="133" spans="1:12" ht="15" customHeight="1" x14ac:dyDescent="0.3"/>
    <row r="134" spans="1:12" ht="15" customHeight="1" x14ac:dyDescent="0.3"/>
    <row r="135" spans="1:12" ht="15" customHeight="1" x14ac:dyDescent="0.3"/>
    <row r="136" spans="1:12" ht="15" customHeight="1" x14ac:dyDescent="0.3"/>
    <row r="137" spans="1:12" ht="15" customHeight="1" x14ac:dyDescent="0.3"/>
    <row r="138" spans="1:12" ht="15" customHeight="1" x14ac:dyDescent="0.3"/>
    <row r="139" spans="1:12" ht="15" customHeight="1" x14ac:dyDescent="0.3"/>
    <row r="140" spans="1:12" ht="15" customHeight="1" x14ac:dyDescent="0.3"/>
    <row r="141" spans="1:12" ht="15" customHeight="1" x14ac:dyDescent="0.3"/>
    <row r="142" spans="1:12" ht="15" customHeight="1" x14ac:dyDescent="0.3"/>
    <row r="143" spans="1:12" ht="15" customHeight="1" x14ac:dyDescent="0.3"/>
    <row r="144" spans="1:12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  <row r="151" ht="15" customHeight="1" x14ac:dyDescent="0.3"/>
    <row r="152" ht="15" customHeight="1" x14ac:dyDescent="0.3"/>
    <row r="153" ht="15" customHeight="1" x14ac:dyDescent="0.3"/>
    <row r="154" ht="15" customHeight="1" x14ac:dyDescent="0.3"/>
    <row r="155" ht="15" customHeight="1" x14ac:dyDescent="0.3"/>
    <row r="156" ht="15" customHeight="1" x14ac:dyDescent="0.3"/>
    <row r="157" ht="15" customHeight="1" x14ac:dyDescent="0.3"/>
    <row r="158" ht="15" customHeight="1" x14ac:dyDescent="0.3"/>
    <row r="159" ht="15" customHeight="1" x14ac:dyDescent="0.3"/>
    <row r="160" ht="15" customHeight="1" x14ac:dyDescent="0.3"/>
    <row r="161" ht="15" customHeight="1" x14ac:dyDescent="0.3"/>
    <row r="162" ht="15" customHeight="1" x14ac:dyDescent="0.3"/>
    <row r="163" ht="15" customHeight="1" x14ac:dyDescent="0.3"/>
    <row r="164" ht="1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  <row r="184" ht="15" customHeight="1" x14ac:dyDescent="0.3"/>
    <row r="185" ht="15" customHeight="1" x14ac:dyDescent="0.3"/>
    <row r="186" ht="15" customHeight="1" x14ac:dyDescent="0.3"/>
    <row r="187" ht="15" customHeight="1" x14ac:dyDescent="0.3"/>
    <row r="188" ht="15" customHeight="1" x14ac:dyDescent="0.3"/>
    <row r="189" ht="15" customHeight="1" x14ac:dyDescent="0.3"/>
    <row r="190" ht="15" customHeight="1" x14ac:dyDescent="0.3"/>
    <row r="191" ht="15" customHeight="1" x14ac:dyDescent="0.3"/>
    <row r="192" ht="15" customHeight="1" x14ac:dyDescent="0.3"/>
    <row r="193" ht="15" customHeight="1" x14ac:dyDescent="0.3"/>
    <row r="194" ht="15" customHeight="1" x14ac:dyDescent="0.3"/>
    <row r="195" ht="15" customHeight="1" x14ac:dyDescent="0.3"/>
    <row r="196" ht="15" customHeight="1" x14ac:dyDescent="0.3"/>
    <row r="197" ht="15" customHeight="1" x14ac:dyDescent="0.3"/>
    <row r="198" ht="15" customHeight="1" x14ac:dyDescent="0.3"/>
    <row r="199" ht="15" customHeight="1" x14ac:dyDescent="0.3"/>
    <row r="200" ht="15" customHeight="1" x14ac:dyDescent="0.3"/>
    <row r="201" ht="13.95" customHeight="1" x14ac:dyDescent="0.3"/>
    <row r="202" ht="13.95" customHeight="1" x14ac:dyDescent="0.3"/>
    <row r="203" ht="13.95" customHeight="1" x14ac:dyDescent="0.3"/>
    <row r="204" ht="13.95" customHeight="1" x14ac:dyDescent="0.3"/>
    <row r="205" ht="13.95" customHeight="1" x14ac:dyDescent="0.3"/>
    <row r="206" ht="13.95" customHeight="1" x14ac:dyDescent="0.3"/>
    <row r="207" ht="13.95" customHeight="1" x14ac:dyDescent="0.3"/>
    <row r="208" ht="13.95" customHeight="1" x14ac:dyDescent="0.3"/>
    <row r="209" ht="13.95" customHeight="1" x14ac:dyDescent="0.3"/>
    <row r="210" ht="13.95" customHeight="1" x14ac:dyDescent="0.3"/>
    <row r="211" ht="13.95" customHeight="1" x14ac:dyDescent="0.3"/>
    <row r="212" ht="13.95" customHeight="1" x14ac:dyDescent="0.3"/>
    <row r="213" ht="13.95" customHeight="1" x14ac:dyDescent="0.3"/>
    <row r="214" ht="13.95" customHeight="1" x14ac:dyDescent="0.3"/>
    <row r="215" ht="13.95" customHeight="1" x14ac:dyDescent="0.3"/>
    <row r="216" ht="13.95" customHeight="1" x14ac:dyDescent="0.3"/>
    <row r="217" ht="13.95" customHeight="1" x14ac:dyDescent="0.3"/>
    <row r="218" ht="13.95" customHeight="1" x14ac:dyDescent="0.3"/>
    <row r="219" ht="13.95" customHeight="1" x14ac:dyDescent="0.3"/>
    <row r="220" ht="13.95" customHeight="1" x14ac:dyDescent="0.3"/>
    <row r="221" ht="13.95" customHeight="1" x14ac:dyDescent="0.3"/>
    <row r="222" ht="13.95" customHeight="1" x14ac:dyDescent="0.3"/>
    <row r="223" ht="13.95" customHeight="1" x14ac:dyDescent="0.3"/>
    <row r="224" ht="13.95" customHeight="1" x14ac:dyDescent="0.3"/>
    <row r="225" ht="13.95" customHeight="1" x14ac:dyDescent="0.3"/>
    <row r="226" ht="13.95" customHeight="1" x14ac:dyDescent="0.3"/>
    <row r="227" ht="13.95" customHeight="1" x14ac:dyDescent="0.3"/>
    <row r="228" ht="13.95" customHeight="1" x14ac:dyDescent="0.3"/>
    <row r="229" ht="13.95" customHeight="1" x14ac:dyDescent="0.3"/>
    <row r="230" ht="13.95" customHeight="1" x14ac:dyDescent="0.3"/>
    <row r="231" ht="13.95" customHeight="1" x14ac:dyDescent="0.3"/>
    <row r="232" ht="13.95" customHeight="1" x14ac:dyDescent="0.3"/>
    <row r="233" ht="13.95" customHeight="1" x14ac:dyDescent="0.3"/>
    <row r="234" ht="13.95" customHeight="1" x14ac:dyDescent="0.3"/>
    <row r="235" ht="13.95" customHeight="1" x14ac:dyDescent="0.3"/>
    <row r="236" ht="13.95" customHeight="1" x14ac:dyDescent="0.3"/>
    <row r="237" ht="13.95" customHeight="1" x14ac:dyDescent="0.3"/>
    <row r="238" ht="13.95" customHeight="1" x14ac:dyDescent="0.3"/>
    <row r="239" ht="13.95" customHeight="1" x14ac:dyDescent="0.3"/>
    <row r="240" ht="13.95" customHeight="1" x14ac:dyDescent="0.3"/>
    <row r="241" ht="13.95" customHeight="1" x14ac:dyDescent="0.3"/>
    <row r="242" ht="13.95" customHeight="1" x14ac:dyDescent="0.3"/>
    <row r="243" ht="13.95" customHeight="1" x14ac:dyDescent="0.3"/>
    <row r="244" ht="13.95" customHeight="1" x14ac:dyDescent="0.3"/>
    <row r="245" ht="13.95" customHeight="1" x14ac:dyDescent="0.3"/>
    <row r="246" ht="13.95" customHeight="1" x14ac:dyDescent="0.3"/>
    <row r="247" ht="13.95" customHeight="1" x14ac:dyDescent="0.3"/>
    <row r="248" ht="13.95" customHeight="1" x14ac:dyDescent="0.3"/>
    <row r="249" ht="13.95" customHeight="1" x14ac:dyDescent="0.3"/>
    <row r="250" ht="13.95" customHeight="1" x14ac:dyDescent="0.3"/>
    <row r="251" ht="13.95" customHeight="1" x14ac:dyDescent="0.3"/>
    <row r="252" ht="13.95" customHeight="1" x14ac:dyDescent="0.3"/>
    <row r="253" ht="13.95" customHeight="1" x14ac:dyDescent="0.3"/>
    <row r="254" ht="13.95" customHeight="1" x14ac:dyDescent="0.3"/>
    <row r="255" ht="13.95" customHeight="1" x14ac:dyDescent="0.3"/>
    <row r="256" ht="13.95" customHeight="1" x14ac:dyDescent="0.3"/>
    <row r="257" ht="13.95" customHeight="1" x14ac:dyDescent="0.3"/>
    <row r="258" ht="13.95" customHeight="1" x14ac:dyDescent="0.3"/>
    <row r="259" ht="13.95" customHeight="1" x14ac:dyDescent="0.3"/>
    <row r="260" ht="13.95" customHeight="1" x14ac:dyDescent="0.3"/>
    <row r="261" ht="13.95" customHeight="1" x14ac:dyDescent="0.3"/>
    <row r="262" ht="13.95" customHeight="1" x14ac:dyDescent="0.3"/>
    <row r="263" ht="13.95" customHeight="1" x14ac:dyDescent="0.3"/>
    <row r="264" ht="13.95" customHeight="1" x14ac:dyDescent="0.3"/>
    <row r="265" ht="13.95" customHeight="1" x14ac:dyDescent="0.3"/>
    <row r="266" ht="13.95" customHeight="1" x14ac:dyDescent="0.3"/>
    <row r="267" ht="13.95" customHeight="1" x14ac:dyDescent="0.3"/>
    <row r="268" ht="13.95" customHeight="1" x14ac:dyDescent="0.3"/>
    <row r="269" ht="13.95" customHeight="1" x14ac:dyDescent="0.3"/>
    <row r="270" ht="13.95" customHeight="1" x14ac:dyDescent="0.3"/>
    <row r="271" ht="13.95" customHeight="1" x14ac:dyDescent="0.3"/>
    <row r="272" ht="13.95" customHeight="1" x14ac:dyDescent="0.3"/>
    <row r="273" ht="13.95" customHeight="1" x14ac:dyDescent="0.3"/>
    <row r="274" ht="13.95" customHeight="1" x14ac:dyDescent="0.3"/>
    <row r="275" ht="13.95" customHeight="1" x14ac:dyDescent="0.3"/>
    <row r="276" ht="13.95" customHeight="1" x14ac:dyDescent="0.3"/>
    <row r="277" ht="13.95" customHeight="1" x14ac:dyDescent="0.3"/>
    <row r="278" ht="13.95" customHeight="1" x14ac:dyDescent="0.3"/>
    <row r="279" ht="13.95" customHeight="1" x14ac:dyDescent="0.3"/>
    <row r="280" ht="13.95" customHeight="1" x14ac:dyDescent="0.3"/>
    <row r="281" ht="13.95" customHeight="1" x14ac:dyDescent="0.3"/>
    <row r="282" ht="13.95" customHeight="1" x14ac:dyDescent="0.3"/>
    <row r="283" ht="13.95" customHeight="1" x14ac:dyDescent="0.3"/>
    <row r="284" ht="13.95" customHeight="1" x14ac:dyDescent="0.3"/>
    <row r="285" ht="13.95" customHeight="1" x14ac:dyDescent="0.3"/>
    <row r="286" ht="13.95" customHeight="1" x14ac:dyDescent="0.3"/>
    <row r="287" ht="13.95" customHeight="1" x14ac:dyDescent="0.3"/>
    <row r="288" ht="13.95" customHeight="1" x14ac:dyDescent="0.3"/>
    <row r="289" ht="13.95" customHeight="1" x14ac:dyDescent="0.3"/>
    <row r="290" ht="13.95" customHeight="1" x14ac:dyDescent="0.3"/>
    <row r="291" ht="13.95" customHeight="1" x14ac:dyDescent="0.3"/>
    <row r="292" ht="13.95" customHeight="1" x14ac:dyDescent="0.3"/>
    <row r="293" ht="13.95" customHeight="1" x14ac:dyDescent="0.3"/>
    <row r="294" ht="13.95" customHeight="1" x14ac:dyDescent="0.3"/>
    <row r="295" ht="13.95" customHeight="1" x14ac:dyDescent="0.3"/>
    <row r="296" ht="13.95" customHeight="1" x14ac:dyDescent="0.3"/>
    <row r="297" ht="13.95" customHeight="1" x14ac:dyDescent="0.3"/>
    <row r="298" ht="13.95" customHeight="1" x14ac:dyDescent="0.3"/>
    <row r="299" ht="13.95" customHeight="1" x14ac:dyDescent="0.3"/>
    <row r="300" ht="13.95" customHeight="1" x14ac:dyDescent="0.3"/>
    <row r="301" ht="13.95" customHeight="1" x14ac:dyDescent="0.3"/>
    <row r="302" ht="13.95" customHeight="1" x14ac:dyDescent="0.3"/>
    <row r="303" ht="13.95" customHeight="1" x14ac:dyDescent="0.3"/>
    <row r="304" ht="13.95" customHeight="1" x14ac:dyDescent="0.3"/>
    <row r="305" ht="13.95" customHeight="1" x14ac:dyDescent="0.3"/>
    <row r="306" ht="13.95" customHeight="1" x14ac:dyDescent="0.3"/>
    <row r="307" ht="13.95" customHeight="1" x14ac:dyDescent="0.3"/>
    <row r="308" ht="13.95" customHeight="1" x14ac:dyDescent="0.3"/>
    <row r="309" ht="13.95" customHeight="1" x14ac:dyDescent="0.3"/>
    <row r="310" ht="13.95" customHeight="1" x14ac:dyDescent="0.3"/>
    <row r="311" ht="13.95" customHeight="1" x14ac:dyDescent="0.3"/>
    <row r="312" ht="13.95" customHeight="1" x14ac:dyDescent="0.3"/>
    <row r="313" ht="13.95" customHeight="1" x14ac:dyDescent="0.3"/>
    <row r="314" ht="13.95" customHeight="1" x14ac:dyDescent="0.3"/>
    <row r="315" ht="13.95" customHeight="1" x14ac:dyDescent="0.3"/>
    <row r="316" ht="13.95" customHeight="1" x14ac:dyDescent="0.3"/>
    <row r="317" ht="13.95" customHeight="1" x14ac:dyDescent="0.3"/>
    <row r="318" ht="13.95" customHeight="1" x14ac:dyDescent="0.3"/>
    <row r="319" ht="13.95" customHeight="1" x14ac:dyDescent="0.3"/>
    <row r="320" ht="13.95" customHeight="1" x14ac:dyDescent="0.3"/>
    <row r="321" ht="13.95" customHeight="1" x14ac:dyDescent="0.3"/>
    <row r="322" ht="13.95" customHeight="1" x14ac:dyDescent="0.3"/>
    <row r="323" ht="13.95" customHeight="1" x14ac:dyDescent="0.3"/>
    <row r="324" ht="13.95" customHeight="1" x14ac:dyDescent="0.3"/>
    <row r="325" ht="13.95" customHeight="1" x14ac:dyDescent="0.3"/>
    <row r="326" ht="13.95" customHeight="1" x14ac:dyDescent="0.3"/>
    <row r="327" ht="13.95" customHeight="1" x14ac:dyDescent="0.3"/>
    <row r="328" ht="13.95" customHeight="1" x14ac:dyDescent="0.3"/>
    <row r="329" ht="13.95" customHeight="1" x14ac:dyDescent="0.3"/>
    <row r="330" ht="13.95" customHeight="1" x14ac:dyDescent="0.3"/>
    <row r="331" ht="13.95" customHeight="1" x14ac:dyDescent="0.3"/>
    <row r="332" ht="13.95" customHeight="1" x14ac:dyDescent="0.3"/>
    <row r="333" ht="13.95" customHeight="1" x14ac:dyDescent="0.3"/>
    <row r="334" ht="13.95" customHeight="1" x14ac:dyDescent="0.3"/>
    <row r="335" ht="13.95" customHeight="1" x14ac:dyDescent="0.3"/>
    <row r="336" ht="13.95" customHeight="1" x14ac:dyDescent="0.3"/>
    <row r="337" ht="13.95" customHeight="1" x14ac:dyDescent="0.3"/>
    <row r="338" ht="13.95" customHeight="1" x14ac:dyDescent="0.3"/>
    <row r="339" ht="13.95" customHeight="1" x14ac:dyDescent="0.3"/>
    <row r="340" ht="13.95" customHeight="1" x14ac:dyDescent="0.3"/>
    <row r="341" ht="13.95" customHeight="1" x14ac:dyDescent="0.3"/>
    <row r="342" ht="13.95" customHeight="1" x14ac:dyDescent="0.3"/>
    <row r="343" ht="13.95" customHeight="1" x14ac:dyDescent="0.3"/>
    <row r="344" ht="13.95" customHeight="1" x14ac:dyDescent="0.3"/>
    <row r="345" ht="13.95" customHeight="1" x14ac:dyDescent="0.3"/>
    <row r="346" ht="13.95" customHeight="1" x14ac:dyDescent="0.3"/>
    <row r="347" ht="13.95" customHeight="1" x14ac:dyDescent="0.3"/>
    <row r="348" ht="13.95" customHeight="1" x14ac:dyDescent="0.3"/>
    <row r="349" ht="13.95" customHeight="1" x14ac:dyDescent="0.3"/>
    <row r="350" ht="13.95" customHeight="1" x14ac:dyDescent="0.3"/>
    <row r="351" ht="13.95" customHeight="1" x14ac:dyDescent="0.3"/>
    <row r="352" ht="13.95" customHeight="1" x14ac:dyDescent="0.3"/>
    <row r="353" ht="13.95" customHeight="1" x14ac:dyDescent="0.3"/>
    <row r="354" ht="13.95" customHeight="1" x14ac:dyDescent="0.3"/>
    <row r="355" ht="13.95" customHeight="1" x14ac:dyDescent="0.3"/>
    <row r="356" ht="13.95" customHeight="1" x14ac:dyDescent="0.3"/>
    <row r="357" ht="13.95" customHeight="1" x14ac:dyDescent="0.3"/>
    <row r="358" ht="13.95" customHeight="1" x14ac:dyDescent="0.3"/>
    <row r="359" ht="13.95" customHeight="1" x14ac:dyDescent="0.3"/>
    <row r="360" ht="13.95" customHeight="1" x14ac:dyDescent="0.3"/>
    <row r="361" ht="13.95" customHeight="1" x14ac:dyDescent="0.3"/>
    <row r="362" ht="13.95" customHeight="1" x14ac:dyDescent="0.3"/>
    <row r="363" ht="13.95" customHeight="1" x14ac:dyDescent="0.3"/>
    <row r="364" ht="13.95" customHeight="1" x14ac:dyDescent="0.3"/>
    <row r="365" ht="13.95" customHeight="1" x14ac:dyDescent="0.3"/>
    <row r="366" ht="13.95" customHeight="1" x14ac:dyDescent="0.3"/>
    <row r="367" ht="13.95" customHeight="1" x14ac:dyDescent="0.3"/>
    <row r="368" ht="13.95" customHeight="1" x14ac:dyDescent="0.3"/>
    <row r="369" ht="13.95" customHeight="1" x14ac:dyDescent="0.3"/>
    <row r="370" ht="13.95" customHeight="1" x14ac:dyDescent="0.3"/>
    <row r="371" ht="13.95" customHeight="1" x14ac:dyDescent="0.3"/>
    <row r="372" ht="13.95" customHeight="1" x14ac:dyDescent="0.3"/>
    <row r="373" ht="13.95" customHeight="1" x14ac:dyDescent="0.3"/>
    <row r="374" ht="13.95" customHeight="1" x14ac:dyDescent="0.3"/>
    <row r="375" ht="13.95" customHeight="1" x14ac:dyDescent="0.3"/>
    <row r="376" ht="13.95" customHeight="1" x14ac:dyDescent="0.3"/>
    <row r="377" ht="13.95" customHeight="1" x14ac:dyDescent="0.3"/>
    <row r="378" ht="13.95" customHeight="1" x14ac:dyDescent="0.3"/>
    <row r="379" ht="13.95" customHeight="1" x14ac:dyDescent="0.3"/>
    <row r="380" ht="13.95" customHeight="1" x14ac:dyDescent="0.3"/>
    <row r="381" ht="13.95" customHeight="1" x14ac:dyDescent="0.3"/>
    <row r="382" ht="13.95" customHeight="1" x14ac:dyDescent="0.3"/>
    <row r="383" ht="13.95" customHeight="1" x14ac:dyDescent="0.3"/>
    <row r="384" ht="13.95" customHeight="1" x14ac:dyDescent="0.3"/>
    <row r="385" ht="13.95" customHeight="1" x14ac:dyDescent="0.3"/>
    <row r="386" ht="13.95" customHeight="1" x14ac:dyDescent="0.3"/>
    <row r="387" ht="13.95" customHeight="1" x14ac:dyDescent="0.3"/>
    <row r="388" ht="13.95" customHeight="1" x14ac:dyDescent="0.3"/>
    <row r="389" ht="13.95" customHeight="1" x14ac:dyDescent="0.3"/>
    <row r="390" ht="13.95" customHeight="1" x14ac:dyDescent="0.3"/>
    <row r="391" ht="13.95" customHeight="1" x14ac:dyDescent="0.3"/>
    <row r="392" ht="13.95" customHeight="1" x14ac:dyDescent="0.3"/>
    <row r="393" ht="13.95" customHeight="1" x14ac:dyDescent="0.3"/>
    <row r="394" ht="13.95" customHeight="1" x14ac:dyDescent="0.3"/>
    <row r="395" ht="13.95" customHeight="1" x14ac:dyDescent="0.3"/>
    <row r="396" ht="13.95" customHeight="1" x14ac:dyDescent="0.3"/>
    <row r="397" ht="13.95" customHeight="1" x14ac:dyDescent="0.3"/>
    <row r="398" ht="13.95" customHeight="1" x14ac:dyDescent="0.3"/>
    <row r="399" ht="13.95" customHeight="1" x14ac:dyDescent="0.3"/>
    <row r="400" ht="13.95" customHeight="1" x14ac:dyDescent="0.3"/>
    <row r="401" ht="13.95" customHeight="1" x14ac:dyDescent="0.3"/>
  </sheetData>
  <mergeCells count="33">
    <mergeCell ref="I29:I30"/>
    <mergeCell ref="I32:I33"/>
    <mergeCell ref="A42:G42"/>
    <mergeCell ref="AW15:BA15"/>
    <mergeCell ref="BC15:BG15"/>
    <mergeCell ref="S15:W15"/>
    <mergeCell ref="Y15:AC15"/>
    <mergeCell ref="AE15:AI15"/>
    <mergeCell ref="AK15:AO15"/>
    <mergeCell ref="AQ15:AU15"/>
    <mergeCell ref="A1:L1"/>
    <mergeCell ref="G15:K15"/>
    <mergeCell ref="M15:Q15"/>
    <mergeCell ref="Y74:AC74"/>
    <mergeCell ref="AE74:AI74"/>
    <mergeCell ref="A15:E15"/>
    <mergeCell ref="M74:Q74"/>
    <mergeCell ref="S74:W74"/>
    <mergeCell ref="A74:E74"/>
    <mergeCell ref="G74:K74"/>
    <mergeCell ref="A60:L60"/>
    <mergeCell ref="K29:L30"/>
    <mergeCell ref="I44:J45"/>
    <mergeCell ref="A28:G28"/>
    <mergeCell ref="I47:J48"/>
    <mergeCell ref="K32:L33"/>
    <mergeCell ref="A119:L119"/>
    <mergeCell ref="AW74:BA74"/>
    <mergeCell ref="BC74:BG74"/>
    <mergeCell ref="AQ74:AU74"/>
    <mergeCell ref="AK74:AO74"/>
    <mergeCell ref="A87:G87"/>
    <mergeCell ref="A101:G101"/>
  </mergeCells>
  <phoneticPr fontId="7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21DF9-646D-42EE-8000-F0607D73B191}">
  <dimension ref="A1:K200"/>
  <sheetViews>
    <sheetView workbookViewId="0">
      <selection activeCell="E17" sqref="E17"/>
    </sheetView>
  </sheetViews>
  <sheetFormatPr defaultRowHeight="14.4" x14ac:dyDescent="0.3"/>
  <cols>
    <col min="1" max="9" width="10.77734375" customWidth="1"/>
    <col min="10" max="12" width="11.77734375" customWidth="1"/>
    <col min="13" max="14" width="10.77734375" customWidth="1"/>
  </cols>
  <sheetData>
    <row r="1" spans="1:11" ht="15" customHeight="1" x14ac:dyDescent="0.3">
      <c r="A1" s="73" t="s">
        <v>112</v>
      </c>
      <c r="B1" s="74"/>
      <c r="C1" s="74"/>
      <c r="D1" s="74"/>
      <c r="E1" s="74"/>
      <c r="F1" s="74"/>
      <c r="G1" s="75"/>
    </row>
    <row r="2" spans="1:11" ht="15" customHeight="1" x14ac:dyDescent="0.3">
      <c r="A2" s="3" t="s">
        <v>36</v>
      </c>
      <c r="B2" s="18" t="s">
        <v>1</v>
      </c>
      <c r="C2" s="4" t="s">
        <v>33</v>
      </c>
      <c r="D2" s="4" t="s">
        <v>63</v>
      </c>
      <c r="E2" s="4" t="s">
        <v>34</v>
      </c>
      <c r="F2" s="4" t="s">
        <v>64</v>
      </c>
      <c r="G2" s="4" t="s">
        <v>35</v>
      </c>
    </row>
    <row r="3" spans="1:11" ht="15" customHeight="1" x14ac:dyDescent="0.3">
      <c r="A3" s="4" t="s">
        <v>65</v>
      </c>
      <c r="B3" s="5">
        <v>1</v>
      </c>
      <c r="C3" s="17">
        <v>1</v>
      </c>
      <c r="D3" s="17">
        <v>2</v>
      </c>
      <c r="E3" s="17">
        <v>3</v>
      </c>
      <c r="F3" s="17">
        <v>4</v>
      </c>
      <c r="G3" s="17">
        <v>5</v>
      </c>
    </row>
    <row r="4" spans="1:11" ht="15" customHeight="1" x14ac:dyDescent="0.3">
      <c r="A4" s="4" t="s">
        <v>66</v>
      </c>
      <c r="B4" s="5">
        <v>1</v>
      </c>
      <c r="C4" s="17">
        <v>1</v>
      </c>
      <c r="D4" s="17">
        <v>2</v>
      </c>
      <c r="E4" s="17">
        <v>3</v>
      </c>
      <c r="F4" s="17">
        <v>4</v>
      </c>
      <c r="G4" s="17">
        <v>5</v>
      </c>
    </row>
    <row r="5" spans="1:11" ht="15" customHeight="1" x14ac:dyDescent="0.3">
      <c r="A5" s="4" t="s">
        <v>67</v>
      </c>
      <c r="B5" s="5">
        <v>2</v>
      </c>
      <c r="C5" s="17">
        <v>0</v>
      </c>
      <c r="D5" s="17">
        <v>1</v>
      </c>
      <c r="E5" s="17">
        <v>2</v>
      </c>
      <c r="F5" s="17">
        <v>2</v>
      </c>
      <c r="G5" s="17">
        <v>3</v>
      </c>
    </row>
    <row r="6" spans="1:11" ht="15" customHeight="1" x14ac:dyDescent="0.3">
      <c r="A6" s="4" t="s">
        <v>68</v>
      </c>
      <c r="B6" s="5">
        <v>1</v>
      </c>
      <c r="C6" s="17">
        <v>1</v>
      </c>
      <c r="D6" s="17">
        <v>2</v>
      </c>
      <c r="E6" s="17">
        <v>3</v>
      </c>
      <c r="F6" s="17">
        <v>4</v>
      </c>
      <c r="G6" s="17">
        <v>4</v>
      </c>
    </row>
    <row r="7" spans="1:11" ht="15" customHeight="1" x14ac:dyDescent="0.3">
      <c r="A7" s="4" t="s">
        <v>69</v>
      </c>
      <c r="B7" s="5">
        <v>2</v>
      </c>
      <c r="C7" s="17">
        <v>1</v>
      </c>
      <c r="D7" s="17">
        <v>2</v>
      </c>
      <c r="E7" s="17">
        <v>3</v>
      </c>
      <c r="F7" s="17">
        <v>3</v>
      </c>
      <c r="G7" s="17">
        <v>3</v>
      </c>
    </row>
    <row r="8" spans="1:11" ht="15" customHeight="1" x14ac:dyDescent="0.3">
      <c r="A8" s="4" t="s">
        <v>70</v>
      </c>
      <c r="B8" s="5">
        <v>1</v>
      </c>
      <c r="C8" s="17">
        <v>0</v>
      </c>
      <c r="D8" s="17">
        <v>1</v>
      </c>
      <c r="E8" s="17">
        <v>2</v>
      </c>
      <c r="F8" s="17">
        <v>3</v>
      </c>
      <c r="G8" s="17">
        <v>4</v>
      </c>
    </row>
    <row r="9" spans="1:11" ht="15" customHeight="1" x14ac:dyDescent="0.3">
      <c r="A9" s="4" t="s">
        <v>71</v>
      </c>
      <c r="B9" s="5">
        <v>1</v>
      </c>
      <c r="C9" s="17">
        <v>1</v>
      </c>
      <c r="D9" s="17">
        <v>2</v>
      </c>
      <c r="E9" s="17">
        <v>3</v>
      </c>
      <c r="F9" s="17">
        <v>4</v>
      </c>
      <c r="G9" s="17">
        <v>4</v>
      </c>
    </row>
    <row r="10" spans="1:11" ht="15" customHeight="1" x14ac:dyDescent="0.3">
      <c r="A10" s="4" t="s">
        <v>72</v>
      </c>
      <c r="B10" s="5">
        <v>1</v>
      </c>
      <c r="C10" s="17">
        <v>1</v>
      </c>
      <c r="D10" s="17">
        <v>2</v>
      </c>
      <c r="E10" s="17">
        <v>3</v>
      </c>
      <c r="F10" s="17">
        <v>4</v>
      </c>
      <c r="G10" s="17">
        <v>4</v>
      </c>
    </row>
    <row r="11" spans="1:11" ht="15" customHeight="1" x14ac:dyDescent="0.3">
      <c r="A11" s="4" t="s">
        <v>73</v>
      </c>
      <c r="B11" s="5">
        <v>2</v>
      </c>
      <c r="C11" s="17">
        <v>1</v>
      </c>
      <c r="D11" s="17">
        <v>2</v>
      </c>
      <c r="E11" s="17">
        <v>3</v>
      </c>
      <c r="F11" s="17">
        <v>3</v>
      </c>
      <c r="G11" s="17">
        <v>3</v>
      </c>
    </row>
    <row r="12" spans="1:11" ht="15" customHeight="1" x14ac:dyDescent="0.3">
      <c r="A12" s="4" t="s">
        <v>74</v>
      </c>
      <c r="B12" s="5">
        <v>2</v>
      </c>
      <c r="C12" s="17">
        <v>1</v>
      </c>
      <c r="D12" s="17">
        <v>2</v>
      </c>
      <c r="E12" s="17">
        <v>3</v>
      </c>
      <c r="F12" s="17">
        <v>3</v>
      </c>
      <c r="G12" s="17">
        <v>3</v>
      </c>
    </row>
    <row r="13" spans="1:11" ht="15" customHeight="1" x14ac:dyDescent="0.3"/>
    <row r="14" spans="1:11" ht="15" customHeight="1" x14ac:dyDescent="0.3"/>
    <row r="15" spans="1:11" ht="15" customHeight="1" thickBot="1" x14ac:dyDescent="0.35">
      <c r="A15" s="73" t="s">
        <v>87</v>
      </c>
      <c r="B15" s="74"/>
      <c r="C15" s="74"/>
      <c r="D15" s="74"/>
      <c r="E15" s="74"/>
      <c r="F15" s="74"/>
      <c r="G15" s="75"/>
    </row>
    <row r="16" spans="1:11" ht="15" customHeight="1" x14ac:dyDescent="0.3">
      <c r="A16" s="10" t="s">
        <v>36</v>
      </c>
      <c r="B16" s="19" t="s">
        <v>1</v>
      </c>
      <c r="C16" s="20" t="s">
        <v>38</v>
      </c>
      <c r="D16" s="20" t="s">
        <v>76</v>
      </c>
      <c r="E16" s="20" t="s">
        <v>39</v>
      </c>
      <c r="F16" s="20" t="s">
        <v>75</v>
      </c>
      <c r="G16" s="20" t="s">
        <v>40</v>
      </c>
      <c r="I16" s="90" t="s">
        <v>37</v>
      </c>
      <c r="J16" s="91"/>
      <c r="K16" s="92"/>
    </row>
    <row r="17" spans="1:11" ht="15" customHeight="1" x14ac:dyDescent="0.3">
      <c r="A17" s="4" t="s">
        <v>77</v>
      </c>
      <c r="B17" s="5">
        <v>1</v>
      </c>
      <c r="C17" s="26">
        <f>IF(C3/1&gt;0.5,1,0)</f>
        <v>1</v>
      </c>
      <c r="D17" s="26">
        <f>IF(D3/2&gt;0.5,1,0)</f>
        <v>1</v>
      </c>
      <c r="E17" s="26">
        <f>IF(E3/3&gt;0.5,1,0)</f>
        <v>1</v>
      </c>
      <c r="F17" s="26">
        <f>IF(F3/4&gt;0.5,1,0)</f>
        <v>1</v>
      </c>
      <c r="G17" s="26">
        <f>IF(G3/5&gt;0.5,1,0)</f>
        <v>1</v>
      </c>
      <c r="I17" s="93"/>
      <c r="J17" s="94"/>
      <c r="K17" s="95"/>
    </row>
    <row r="18" spans="1:11" ht="15" customHeight="1" x14ac:dyDescent="0.3">
      <c r="A18" s="4" t="s">
        <v>78</v>
      </c>
      <c r="B18" s="5">
        <v>1</v>
      </c>
      <c r="C18" s="26">
        <f t="shared" ref="C18:C26" si="0">IF(C4/1&gt;0.5,1,0)</f>
        <v>1</v>
      </c>
      <c r="D18" s="26">
        <f t="shared" ref="D18:D26" si="1">IF(D4/2&gt;0.5,1,0)</f>
        <v>1</v>
      </c>
      <c r="E18" s="26">
        <f t="shared" ref="E18:E26" si="2">IF(E4/3&gt;0.5,1,0)</f>
        <v>1</v>
      </c>
      <c r="F18" s="26">
        <f t="shared" ref="F18:F26" si="3">IF(F4/4&gt;0.5,1,0)</f>
        <v>1</v>
      </c>
      <c r="G18" s="26">
        <f t="shared" ref="G18:G26" si="4">IF(G4/5&gt;0.5,1,0)</f>
        <v>1</v>
      </c>
      <c r="I18" s="93"/>
      <c r="J18" s="94"/>
      <c r="K18" s="95"/>
    </row>
    <row r="19" spans="1:11" ht="15" customHeight="1" x14ac:dyDescent="0.3">
      <c r="A19" s="4" t="s">
        <v>79</v>
      </c>
      <c r="B19" s="5">
        <v>2</v>
      </c>
      <c r="C19" s="26">
        <f>IF(C5/1&gt;0.5,1,0)</f>
        <v>0</v>
      </c>
      <c r="D19" s="26">
        <f t="shared" si="1"/>
        <v>0</v>
      </c>
      <c r="E19" s="26">
        <f t="shared" si="2"/>
        <v>1</v>
      </c>
      <c r="F19" s="26">
        <f t="shared" si="3"/>
        <v>0</v>
      </c>
      <c r="G19" s="26">
        <f t="shared" si="4"/>
        <v>1</v>
      </c>
      <c r="I19" s="93"/>
      <c r="J19" s="94"/>
      <c r="K19" s="95"/>
    </row>
    <row r="20" spans="1:11" ht="15" customHeight="1" x14ac:dyDescent="0.3">
      <c r="A20" s="4" t="s">
        <v>80</v>
      </c>
      <c r="B20" s="5">
        <v>1</v>
      </c>
      <c r="C20" s="26">
        <f t="shared" si="0"/>
        <v>1</v>
      </c>
      <c r="D20" s="26">
        <f t="shared" si="1"/>
        <v>1</v>
      </c>
      <c r="E20" s="26">
        <f t="shared" si="2"/>
        <v>1</v>
      </c>
      <c r="F20" s="26">
        <f t="shared" si="3"/>
        <v>1</v>
      </c>
      <c r="G20" s="26">
        <f t="shared" si="4"/>
        <v>1</v>
      </c>
      <c r="I20" s="93"/>
      <c r="J20" s="94"/>
      <c r="K20" s="95"/>
    </row>
    <row r="21" spans="1:11" ht="15" customHeight="1" thickBot="1" x14ac:dyDescent="0.35">
      <c r="A21" s="4" t="s">
        <v>81</v>
      </c>
      <c r="B21" s="5">
        <v>2</v>
      </c>
      <c r="C21" s="26">
        <f t="shared" si="0"/>
        <v>1</v>
      </c>
      <c r="D21" s="26">
        <f t="shared" si="1"/>
        <v>1</v>
      </c>
      <c r="E21" s="26">
        <f t="shared" si="2"/>
        <v>1</v>
      </c>
      <c r="F21" s="26">
        <f t="shared" si="3"/>
        <v>1</v>
      </c>
      <c r="G21" s="26">
        <f t="shared" si="4"/>
        <v>1</v>
      </c>
      <c r="I21" s="96"/>
      <c r="J21" s="97"/>
      <c r="K21" s="98"/>
    </row>
    <row r="22" spans="1:11" ht="15" customHeight="1" x14ac:dyDescent="0.3">
      <c r="A22" s="4" t="s">
        <v>82</v>
      </c>
      <c r="B22" s="5">
        <v>1</v>
      </c>
      <c r="C22" s="26">
        <f t="shared" si="0"/>
        <v>0</v>
      </c>
      <c r="D22" s="26">
        <f t="shared" si="1"/>
        <v>0</v>
      </c>
      <c r="E22" s="26">
        <f t="shared" si="2"/>
        <v>1</v>
      </c>
      <c r="F22" s="26">
        <f t="shared" si="3"/>
        <v>1</v>
      </c>
      <c r="G22" s="26">
        <f t="shared" si="4"/>
        <v>1</v>
      </c>
    </row>
    <row r="23" spans="1:11" ht="15" customHeight="1" x14ac:dyDescent="0.3">
      <c r="A23" s="4" t="s">
        <v>83</v>
      </c>
      <c r="B23" s="5">
        <v>1</v>
      </c>
      <c r="C23" s="26">
        <f t="shared" si="0"/>
        <v>1</v>
      </c>
      <c r="D23" s="26">
        <f t="shared" si="1"/>
        <v>1</v>
      </c>
      <c r="E23" s="26">
        <f>IF(E9/3&gt;0.5,1,0)</f>
        <v>1</v>
      </c>
      <c r="F23" s="26">
        <f t="shared" si="3"/>
        <v>1</v>
      </c>
      <c r="G23" s="26">
        <f t="shared" si="4"/>
        <v>1</v>
      </c>
    </row>
    <row r="24" spans="1:11" ht="15" customHeight="1" x14ac:dyDescent="0.3">
      <c r="A24" s="4" t="s">
        <v>84</v>
      </c>
      <c r="B24" s="5">
        <v>1</v>
      </c>
      <c r="C24" s="26">
        <f t="shared" si="0"/>
        <v>1</v>
      </c>
      <c r="D24" s="26">
        <f t="shared" si="1"/>
        <v>1</v>
      </c>
      <c r="E24" s="26">
        <f t="shared" si="2"/>
        <v>1</v>
      </c>
      <c r="F24" s="26">
        <f t="shared" si="3"/>
        <v>1</v>
      </c>
      <c r="G24" s="26">
        <f t="shared" si="4"/>
        <v>1</v>
      </c>
    </row>
    <row r="25" spans="1:11" ht="15" customHeight="1" x14ac:dyDescent="0.3">
      <c r="A25" s="4" t="s">
        <v>85</v>
      </c>
      <c r="B25" s="5">
        <v>2</v>
      </c>
      <c r="C25" s="26">
        <f t="shared" si="0"/>
        <v>1</v>
      </c>
      <c r="D25" s="26">
        <f t="shared" si="1"/>
        <v>1</v>
      </c>
      <c r="E25" s="26">
        <f t="shared" si="2"/>
        <v>1</v>
      </c>
      <c r="F25" s="26">
        <f t="shared" si="3"/>
        <v>1</v>
      </c>
      <c r="G25" s="26">
        <f t="shared" si="4"/>
        <v>1</v>
      </c>
    </row>
    <row r="26" spans="1:11" ht="15" customHeight="1" x14ac:dyDescent="0.3">
      <c r="A26" s="4" t="s">
        <v>86</v>
      </c>
      <c r="B26" s="5">
        <v>2</v>
      </c>
      <c r="C26" s="26">
        <f t="shared" si="0"/>
        <v>1</v>
      </c>
      <c r="D26" s="26">
        <f t="shared" si="1"/>
        <v>1</v>
      </c>
      <c r="E26" s="26">
        <f t="shared" si="2"/>
        <v>1</v>
      </c>
      <c r="F26" s="26">
        <f t="shared" si="3"/>
        <v>1</v>
      </c>
      <c r="G26" s="26">
        <f t="shared" si="4"/>
        <v>1</v>
      </c>
    </row>
    <row r="27" spans="1:11" ht="15" customHeight="1" x14ac:dyDescent="0.3"/>
    <row r="28" spans="1:11" ht="15" customHeight="1" x14ac:dyDescent="0.3"/>
    <row r="29" spans="1:11" ht="15" customHeight="1" x14ac:dyDescent="0.3"/>
    <row r="30" spans="1:11" ht="15" customHeight="1" x14ac:dyDescent="0.3">
      <c r="A30" s="73" t="s">
        <v>113</v>
      </c>
      <c r="B30" s="74"/>
      <c r="C30" s="74"/>
      <c r="D30" s="74"/>
      <c r="E30" s="74"/>
      <c r="F30" s="74"/>
      <c r="G30" s="75"/>
    </row>
    <row r="31" spans="1:11" ht="15" customHeight="1" x14ac:dyDescent="0.3">
      <c r="A31" s="10" t="s">
        <v>36</v>
      </c>
      <c r="B31" s="19" t="s">
        <v>1</v>
      </c>
      <c r="E31" s="28" t="s">
        <v>34</v>
      </c>
      <c r="G31" s="28" t="s">
        <v>35</v>
      </c>
    </row>
    <row r="32" spans="1:11" ht="15" customHeight="1" x14ac:dyDescent="0.3">
      <c r="A32" s="4" t="s">
        <v>65</v>
      </c>
      <c r="B32" s="5">
        <v>1</v>
      </c>
      <c r="E32" s="17">
        <f>E3</f>
        <v>3</v>
      </c>
      <c r="G32" s="17">
        <f>G3</f>
        <v>5</v>
      </c>
    </row>
    <row r="33" spans="1:7" ht="15" customHeight="1" x14ac:dyDescent="0.3">
      <c r="A33" s="4" t="s">
        <v>66</v>
      </c>
      <c r="B33" s="5">
        <v>1</v>
      </c>
      <c r="E33" s="17">
        <f t="shared" ref="E33:E41" si="5">E4</f>
        <v>3</v>
      </c>
      <c r="G33" s="17">
        <f t="shared" ref="G33:G41" si="6">G4</f>
        <v>5</v>
      </c>
    </row>
    <row r="34" spans="1:7" ht="15" customHeight="1" x14ac:dyDescent="0.3">
      <c r="A34" s="4" t="s">
        <v>67</v>
      </c>
      <c r="B34" s="5">
        <v>2</v>
      </c>
      <c r="E34" s="17">
        <f t="shared" si="5"/>
        <v>2</v>
      </c>
      <c r="G34" s="17">
        <f t="shared" si="6"/>
        <v>3</v>
      </c>
    </row>
    <row r="35" spans="1:7" ht="15" customHeight="1" x14ac:dyDescent="0.3">
      <c r="A35" s="4" t="s">
        <v>68</v>
      </c>
      <c r="B35" s="5">
        <v>1</v>
      </c>
      <c r="E35" s="17">
        <f t="shared" si="5"/>
        <v>3</v>
      </c>
      <c r="G35" s="17">
        <f t="shared" si="6"/>
        <v>4</v>
      </c>
    </row>
    <row r="36" spans="1:7" ht="15" customHeight="1" x14ac:dyDescent="0.3">
      <c r="A36" s="4" t="s">
        <v>69</v>
      </c>
      <c r="B36" s="5">
        <v>2</v>
      </c>
      <c r="E36" s="17">
        <f t="shared" si="5"/>
        <v>3</v>
      </c>
      <c r="G36" s="17">
        <f t="shared" si="6"/>
        <v>3</v>
      </c>
    </row>
    <row r="37" spans="1:7" ht="15" customHeight="1" x14ac:dyDescent="0.3">
      <c r="A37" s="4" t="s">
        <v>70</v>
      </c>
      <c r="B37" s="5">
        <v>1</v>
      </c>
      <c r="E37" s="17">
        <f>E8</f>
        <v>2</v>
      </c>
      <c r="G37" s="17">
        <f t="shared" si="6"/>
        <v>4</v>
      </c>
    </row>
    <row r="38" spans="1:7" ht="15" customHeight="1" x14ac:dyDescent="0.3">
      <c r="A38" s="4" t="s">
        <v>71</v>
      </c>
      <c r="B38" s="5">
        <v>1</v>
      </c>
      <c r="E38" s="17">
        <f t="shared" si="5"/>
        <v>3</v>
      </c>
      <c r="G38" s="17">
        <f t="shared" si="6"/>
        <v>4</v>
      </c>
    </row>
    <row r="39" spans="1:7" ht="15" customHeight="1" x14ac:dyDescent="0.3">
      <c r="A39" s="4" t="s">
        <v>72</v>
      </c>
      <c r="B39" s="5">
        <v>1</v>
      </c>
      <c r="E39" s="17">
        <f t="shared" si="5"/>
        <v>3</v>
      </c>
      <c r="G39" s="17">
        <f t="shared" si="6"/>
        <v>4</v>
      </c>
    </row>
    <row r="40" spans="1:7" ht="15" customHeight="1" x14ac:dyDescent="0.3">
      <c r="A40" s="4" t="s">
        <v>73</v>
      </c>
      <c r="B40" s="5">
        <v>2</v>
      </c>
      <c r="E40" s="17">
        <f t="shared" si="5"/>
        <v>3</v>
      </c>
      <c r="G40" s="17">
        <f t="shared" si="6"/>
        <v>3</v>
      </c>
    </row>
    <row r="41" spans="1:7" ht="15" customHeight="1" x14ac:dyDescent="0.3">
      <c r="A41" s="4" t="s">
        <v>74</v>
      </c>
      <c r="B41" s="5">
        <v>2</v>
      </c>
      <c r="E41" s="17">
        <f t="shared" si="5"/>
        <v>3</v>
      </c>
      <c r="G41" s="17">
        <f t="shared" si="6"/>
        <v>3</v>
      </c>
    </row>
    <row r="42" spans="1:7" ht="15" customHeight="1" x14ac:dyDescent="0.3"/>
    <row r="43" spans="1:7" ht="15" customHeight="1" x14ac:dyDescent="0.3"/>
    <row r="44" spans="1:7" ht="15" customHeight="1" x14ac:dyDescent="0.3">
      <c r="A44" s="73" t="s">
        <v>88</v>
      </c>
      <c r="B44" s="74"/>
      <c r="C44" s="74"/>
      <c r="D44" s="74"/>
      <c r="E44" s="74"/>
      <c r="F44" s="74"/>
      <c r="G44" s="75"/>
    </row>
    <row r="45" spans="1:7" ht="15" customHeight="1" x14ac:dyDescent="0.3">
      <c r="A45" s="10" t="s">
        <v>36</v>
      </c>
      <c r="B45" s="19" t="s">
        <v>1</v>
      </c>
      <c r="E45" s="20" t="s">
        <v>39</v>
      </c>
      <c r="G45" s="20" t="s">
        <v>40</v>
      </c>
    </row>
    <row r="46" spans="1:7" ht="15" customHeight="1" x14ac:dyDescent="0.3">
      <c r="A46" s="4" t="s">
        <v>77</v>
      </c>
      <c r="B46" s="5">
        <v>1</v>
      </c>
      <c r="E46" s="26">
        <f>E17</f>
        <v>1</v>
      </c>
      <c r="G46" s="26">
        <f>G17</f>
        <v>1</v>
      </c>
    </row>
    <row r="47" spans="1:7" ht="15" customHeight="1" x14ac:dyDescent="0.3">
      <c r="A47" s="4" t="s">
        <v>78</v>
      </c>
      <c r="B47" s="5">
        <v>1</v>
      </c>
      <c r="E47" s="26">
        <f t="shared" ref="E47:E55" si="7">E18</f>
        <v>1</v>
      </c>
      <c r="G47" s="26">
        <f t="shared" ref="G47:G55" si="8">G18</f>
        <v>1</v>
      </c>
    </row>
    <row r="48" spans="1:7" ht="15" customHeight="1" x14ac:dyDescent="0.3">
      <c r="A48" s="4" t="s">
        <v>79</v>
      </c>
      <c r="B48" s="5">
        <v>2</v>
      </c>
      <c r="E48" s="26">
        <f t="shared" si="7"/>
        <v>1</v>
      </c>
      <c r="G48" s="26">
        <f t="shared" si="8"/>
        <v>1</v>
      </c>
    </row>
    <row r="49" spans="1:11" ht="15" customHeight="1" x14ac:dyDescent="0.3">
      <c r="A49" s="4" t="s">
        <v>80</v>
      </c>
      <c r="B49" s="5">
        <v>1</v>
      </c>
      <c r="E49" s="26">
        <f t="shared" si="7"/>
        <v>1</v>
      </c>
      <c r="G49" s="26">
        <f t="shared" si="8"/>
        <v>1</v>
      </c>
    </row>
    <row r="50" spans="1:11" ht="15" customHeight="1" x14ac:dyDescent="0.3">
      <c r="A50" s="4" t="s">
        <v>81</v>
      </c>
      <c r="B50" s="5">
        <v>2</v>
      </c>
      <c r="E50" s="26">
        <f t="shared" si="7"/>
        <v>1</v>
      </c>
      <c r="G50" s="26">
        <f t="shared" si="8"/>
        <v>1</v>
      </c>
    </row>
    <row r="51" spans="1:11" ht="15" customHeight="1" x14ac:dyDescent="0.3">
      <c r="A51" s="4" t="s">
        <v>82</v>
      </c>
      <c r="B51" s="5">
        <v>1</v>
      </c>
      <c r="E51" s="26">
        <f>E22</f>
        <v>1</v>
      </c>
      <c r="G51" s="26">
        <f t="shared" si="8"/>
        <v>1</v>
      </c>
    </row>
    <row r="52" spans="1:11" ht="15" customHeight="1" x14ac:dyDescent="0.3">
      <c r="A52" s="4" t="s">
        <v>83</v>
      </c>
      <c r="B52" s="5">
        <v>1</v>
      </c>
      <c r="E52" s="26">
        <f t="shared" si="7"/>
        <v>1</v>
      </c>
      <c r="G52" s="26">
        <f>G23</f>
        <v>1</v>
      </c>
    </row>
    <row r="53" spans="1:11" ht="15" customHeight="1" x14ac:dyDescent="0.3">
      <c r="A53" s="4" t="s">
        <v>84</v>
      </c>
      <c r="B53" s="5">
        <v>1</v>
      </c>
      <c r="E53" s="26">
        <f t="shared" si="7"/>
        <v>1</v>
      </c>
      <c r="G53" s="26">
        <f t="shared" si="8"/>
        <v>1</v>
      </c>
    </row>
    <row r="54" spans="1:11" ht="15" customHeight="1" x14ac:dyDescent="0.3">
      <c r="A54" s="4" t="s">
        <v>85</v>
      </c>
      <c r="B54" s="5">
        <v>2</v>
      </c>
      <c r="E54" s="26">
        <f t="shared" si="7"/>
        <v>1</v>
      </c>
      <c r="G54" s="26">
        <f t="shared" si="8"/>
        <v>1</v>
      </c>
    </row>
    <row r="55" spans="1:11" ht="15" customHeight="1" x14ac:dyDescent="0.3">
      <c r="A55" s="4" t="s">
        <v>86</v>
      </c>
      <c r="B55" s="5">
        <v>2</v>
      </c>
      <c r="E55" s="26">
        <f t="shared" si="7"/>
        <v>1</v>
      </c>
      <c r="G55" s="26">
        <f t="shared" si="8"/>
        <v>1</v>
      </c>
    </row>
    <row r="56" spans="1:11" ht="15" customHeight="1" x14ac:dyDescent="0.3"/>
    <row r="57" spans="1:11" ht="15" customHeight="1" x14ac:dyDescent="0.3"/>
    <row r="58" spans="1:11" ht="15" customHeight="1" thickBot="1" x14ac:dyDescent="0.35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</row>
    <row r="59" spans="1:11" ht="15" customHeight="1" x14ac:dyDescent="0.3"/>
    <row r="60" spans="1:11" ht="15" customHeight="1" x14ac:dyDescent="0.3"/>
    <row r="61" spans="1:11" ht="15" customHeight="1" x14ac:dyDescent="0.3"/>
    <row r="62" spans="1:11" ht="15" customHeight="1" x14ac:dyDescent="0.3">
      <c r="A62" s="73" t="s">
        <v>114</v>
      </c>
      <c r="B62" s="74"/>
      <c r="C62" s="74"/>
      <c r="D62" s="74"/>
      <c r="E62" s="74"/>
      <c r="F62" s="74"/>
      <c r="G62" s="75"/>
    </row>
    <row r="63" spans="1:11" ht="15" customHeight="1" x14ac:dyDescent="0.3">
      <c r="A63" s="3" t="s">
        <v>36</v>
      </c>
      <c r="B63" s="18" t="s">
        <v>1</v>
      </c>
      <c r="C63" s="4" t="s">
        <v>33</v>
      </c>
      <c r="D63" s="4" t="s">
        <v>63</v>
      </c>
      <c r="E63" s="4" t="s">
        <v>34</v>
      </c>
      <c r="F63" s="4" t="s">
        <v>64</v>
      </c>
      <c r="G63" s="4" t="s">
        <v>35</v>
      </c>
    </row>
    <row r="64" spans="1:11" ht="15" customHeight="1" x14ac:dyDescent="0.3">
      <c r="A64" s="4" t="s">
        <v>65</v>
      </c>
      <c r="B64" s="5">
        <v>1</v>
      </c>
      <c r="C64" s="17">
        <v>1</v>
      </c>
      <c r="D64" s="17">
        <v>2</v>
      </c>
      <c r="E64" s="17">
        <v>3</v>
      </c>
      <c r="F64" s="17">
        <v>4</v>
      </c>
      <c r="G64" s="17">
        <v>5</v>
      </c>
    </row>
    <row r="65" spans="1:11" ht="15" customHeight="1" x14ac:dyDescent="0.3">
      <c r="A65" s="4" t="s">
        <v>66</v>
      </c>
      <c r="B65" s="5">
        <v>1</v>
      </c>
      <c r="C65" s="17">
        <v>1</v>
      </c>
      <c r="D65" s="17">
        <v>2</v>
      </c>
      <c r="E65" s="17">
        <v>3</v>
      </c>
      <c r="F65" s="17">
        <v>4</v>
      </c>
      <c r="G65" s="17">
        <v>5</v>
      </c>
    </row>
    <row r="66" spans="1:11" ht="15" customHeight="1" x14ac:dyDescent="0.3">
      <c r="A66" s="4" t="s">
        <v>67</v>
      </c>
      <c r="B66" s="5">
        <v>2</v>
      </c>
      <c r="C66" s="17">
        <v>0</v>
      </c>
      <c r="D66" s="17">
        <v>1</v>
      </c>
      <c r="E66" s="17">
        <v>1</v>
      </c>
      <c r="F66" s="17">
        <v>2</v>
      </c>
      <c r="G66" s="17">
        <v>3</v>
      </c>
    </row>
    <row r="67" spans="1:11" ht="15" customHeight="1" x14ac:dyDescent="0.3">
      <c r="A67" s="4" t="s">
        <v>68</v>
      </c>
      <c r="B67" s="5">
        <v>1</v>
      </c>
      <c r="C67" s="17">
        <v>1</v>
      </c>
      <c r="D67" s="17">
        <v>2</v>
      </c>
      <c r="E67" s="17">
        <v>3</v>
      </c>
      <c r="F67" s="17">
        <v>4</v>
      </c>
      <c r="G67" s="17">
        <v>4</v>
      </c>
    </row>
    <row r="68" spans="1:11" ht="15" customHeight="1" x14ac:dyDescent="0.3">
      <c r="A68" s="4" t="s">
        <v>69</v>
      </c>
      <c r="B68" s="5">
        <v>2</v>
      </c>
      <c r="C68" s="17">
        <v>1</v>
      </c>
      <c r="D68" s="17">
        <v>2</v>
      </c>
      <c r="E68" s="17">
        <v>3</v>
      </c>
      <c r="F68" s="17">
        <v>3</v>
      </c>
      <c r="G68" s="17">
        <v>3</v>
      </c>
    </row>
    <row r="69" spans="1:11" ht="15" customHeight="1" x14ac:dyDescent="0.3">
      <c r="A69" s="4" t="s">
        <v>70</v>
      </c>
      <c r="B69" s="5">
        <v>1</v>
      </c>
      <c r="C69" s="17">
        <v>0</v>
      </c>
      <c r="D69" s="17">
        <v>1</v>
      </c>
      <c r="E69" s="17">
        <v>2</v>
      </c>
      <c r="F69" s="17">
        <v>3</v>
      </c>
      <c r="G69" s="17">
        <v>4</v>
      </c>
    </row>
    <row r="70" spans="1:11" ht="15" customHeight="1" x14ac:dyDescent="0.3">
      <c r="A70" s="4" t="s">
        <v>71</v>
      </c>
      <c r="B70" s="5">
        <v>1</v>
      </c>
      <c r="C70" s="17">
        <v>1</v>
      </c>
      <c r="D70" s="17">
        <v>2</v>
      </c>
      <c r="E70" s="17">
        <v>3</v>
      </c>
      <c r="F70" s="17">
        <v>4</v>
      </c>
      <c r="G70" s="17">
        <v>4</v>
      </c>
    </row>
    <row r="71" spans="1:11" ht="15" customHeight="1" x14ac:dyDescent="0.3">
      <c r="A71" s="4" t="s">
        <v>72</v>
      </c>
      <c r="B71" s="5">
        <v>1</v>
      </c>
      <c r="C71" s="17">
        <v>1</v>
      </c>
      <c r="D71" s="17">
        <v>2</v>
      </c>
      <c r="E71" s="17">
        <v>3</v>
      </c>
      <c r="F71" s="17">
        <v>4</v>
      </c>
      <c r="G71" s="17">
        <v>4</v>
      </c>
    </row>
    <row r="72" spans="1:11" ht="15" customHeight="1" x14ac:dyDescent="0.3">
      <c r="A72" s="4" t="s">
        <v>73</v>
      </c>
      <c r="B72" s="5">
        <v>2</v>
      </c>
      <c r="C72" s="17">
        <v>1</v>
      </c>
      <c r="D72" s="17">
        <v>2</v>
      </c>
      <c r="E72" s="17">
        <v>3</v>
      </c>
      <c r="F72" s="17">
        <v>3</v>
      </c>
      <c r="G72" s="17">
        <v>3</v>
      </c>
    </row>
    <row r="73" spans="1:11" ht="15" customHeight="1" x14ac:dyDescent="0.3">
      <c r="A73" s="4" t="s">
        <v>74</v>
      </c>
      <c r="B73" s="5">
        <v>2</v>
      </c>
      <c r="C73" s="17">
        <v>1</v>
      </c>
      <c r="D73" s="17">
        <v>2</v>
      </c>
      <c r="E73" s="17">
        <v>3</v>
      </c>
      <c r="F73" s="17">
        <v>3</v>
      </c>
      <c r="G73" s="17">
        <v>3</v>
      </c>
    </row>
    <row r="74" spans="1:11" ht="15" customHeight="1" x14ac:dyDescent="0.3"/>
    <row r="75" spans="1:11" ht="15" customHeight="1" x14ac:dyDescent="0.3"/>
    <row r="76" spans="1:11" ht="15" customHeight="1" thickBot="1" x14ac:dyDescent="0.35">
      <c r="A76" s="73" t="s">
        <v>104</v>
      </c>
      <c r="B76" s="74"/>
      <c r="C76" s="74"/>
      <c r="D76" s="74"/>
      <c r="E76" s="74"/>
      <c r="F76" s="74"/>
      <c r="G76" s="75"/>
    </row>
    <row r="77" spans="1:11" ht="15" customHeight="1" x14ac:dyDescent="0.3">
      <c r="A77" s="10" t="s">
        <v>36</v>
      </c>
      <c r="B77" s="19" t="s">
        <v>1</v>
      </c>
      <c r="C77" s="20" t="s">
        <v>38</v>
      </c>
      <c r="D77" s="20" t="s">
        <v>76</v>
      </c>
      <c r="E77" s="20" t="s">
        <v>39</v>
      </c>
      <c r="F77" s="20" t="s">
        <v>75</v>
      </c>
      <c r="G77" s="20" t="s">
        <v>40</v>
      </c>
      <c r="I77" s="90" t="s">
        <v>37</v>
      </c>
      <c r="J77" s="91"/>
      <c r="K77" s="92"/>
    </row>
    <row r="78" spans="1:11" ht="15" customHeight="1" x14ac:dyDescent="0.3">
      <c r="A78" s="4" t="s">
        <v>77</v>
      </c>
      <c r="B78" s="5">
        <v>1</v>
      </c>
      <c r="C78" s="26">
        <f>IF(C64/1&gt;0.5,1,0)</f>
        <v>1</v>
      </c>
      <c r="D78" s="26">
        <f>IF(D64/2&gt;0.5,1,0)</f>
        <v>1</v>
      </c>
      <c r="E78" s="26">
        <f>IF(E64/3&gt;0.5,1,0)</f>
        <v>1</v>
      </c>
      <c r="F78" s="26">
        <f>IF(F64/4&gt;0.5,1,0)</f>
        <v>1</v>
      </c>
      <c r="G78" s="26">
        <f>IF(G64/5&gt;0.5,1,0)</f>
        <v>1</v>
      </c>
      <c r="I78" s="93"/>
      <c r="J78" s="94"/>
      <c r="K78" s="95"/>
    </row>
    <row r="79" spans="1:11" ht="15" customHeight="1" x14ac:dyDescent="0.3">
      <c r="A79" s="4" t="s">
        <v>78</v>
      </c>
      <c r="B79" s="5">
        <v>1</v>
      </c>
      <c r="C79" s="26">
        <f t="shared" ref="C79:C87" si="9">IF(C65/1&gt;0.5,1,0)</f>
        <v>1</v>
      </c>
      <c r="D79" s="26">
        <f t="shared" ref="D79:D87" si="10">IF(D65/2&gt;0.5,1,0)</f>
        <v>1</v>
      </c>
      <c r="E79" s="26">
        <f t="shared" ref="E79:E87" si="11">IF(E65/3&gt;0.5,1,0)</f>
        <v>1</v>
      </c>
      <c r="F79" s="26">
        <f t="shared" ref="F79:F87" si="12">IF(F65/4&gt;0.5,1,0)</f>
        <v>1</v>
      </c>
      <c r="G79" s="26">
        <f>IF(G65/5&gt;0.5,1,0)</f>
        <v>1</v>
      </c>
      <c r="I79" s="93"/>
      <c r="J79" s="94"/>
      <c r="K79" s="95"/>
    </row>
    <row r="80" spans="1:11" ht="15" customHeight="1" x14ac:dyDescent="0.3">
      <c r="A80" s="4" t="s">
        <v>79</v>
      </c>
      <c r="B80" s="5">
        <v>2</v>
      </c>
      <c r="C80" s="26">
        <f>IF(C66/1&gt;0.5,1,0)</f>
        <v>0</v>
      </c>
      <c r="D80" s="26">
        <f t="shared" si="10"/>
        <v>0</v>
      </c>
      <c r="E80" s="26">
        <f t="shared" si="11"/>
        <v>0</v>
      </c>
      <c r="F80" s="26">
        <f t="shared" si="12"/>
        <v>0</v>
      </c>
      <c r="G80" s="26">
        <f t="shared" ref="G80:G87" si="13">IF(G66/5&gt;0.5,1,0)</f>
        <v>1</v>
      </c>
      <c r="I80" s="93"/>
      <c r="J80" s="94"/>
      <c r="K80" s="95"/>
    </row>
    <row r="81" spans="1:11" ht="15" customHeight="1" x14ac:dyDescent="0.3">
      <c r="A81" s="4" t="s">
        <v>80</v>
      </c>
      <c r="B81" s="5">
        <v>1</v>
      </c>
      <c r="C81" s="26">
        <f>IF(C67/1&gt;0.5,1,0)</f>
        <v>1</v>
      </c>
      <c r="D81" s="26">
        <f t="shared" si="10"/>
        <v>1</v>
      </c>
      <c r="E81" s="26">
        <f t="shared" si="11"/>
        <v>1</v>
      </c>
      <c r="F81" s="26">
        <f t="shared" si="12"/>
        <v>1</v>
      </c>
      <c r="G81" s="26">
        <f t="shared" si="13"/>
        <v>1</v>
      </c>
      <c r="I81" s="93"/>
      <c r="J81" s="94"/>
      <c r="K81" s="95"/>
    </row>
    <row r="82" spans="1:11" ht="15" customHeight="1" thickBot="1" x14ac:dyDescent="0.35">
      <c r="A82" s="4" t="s">
        <v>81</v>
      </c>
      <c r="B82" s="5">
        <v>2</v>
      </c>
      <c r="C82" s="26">
        <f t="shared" si="9"/>
        <v>1</v>
      </c>
      <c r="D82" s="26">
        <f t="shared" si="10"/>
        <v>1</v>
      </c>
      <c r="E82" s="26">
        <f t="shared" si="11"/>
        <v>1</v>
      </c>
      <c r="F82" s="26">
        <f t="shared" si="12"/>
        <v>1</v>
      </c>
      <c r="G82" s="26">
        <f t="shared" si="13"/>
        <v>1</v>
      </c>
      <c r="I82" s="96"/>
      <c r="J82" s="97"/>
      <c r="K82" s="98"/>
    </row>
    <row r="83" spans="1:11" ht="15" customHeight="1" x14ac:dyDescent="0.3">
      <c r="A83" s="4" t="s">
        <v>82</v>
      </c>
      <c r="B83" s="5">
        <v>1</v>
      </c>
      <c r="C83" s="26">
        <f t="shared" si="9"/>
        <v>0</v>
      </c>
      <c r="D83" s="26">
        <f>IF(D69/2&gt;0.5,1,0)</f>
        <v>0</v>
      </c>
      <c r="E83" s="26">
        <f t="shared" si="11"/>
        <v>1</v>
      </c>
      <c r="F83" s="26">
        <f t="shared" si="12"/>
        <v>1</v>
      </c>
      <c r="G83" s="26">
        <f>IF(G69/5&gt;0.5,1,0)</f>
        <v>1</v>
      </c>
    </row>
    <row r="84" spans="1:11" ht="15" customHeight="1" x14ac:dyDescent="0.3">
      <c r="A84" s="4" t="s">
        <v>83</v>
      </c>
      <c r="B84" s="5">
        <v>1</v>
      </c>
      <c r="C84" s="26">
        <f t="shared" si="9"/>
        <v>1</v>
      </c>
      <c r="D84" s="26">
        <f t="shared" si="10"/>
        <v>1</v>
      </c>
      <c r="E84" s="26">
        <f>IF(E70/3&gt;0.5,1,0)</f>
        <v>1</v>
      </c>
      <c r="F84" s="26">
        <f t="shared" si="12"/>
        <v>1</v>
      </c>
      <c r="G84" s="26">
        <f t="shared" si="13"/>
        <v>1</v>
      </c>
    </row>
    <row r="85" spans="1:11" ht="15" customHeight="1" x14ac:dyDescent="0.3">
      <c r="A85" s="4" t="s">
        <v>84</v>
      </c>
      <c r="B85" s="5">
        <v>1</v>
      </c>
      <c r="C85" s="26">
        <f t="shared" si="9"/>
        <v>1</v>
      </c>
      <c r="D85" s="26">
        <f t="shared" si="10"/>
        <v>1</v>
      </c>
      <c r="E85" s="26">
        <f>IF(E71/3&gt;0.5,1,0)</f>
        <v>1</v>
      </c>
      <c r="F85" s="26">
        <f t="shared" si="12"/>
        <v>1</v>
      </c>
      <c r="G85" s="26">
        <f t="shared" si="13"/>
        <v>1</v>
      </c>
    </row>
    <row r="86" spans="1:11" ht="15" customHeight="1" x14ac:dyDescent="0.3">
      <c r="A86" s="4" t="s">
        <v>85</v>
      </c>
      <c r="B86" s="5">
        <v>2</v>
      </c>
      <c r="C86" s="26">
        <f t="shared" si="9"/>
        <v>1</v>
      </c>
      <c r="D86" s="26">
        <f t="shared" si="10"/>
        <v>1</v>
      </c>
      <c r="E86" s="26">
        <f t="shared" si="11"/>
        <v>1</v>
      </c>
      <c r="F86" s="26">
        <f t="shared" si="12"/>
        <v>1</v>
      </c>
      <c r="G86" s="26">
        <f t="shared" si="13"/>
        <v>1</v>
      </c>
    </row>
    <row r="87" spans="1:11" ht="15" customHeight="1" x14ac:dyDescent="0.3">
      <c r="A87" s="4" t="s">
        <v>86</v>
      </c>
      <c r="B87" s="5">
        <v>2</v>
      </c>
      <c r="C87" s="26">
        <f t="shared" si="9"/>
        <v>1</v>
      </c>
      <c r="D87" s="26">
        <f t="shared" si="10"/>
        <v>1</v>
      </c>
      <c r="E87" s="26">
        <f t="shared" si="11"/>
        <v>1</v>
      </c>
      <c r="F87" s="26">
        <f t="shared" si="12"/>
        <v>1</v>
      </c>
      <c r="G87" s="26">
        <f t="shared" si="13"/>
        <v>1</v>
      </c>
    </row>
    <row r="88" spans="1:11" ht="15" customHeight="1" x14ac:dyDescent="0.3"/>
    <row r="89" spans="1:11" ht="15" customHeight="1" x14ac:dyDescent="0.3"/>
    <row r="90" spans="1:11" ht="15" customHeight="1" x14ac:dyDescent="0.3"/>
    <row r="91" spans="1:11" ht="15" customHeight="1" x14ac:dyDescent="0.3">
      <c r="A91" s="73" t="s">
        <v>115</v>
      </c>
      <c r="B91" s="74"/>
      <c r="C91" s="74"/>
      <c r="D91" s="74"/>
      <c r="E91" s="74"/>
      <c r="F91" s="74"/>
      <c r="G91" s="75"/>
    </row>
    <row r="92" spans="1:11" ht="15" customHeight="1" x14ac:dyDescent="0.3">
      <c r="A92" s="10" t="s">
        <v>36</v>
      </c>
      <c r="B92" s="19" t="s">
        <v>1</v>
      </c>
      <c r="E92" s="28" t="s">
        <v>34</v>
      </c>
      <c r="G92" s="28" t="s">
        <v>35</v>
      </c>
    </row>
    <row r="93" spans="1:11" ht="15" customHeight="1" x14ac:dyDescent="0.3">
      <c r="A93" s="4" t="s">
        <v>65</v>
      </c>
      <c r="B93" s="5">
        <v>1</v>
      </c>
      <c r="E93" s="17">
        <f>E64</f>
        <v>3</v>
      </c>
      <c r="G93" s="17">
        <f>G64</f>
        <v>5</v>
      </c>
    </row>
    <row r="94" spans="1:11" ht="15" customHeight="1" x14ac:dyDescent="0.3">
      <c r="A94" s="4" t="s">
        <v>66</v>
      </c>
      <c r="B94" s="5">
        <v>1</v>
      </c>
      <c r="E94" s="17">
        <f t="shared" ref="E94:E102" si="14">E65</f>
        <v>3</v>
      </c>
      <c r="G94" s="17">
        <f t="shared" ref="G94:G102" si="15">G65</f>
        <v>5</v>
      </c>
    </row>
    <row r="95" spans="1:11" ht="15" customHeight="1" x14ac:dyDescent="0.3">
      <c r="A95" s="4" t="s">
        <v>67</v>
      </c>
      <c r="B95" s="5">
        <v>2</v>
      </c>
      <c r="E95" s="17">
        <f t="shared" si="14"/>
        <v>1</v>
      </c>
      <c r="G95" s="17">
        <f t="shared" si="15"/>
        <v>3</v>
      </c>
    </row>
    <row r="96" spans="1:11" ht="15" customHeight="1" x14ac:dyDescent="0.3">
      <c r="A96" s="4" t="s">
        <v>68</v>
      </c>
      <c r="B96" s="5">
        <v>1</v>
      </c>
      <c r="E96" s="17">
        <f t="shared" si="14"/>
        <v>3</v>
      </c>
      <c r="G96" s="17">
        <f t="shared" si="15"/>
        <v>4</v>
      </c>
    </row>
    <row r="97" spans="1:7" ht="15" customHeight="1" x14ac:dyDescent="0.3">
      <c r="A97" s="4" t="s">
        <v>69</v>
      </c>
      <c r="B97" s="5">
        <v>2</v>
      </c>
      <c r="E97" s="17">
        <f t="shared" si="14"/>
        <v>3</v>
      </c>
      <c r="G97" s="17">
        <f t="shared" si="15"/>
        <v>3</v>
      </c>
    </row>
    <row r="98" spans="1:7" ht="15" customHeight="1" x14ac:dyDescent="0.3">
      <c r="A98" s="4" t="s">
        <v>70</v>
      </c>
      <c r="B98" s="5">
        <v>1</v>
      </c>
      <c r="E98" s="17">
        <f>E69</f>
        <v>2</v>
      </c>
      <c r="G98" s="17">
        <f t="shared" si="15"/>
        <v>4</v>
      </c>
    </row>
    <row r="99" spans="1:7" ht="15" customHeight="1" x14ac:dyDescent="0.3">
      <c r="A99" s="4" t="s">
        <v>71</v>
      </c>
      <c r="B99" s="5">
        <v>1</v>
      </c>
      <c r="E99" s="17">
        <f t="shared" si="14"/>
        <v>3</v>
      </c>
      <c r="G99" s="17">
        <f t="shared" si="15"/>
        <v>4</v>
      </c>
    </row>
    <row r="100" spans="1:7" ht="15" customHeight="1" x14ac:dyDescent="0.3">
      <c r="A100" s="4" t="s">
        <v>72</v>
      </c>
      <c r="B100" s="5">
        <v>1</v>
      </c>
      <c r="E100" s="17">
        <f>E71</f>
        <v>3</v>
      </c>
      <c r="G100" s="17">
        <f t="shared" si="15"/>
        <v>4</v>
      </c>
    </row>
    <row r="101" spans="1:7" ht="15" customHeight="1" x14ac:dyDescent="0.3">
      <c r="A101" s="4" t="s">
        <v>73</v>
      </c>
      <c r="B101" s="5">
        <v>2</v>
      </c>
      <c r="E101" s="17">
        <f t="shared" si="14"/>
        <v>3</v>
      </c>
      <c r="G101" s="17">
        <f t="shared" si="15"/>
        <v>3</v>
      </c>
    </row>
    <row r="102" spans="1:7" ht="15" customHeight="1" x14ac:dyDescent="0.3">
      <c r="A102" s="4" t="s">
        <v>74</v>
      </c>
      <c r="B102" s="5">
        <v>2</v>
      </c>
      <c r="E102" s="17">
        <f t="shared" si="14"/>
        <v>3</v>
      </c>
      <c r="G102" s="17">
        <f t="shared" si="15"/>
        <v>3</v>
      </c>
    </row>
    <row r="103" spans="1:7" ht="15" customHeight="1" x14ac:dyDescent="0.3"/>
    <row r="104" spans="1:7" ht="15" customHeight="1" x14ac:dyDescent="0.3"/>
    <row r="105" spans="1:7" ht="15" customHeight="1" x14ac:dyDescent="0.3">
      <c r="A105" s="73" t="s">
        <v>105</v>
      </c>
      <c r="B105" s="74"/>
      <c r="C105" s="74"/>
      <c r="D105" s="74"/>
      <c r="E105" s="74"/>
      <c r="F105" s="74"/>
      <c r="G105" s="75"/>
    </row>
    <row r="106" spans="1:7" ht="15" customHeight="1" x14ac:dyDescent="0.3">
      <c r="A106" s="10" t="s">
        <v>36</v>
      </c>
      <c r="B106" s="19" t="s">
        <v>1</v>
      </c>
      <c r="E106" s="20" t="s">
        <v>39</v>
      </c>
      <c r="G106" s="20" t="s">
        <v>40</v>
      </c>
    </row>
    <row r="107" spans="1:7" ht="15" customHeight="1" x14ac:dyDescent="0.3">
      <c r="A107" s="4" t="s">
        <v>77</v>
      </c>
      <c r="B107" s="5">
        <v>1</v>
      </c>
      <c r="E107" s="26">
        <f>E78</f>
        <v>1</v>
      </c>
      <c r="G107" s="26">
        <f>G78</f>
        <v>1</v>
      </c>
    </row>
    <row r="108" spans="1:7" ht="15" customHeight="1" x14ac:dyDescent="0.3">
      <c r="A108" s="4" t="s">
        <v>78</v>
      </c>
      <c r="B108" s="5">
        <v>1</v>
      </c>
      <c r="E108" s="26">
        <f t="shared" ref="E108:E116" si="16">E79</f>
        <v>1</v>
      </c>
      <c r="G108" s="26">
        <f t="shared" ref="G108:G115" si="17">G79</f>
        <v>1</v>
      </c>
    </row>
    <row r="109" spans="1:7" ht="15" customHeight="1" x14ac:dyDescent="0.3">
      <c r="A109" s="4" t="s">
        <v>79</v>
      </c>
      <c r="B109" s="5">
        <v>2</v>
      </c>
      <c r="E109" s="26">
        <f t="shared" si="16"/>
        <v>0</v>
      </c>
      <c r="G109" s="26">
        <f t="shared" si="17"/>
        <v>1</v>
      </c>
    </row>
    <row r="110" spans="1:7" ht="15" customHeight="1" x14ac:dyDescent="0.3">
      <c r="A110" s="4" t="s">
        <v>80</v>
      </c>
      <c r="B110" s="5">
        <v>1</v>
      </c>
      <c r="E110" s="26">
        <f t="shared" si="16"/>
        <v>1</v>
      </c>
      <c r="G110" s="26">
        <f t="shared" si="17"/>
        <v>1</v>
      </c>
    </row>
    <row r="111" spans="1:7" ht="15" customHeight="1" x14ac:dyDescent="0.3">
      <c r="A111" s="4" t="s">
        <v>81</v>
      </c>
      <c r="B111" s="5">
        <v>2</v>
      </c>
      <c r="E111" s="26">
        <f t="shared" si="16"/>
        <v>1</v>
      </c>
      <c r="G111" s="26">
        <f t="shared" si="17"/>
        <v>1</v>
      </c>
    </row>
    <row r="112" spans="1:7" ht="15" customHeight="1" x14ac:dyDescent="0.3">
      <c r="A112" s="4" t="s">
        <v>82</v>
      </c>
      <c r="B112" s="5">
        <v>1</v>
      </c>
      <c r="E112" s="26">
        <f>E83</f>
        <v>1</v>
      </c>
      <c r="G112" s="26">
        <f t="shared" si="17"/>
        <v>1</v>
      </c>
    </row>
    <row r="113" spans="1:11" ht="15" customHeight="1" x14ac:dyDescent="0.3">
      <c r="A113" s="4" t="s">
        <v>83</v>
      </c>
      <c r="B113" s="5">
        <v>1</v>
      </c>
      <c r="E113" s="26">
        <f t="shared" si="16"/>
        <v>1</v>
      </c>
      <c r="G113" s="26">
        <f>G84</f>
        <v>1</v>
      </c>
    </row>
    <row r="114" spans="1:11" ht="15" customHeight="1" x14ac:dyDescent="0.3">
      <c r="A114" s="4" t="s">
        <v>84</v>
      </c>
      <c r="B114" s="5">
        <v>1</v>
      </c>
      <c r="E114" s="26">
        <f t="shared" si="16"/>
        <v>1</v>
      </c>
      <c r="G114" s="26">
        <f t="shared" si="17"/>
        <v>1</v>
      </c>
    </row>
    <row r="115" spans="1:11" ht="15" customHeight="1" x14ac:dyDescent="0.3">
      <c r="A115" s="4" t="s">
        <v>85</v>
      </c>
      <c r="B115" s="5">
        <v>2</v>
      </c>
      <c r="E115" s="26">
        <f>E86</f>
        <v>1</v>
      </c>
      <c r="G115" s="26">
        <f t="shared" si="17"/>
        <v>1</v>
      </c>
    </row>
    <row r="116" spans="1:11" ht="15" customHeight="1" x14ac:dyDescent="0.3">
      <c r="A116" s="4" t="s">
        <v>86</v>
      </c>
      <c r="B116" s="5">
        <v>2</v>
      </c>
      <c r="E116" s="26">
        <f t="shared" si="16"/>
        <v>1</v>
      </c>
      <c r="G116" s="26">
        <f>G87</f>
        <v>1</v>
      </c>
    </row>
    <row r="117" spans="1:11" ht="15" customHeight="1" x14ac:dyDescent="0.3"/>
    <row r="118" spans="1:11" ht="15" customHeight="1" x14ac:dyDescent="0.3"/>
    <row r="119" spans="1:11" ht="15" customHeight="1" thickBot="1" x14ac:dyDescent="0.35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</row>
    <row r="120" spans="1:11" ht="15" customHeight="1" x14ac:dyDescent="0.3"/>
    <row r="121" spans="1:11" ht="15" customHeight="1" x14ac:dyDescent="0.3"/>
    <row r="122" spans="1:11" ht="15" customHeight="1" x14ac:dyDescent="0.3"/>
    <row r="123" spans="1:11" ht="15" customHeight="1" x14ac:dyDescent="0.3"/>
    <row r="124" spans="1:11" ht="15" customHeight="1" x14ac:dyDescent="0.3"/>
    <row r="125" spans="1:11" ht="15" customHeight="1" x14ac:dyDescent="0.3"/>
    <row r="126" spans="1:11" ht="15" customHeight="1" x14ac:dyDescent="0.3"/>
    <row r="127" spans="1:11" ht="15" customHeight="1" x14ac:dyDescent="0.3"/>
    <row r="128" spans="1:11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  <row r="151" ht="15" customHeight="1" x14ac:dyDescent="0.3"/>
    <row r="152" ht="15" customHeight="1" x14ac:dyDescent="0.3"/>
    <row r="153" ht="15" customHeight="1" x14ac:dyDescent="0.3"/>
    <row r="154" ht="15" customHeight="1" x14ac:dyDescent="0.3"/>
    <row r="155" ht="15" customHeight="1" x14ac:dyDescent="0.3"/>
    <row r="156" ht="15" customHeight="1" x14ac:dyDescent="0.3"/>
    <row r="157" ht="15" customHeight="1" x14ac:dyDescent="0.3"/>
    <row r="158" ht="15" customHeight="1" x14ac:dyDescent="0.3"/>
    <row r="159" ht="15" customHeight="1" x14ac:dyDescent="0.3"/>
    <row r="160" ht="15" customHeight="1" x14ac:dyDescent="0.3"/>
    <row r="161" ht="15" customHeight="1" x14ac:dyDescent="0.3"/>
    <row r="162" ht="15" customHeight="1" x14ac:dyDescent="0.3"/>
    <row r="163" ht="15" customHeight="1" x14ac:dyDescent="0.3"/>
    <row r="164" ht="1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  <row r="184" ht="15" customHeight="1" x14ac:dyDescent="0.3"/>
    <row r="185" ht="15" customHeight="1" x14ac:dyDescent="0.3"/>
    <row r="186" ht="15" customHeight="1" x14ac:dyDescent="0.3"/>
    <row r="187" ht="15" customHeight="1" x14ac:dyDescent="0.3"/>
    <row r="188" ht="15" customHeight="1" x14ac:dyDescent="0.3"/>
    <row r="189" ht="15" customHeight="1" x14ac:dyDescent="0.3"/>
    <row r="190" ht="15" customHeight="1" x14ac:dyDescent="0.3"/>
    <row r="191" ht="15" customHeight="1" x14ac:dyDescent="0.3"/>
    <row r="192" ht="15" customHeight="1" x14ac:dyDescent="0.3"/>
    <row r="193" ht="15" customHeight="1" x14ac:dyDescent="0.3"/>
    <row r="194" ht="15" customHeight="1" x14ac:dyDescent="0.3"/>
    <row r="195" ht="15" customHeight="1" x14ac:dyDescent="0.3"/>
    <row r="196" ht="15" customHeight="1" x14ac:dyDescent="0.3"/>
    <row r="197" ht="15" customHeight="1" x14ac:dyDescent="0.3"/>
    <row r="198" ht="15" customHeight="1" x14ac:dyDescent="0.3"/>
    <row r="199" ht="15" customHeight="1" x14ac:dyDescent="0.3"/>
    <row r="200" ht="15" customHeight="1" x14ac:dyDescent="0.3"/>
  </sheetData>
  <mergeCells count="10">
    <mergeCell ref="A1:G1"/>
    <mergeCell ref="A15:G15"/>
    <mergeCell ref="I16:K21"/>
    <mergeCell ref="A30:G30"/>
    <mergeCell ref="A44:G44"/>
    <mergeCell ref="A62:G62"/>
    <mergeCell ref="A76:G76"/>
    <mergeCell ref="I77:K82"/>
    <mergeCell ref="A91:G91"/>
    <mergeCell ref="A105:G105"/>
  </mergeCells>
  <pageMargins left="0.7" right="0.7" top="0.75" bottom="0.75" header="0.3" footer="0.3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33208-FA94-4B21-8195-E6EDDF4BB21D}">
  <dimension ref="A1:J100"/>
  <sheetViews>
    <sheetView workbookViewId="0">
      <selection activeCell="E17" sqref="E17"/>
    </sheetView>
  </sheetViews>
  <sheetFormatPr defaultRowHeight="14.4" x14ac:dyDescent="0.3"/>
  <cols>
    <col min="1" max="10" width="10.77734375" customWidth="1"/>
  </cols>
  <sheetData>
    <row r="1" spans="1:10" ht="15" customHeight="1" x14ac:dyDescent="0.3">
      <c r="A1" s="73" t="s">
        <v>88</v>
      </c>
      <c r="B1" s="74"/>
      <c r="C1" s="74"/>
      <c r="D1" s="74"/>
      <c r="E1" s="74"/>
      <c r="F1" s="75"/>
    </row>
    <row r="2" spans="1:10" ht="34.950000000000003" customHeight="1" x14ac:dyDescent="0.3">
      <c r="A2" s="10" t="s">
        <v>36</v>
      </c>
      <c r="B2" s="19" t="s">
        <v>1</v>
      </c>
      <c r="C2" s="20" t="s">
        <v>39</v>
      </c>
      <c r="D2" s="20" t="s">
        <v>40</v>
      </c>
      <c r="E2" s="22" t="s">
        <v>41</v>
      </c>
      <c r="F2" s="22" t="s">
        <v>90</v>
      </c>
    </row>
    <row r="3" spans="1:10" ht="15" customHeight="1" x14ac:dyDescent="0.3">
      <c r="A3" s="4" t="s">
        <v>77</v>
      </c>
      <c r="B3" s="5">
        <v>1</v>
      </c>
      <c r="C3" s="26">
        <v>1</v>
      </c>
      <c r="D3" s="26">
        <v>1</v>
      </c>
      <c r="E3" s="27" t="str">
        <f t="shared" ref="E3:E12" si="0">C3&amp;D3</f>
        <v>11</v>
      </c>
      <c r="F3" s="27">
        <f>BIN2DEC(E3)</f>
        <v>3</v>
      </c>
    </row>
    <row r="4" spans="1:10" ht="15" customHeight="1" x14ac:dyDescent="0.3">
      <c r="A4" s="4" t="s">
        <v>78</v>
      </c>
      <c r="B4" s="5">
        <v>1</v>
      </c>
      <c r="C4" s="26">
        <v>1</v>
      </c>
      <c r="D4" s="26">
        <v>1</v>
      </c>
      <c r="E4" s="27" t="str">
        <f t="shared" si="0"/>
        <v>11</v>
      </c>
      <c r="F4" s="27">
        <f t="shared" ref="F4:F12" si="1">BIN2DEC(E4)</f>
        <v>3</v>
      </c>
    </row>
    <row r="5" spans="1:10" ht="15" customHeight="1" x14ac:dyDescent="0.3">
      <c r="A5" s="4" t="s">
        <v>79</v>
      </c>
      <c r="B5" s="5">
        <v>2</v>
      </c>
      <c r="C5" s="26">
        <v>1</v>
      </c>
      <c r="D5" s="26">
        <v>1</v>
      </c>
      <c r="E5" s="27" t="str">
        <f t="shared" si="0"/>
        <v>11</v>
      </c>
      <c r="F5" s="27">
        <f t="shared" si="1"/>
        <v>3</v>
      </c>
    </row>
    <row r="6" spans="1:10" ht="15" customHeight="1" x14ac:dyDescent="0.3">
      <c r="A6" s="4" t="s">
        <v>80</v>
      </c>
      <c r="B6" s="5">
        <v>1</v>
      </c>
      <c r="C6" s="26">
        <v>1</v>
      </c>
      <c r="D6" s="26">
        <v>1</v>
      </c>
      <c r="E6" s="27" t="str">
        <f t="shared" si="0"/>
        <v>11</v>
      </c>
      <c r="F6" s="27">
        <f t="shared" si="1"/>
        <v>3</v>
      </c>
    </row>
    <row r="7" spans="1:10" ht="15" customHeight="1" x14ac:dyDescent="0.3">
      <c r="A7" s="4" t="s">
        <v>81</v>
      </c>
      <c r="B7" s="5">
        <v>2</v>
      </c>
      <c r="C7" s="26">
        <v>1</v>
      </c>
      <c r="D7" s="26">
        <v>1</v>
      </c>
      <c r="E7" s="27" t="str">
        <f t="shared" si="0"/>
        <v>11</v>
      </c>
      <c r="F7" s="27">
        <f t="shared" si="1"/>
        <v>3</v>
      </c>
    </row>
    <row r="8" spans="1:10" ht="15" customHeight="1" x14ac:dyDescent="0.3">
      <c r="A8" s="4" t="s">
        <v>82</v>
      </c>
      <c r="B8" s="5">
        <v>1</v>
      </c>
      <c r="C8" s="26">
        <v>1</v>
      </c>
      <c r="D8" s="26">
        <v>1</v>
      </c>
      <c r="E8" s="27" t="str">
        <f t="shared" si="0"/>
        <v>11</v>
      </c>
      <c r="F8" s="27">
        <f t="shared" si="1"/>
        <v>3</v>
      </c>
    </row>
    <row r="9" spans="1:10" ht="15" customHeight="1" x14ac:dyDescent="0.3">
      <c r="A9" s="4" t="s">
        <v>83</v>
      </c>
      <c r="B9" s="5">
        <v>1</v>
      </c>
      <c r="C9" s="26">
        <v>1</v>
      </c>
      <c r="D9" s="26">
        <v>1</v>
      </c>
      <c r="E9" s="27" t="str">
        <f t="shared" si="0"/>
        <v>11</v>
      </c>
      <c r="F9" s="27">
        <f t="shared" si="1"/>
        <v>3</v>
      </c>
    </row>
    <row r="10" spans="1:10" ht="15" customHeight="1" x14ac:dyDescent="0.3">
      <c r="A10" s="4" t="s">
        <v>84</v>
      </c>
      <c r="B10" s="5">
        <v>1</v>
      </c>
      <c r="C10" s="26">
        <v>1</v>
      </c>
      <c r="D10" s="26">
        <v>1</v>
      </c>
      <c r="E10" s="27" t="str">
        <f t="shared" si="0"/>
        <v>11</v>
      </c>
      <c r="F10" s="27">
        <f t="shared" si="1"/>
        <v>3</v>
      </c>
    </row>
    <row r="11" spans="1:10" ht="15" customHeight="1" x14ac:dyDescent="0.3">
      <c r="A11" s="4" t="s">
        <v>85</v>
      </c>
      <c r="B11" s="5">
        <v>2</v>
      </c>
      <c r="C11" s="26">
        <v>1</v>
      </c>
      <c r="D11" s="26">
        <v>1</v>
      </c>
      <c r="E11" s="27" t="str">
        <f t="shared" si="0"/>
        <v>11</v>
      </c>
      <c r="F11" s="27">
        <f t="shared" si="1"/>
        <v>3</v>
      </c>
    </row>
    <row r="12" spans="1:10" ht="15" customHeight="1" x14ac:dyDescent="0.3">
      <c r="A12" s="4" t="s">
        <v>86</v>
      </c>
      <c r="B12" s="5">
        <v>2</v>
      </c>
      <c r="C12" s="26">
        <v>1</v>
      </c>
      <c r="D12" s="26">
        <v>1</v>
      </c>
      <c r="E12" s="27" t="str">
        <f t="shared" si="0"/>
        <v>11</v>
      </c>
      <c r="F12" s="27">
        <f t="shared" si="1"/>
        <v>3</v>
      </c>
    </row>
    <row r="13" spans="1:10" ht="15" customHeight="1" x14ac:dyDescent="0.3"/>
    <row r="14" spans="1:10" ht="15" customHeight="1" x14ac:dyDescent="0.3"/>
    <row r="15" spans="1:10" ht="15" customHeight="1" x14ac:dyDescent="0.3">
      <c r="A15" s="68" t="s">
        <v>42</v>
      </c>
      <c r="B15" s="68"/>
      <c r="C15" s="68"/>
      <c r="D15" s="68"/>
      <c r="E15" s="68"/>
      <c r="F15" s="68"/>
      <c r="G15" s="68"/>
      <c r="H15" s="68"/>
      <c r="I15" s="68"/>
      <c r="J15" s="68"/>
    </row>
    <row r="16" spans="1:10" ht="49.95" customHeight="1" x14ac:dyDescent="0.3">
      <c r="A16" s="22" t="s">
        <v>46</v>
      </c>
      <c r="B16" s="41" t="s">
        <v>90</v>
      </c>
      <c r="C16" s="23" t="s">
        <v>95</v>
      </c>
      <c r="D16" s="23" t="s">
        <v>96</v>
      </c>
      <c r="E16" s="24" t="s">
        <v>43</v>
      </c>
      <c r="F16" s="25" t="s">
        <v>44</v>
      </c>
      <c r="G16" s="38" t="s">
        <v>101</v>
      </c>
      <c r="H16" s="21" t="s">
        <v>45</v>
      </c>
      <c r="I16" s="34" t="s">
        <v>97</v>
      </c>
      <c r="J16" s="33" t="s">
        <v>98</v>
      </c>
    </row>
    <row r="17" spans="1:10" ht="15" customHeight="1" x14ac:dyDescent="0.3">
      <c r="A17" s="27" t="str" cm="1">
        <f t="array" ref="A17">_xlfn._xlws.SORT(_xlfn.UNIQUE($E$3:$E$12))</f>
        <v>11</v>
      </c>
      <c r="B17" s="42">
        <f>_xlfn.DECIMAL(A17,2)</f>
        <v>3</v>
      </c>
      <c r="C17" s="29">
        <f>COUNTIFS($E$3:$E$12,A17,$B$3:$B$12,1)</f>
        <v>6</v>
      </c>
      <c r="D17" s="29">
        <f>COUNTIFS($E$3:$E$12,A17,$B$3:$B$12,2)</f>
        <v>4</v>
      </c>
      <c r="E17" s="30">
        <f>C17+D17</f>
        <v>10</v>
      </c>
      <c r="F17" s="31">
        <f>IF(C17&gt;D17,1,IF(D17&gt;C17,2,"Tie"))</f>
        <v>1</v>
      </c>
      <c r="G17" s="32">
        <f>IF(E17=0,"",MAX(C17,D17)/E17)</f>
        <v>0.6</v>
      </c>
      <c r="H17" s="3" t="str">
        <f>IF(C17=D17,"Tie",IF(G17=1,"Pure","Mixed"))</f>
        <v>Mixed</v>
      </c>
      <c r="I17" s="39">
        <f>G17*1000000 + E17*1000 - B17</f>
        <v>609997</v>
      </c>
      <c r="J17" s="40">
        <f>1
+COUNTIFS($G$17:$G$18,"&gt;"&amp;G17)
+COUNTIFS($G$17:$G$18,G17,$E$17:$E$18,"&gt;"&amp;E17)
+COUNTIFS($G$17:$G$18,G17,$E$17:$E$18,E17,$B$17:$B$18,"&lt;"&amp;B17)
+COUNTIFS($G$17:$G$18,G17,$E$17:$E$18,E17,$B$17:$B$18,B17,$A$17:$A$18,"&lt;"&amp;A17)</f>
        <v>1</v>
      </c>
    </row>
    <row r="18" spans="1:10" ht="15" customHeight="1" x14ac:dyDescent="0.3">
      <c r="A18" s="27"/>
      <c r="B18" s="42"/>
      <c r="C18" s="29"/>
      <c r="D18" s="29"/>
      <c r="E18" s="30"/>
      <c r="F18" s="31"/>
      <c r="G18" s="32"/>
      <c r="H18" s="3"/>
      <c r="I18" s="39"/>
      <c r="J18" s="40"/>
    </row>
    <row r="19" spans="1:10" ht="15" customHeight="1" x14ac:dyDescent="0.3"/>
    <row r="20" spans="1:10" ht="15" customHeight="1" x14ac:dyDescent="0.3"/>
    <row r="21" spans="1:10" ht="15" customHeight="1" thickBot="1" x14ac:dyDescent="0.35">
      <c r="A21" s="14"/>
      <c r="B21" s="14"/>
      <c r="C21" s="14"/>
      <c r="D21" s="14"/>
      <c r="E21" s="14"/>
      <c r="F21" s="14"/>
      <c r="G21" s="14"/>
      <c r="H21" s="14"/>
      <c r="I21" s="14"/>
      <c r="J21" s="14"/>
    </row>
    <row r="22" spans="1:10" ht="15" customHeight="1" x14ac:dyDescent="0.3"/>
    <row r="23" spans="1:10" ht="15" customHeight="1" x14ac:dyDescent="0.3"/>
    <row r="24" spans="1:10" ht="15" customHeight="1" x14ac:dyDescent="0.3"/>
    <row r="25" spans="1:10" ht="15" customHeight="1" x14ac:dyDescent="0.3">
      <c r="A25" s="73" t="s">
        <v>105</v>
      </c>
      <c r="B25" s="74"/>
      <c r="C25" s="74"/>
      <c r="D25" s="74"/>
      <c r="E25" s="74"/>
      <c r="F25" s="75"/>
    </row>
    <row r="26" spans="1:10" ht="34.950000000000003" customHeight="1" x14ac:dyDescent="0.3">
      <c r="A26" s="10" t="s">
        <v>36</v>
      </c>
      <c r="B26" s="19" t="s">
        <v>1</v>
      </c>
      <c r="C26" s="20" t="s">
        <v>39</v>
      </c>
      <c r="D26" s="20" t="s">
        <v>40</v>
      </c>
      <c r="E26" s="22" t="s">
        <v>41</v>
      </c>
      <c r="F26" s="22" t="s">
        <v>90</v>
      </c>
    </row>
    <row r="27" spans="1:10" ht="15" customHeight="1" x14ac:dyDescent="0.3">
      <c r="A27" s="4" t="s">
        <v>77</v>
      </c>
      <c r="B27" s="5">
        <v>1</v>
      </c>
      <c r="C27" s="26">
        <v>1</v>
      </c>
      <c r="D27" s="26">
        <v>1</v>
      </c>
      <c r="E27" s="27" t="str">
        <f t="shared" ref="E27:E36" si="2">C27&amp;D27</f>
        <v>11</v>
      </c>
      <c r="F27" s="27">
        <f t="shared" ref="F27:F36" si="3">BIN2DEC(E27)</f>
        <v>3</v>
      </c>
    </row>
    <row r="28" spans="1:10" ht="15" customHeight="1" x14ac:dyDescent="0.3">
      <c r="A28" s="4" t="s">
        <v>78</v>
      </c>
      <c r="B28" s="5">
        <v>1</v>
      </c>
      <c r="C28" s="26">
        <v>1</v>
      </c>
      <c r="D28" s="26">
        <v>1</v>
      </c>
      <c r="E28" s="27" t="str">
        <f t="shared" si="2"/>
        <v>11</v>
      </c>
      <c r="F28" s="27">
        <f t="shared" si="3"/>
        <v>3</v>
      </c>
    </row>
    <row r="29" spans="1:10" ht="15" customHeight="1" x14ac:dyDescent="0.3">
      <c r="A29" s="4" t="s">
        <v>79</v>
      </c>
      <c r="B29" s="5">
        <v>2</v>
      </c>
      <c r="C29" s="26">
        <v>0</v>
      </c>
      <c r="D29" s="26">
        <v>1</v>
      </c>
      <c r="E29" s="27" t="str">
        <f t="shared" si="2"/>
        <v>01</v>
      </c>
      <c r="F29" s="27">
        <f t="shared" si="3"/>
        <v>1</v>
      </c>
    </row>
    <row r="30" spans="1:10" ht="15" customHeight="1" x14ac:dyDescent="0.3">
      <c r="A30" s="4" t="s">
        <v>80</v>
      </c>
      <c r="B30" s="5">
        <v>1</v>
      </c>
      <c r="C30" s="26">
        <v>1</v>
      </c>
      <c r="D30" s="26">
        <v>1</v>
      </c>
      <c r="E30" s="27" t="str">
        <f t="shared" si="2"/>
        <v>11</v>
      </c>
      <c r="F30" s="27">
        <f t="shared" si="3"/>
        <v>3</v>
      </c>
    </row>
    <row r="31" spans="1:10" ht="15" customHeight="1" x14ac:dyDescent="0.3">
      <c r="A31" s="4" t="s">
        <v>81</v>
      </c>
      <c r="B31" s="5">
        <v>2</v>
      </c>
      <c r="C31" s="26">
        <v>1</v>
      </c>
      <c r="D31" s="26">
        <v>1</v>
      </c>
      <c r="E31" s="27" t="str">
        <f t="shared" si="2"/>
        <v>11</v>
      </c>
      <c r="F31" s="27">
        <f t="shared" si="3"/>
        <v>3</v>
      </c>
    </row>
    <row r="32" spans="1:10" ht="15" customHeight="1" x14ac:dyDescent="0.3">
      <c r="A32" s="4" t="s">
        <v>82</v>
      </c>
      <c r="B32" s="5">
        <v>1</v>
      </c>
      <c r="C32" s="26">
        <v>1</v>
      </c>
      <c r="D32" s="26">
        <v>1</v>
      </c>
      <c r="E32" s="27" t="str">
        <f t="shared" si="2"/>
        <v>11</v>
      </c>
      <c r="F32" s="27">
        <f t="shared" si="3"/>
        <v>3</v>
      </c>
    </row>
    <row r="33" spans="1:10" ht="15" customHeight="1" x14ac:dyDescent="0.3">
      <c r="A33" s="4" t="s">
        <v>83</v>
      </c>
      <c r="B33" s="5">
        <v>1</v>
      </c>
      <c r="C33" s="26">
        <v>1</v>
      </c>
      <c r="D33" s="26">
        <v>1</v>
      </c>
      <c r="E33" s="27" t="str">
        <f t="shared" si="2"/>
        <v>11</v>
      </c>
      <c r="F33" s="27">
        <f t="shared" si="3"/>
        <v>3</v>
      </c>
    </row>
    <row r="34" spans="1:10" ht="15" customHeight="1" x14ac:dyDescent="0.3">
      <c r="A34" s="4" t="s">
        <v>84</v>
      </c>
      <c r="B34" s="5">
        <v>1</v>
      </c>
      <c r="C34" s="26">
        <v>1</v>
      </c>
      <c r="D34" s="26">
        <v>1</v>
      </c>
      <c r="E34" s="27" t="str">
        <f t="shared" si="2"/>
        <v>11</v>
      </c>
      <c r="F34" s="27">
        <f t="shared" si="3"/>
        <v>3</v>
      </c>
    </row>
    <row r="35" spans="1:10" ht="15" customHeight="1" x14ac:dyDescent="0.3">
      <c r="A35" s="4" t="s">
        <v>85</v>
      </c>
      <c r="B35" s="5">
        <v>2</v>
      </c>
      <c r="C35" s="26">
        <v>1</v>
      </c>
      <c r="D35" s="26">
        <v>1</v>
      </c>
      <c r="E35" s="27" t="str">
        <f t="shared" si="2"/>
        <v>11</v>
      </c>
      <c r="F35" s="27">
        <f t="shared" si="3"/>
        <v>3</v>
      </c>
    </row>
    <row r="36" spans="1:10" ht="15" customHeight="1" x14ac:dyDescent="0.3">
      <c r="A36" s="4" t="s">
        <v>86</v>
      </c>
      <c r="B36" s="5">
        <v>2</v>
      </c>
      <c r="C36" s="26">
        <v>1</v>
      </c>
      <c r="D36" s="26">
        <v>1</v>
      </c>
      <c r="E36" s="27" t="str">
        <f t="shared" si="2"/>
        <v>11</v>
      </c>
      <c r="F36" s="27">
        <f t="shared" si="3"/>
        <v>3</v>
      </c>
    </row>
    <row r="37" spans="1:10" ht="15" customHeight="1" x14ac:dyDescent="0.3"/>
    <row r="38" spans="1:10" ht="15" customHeight="1" x14ac:dyDescent="0.3"/>
    <row r="39" spans="1:10" ht="15" customHeight="1" x14ac:dyDescent="0.3">
      <c r="A39" s="68" t="s">
        <v>106</v>
      </c>
      <c r="B39" s="68"/>
      <c r="C39" s="68"/>
      <c r="D39" s="68"/>
      <c r="E39" s="68"/>
      <c r="F39" s="68"/>
      <c r="G39" s="68"/>
      <c r="H39" s="68"/>
      <c r="I39" s="68"/>
      <c r="J39" s="68"/>
    </row>
    <row r="40" spans="1:10" ht="49.95" customHeight="1" x14ac:dyDescent="0.3">
      <c r="A40" s="22" t="s">
        <v>46</v>
      </c>
      <c r="B40" s="41" t="s">
        <v>90</v>
      </c>
      <c r="C40" s="23" t="s">
        <v>95</v>
      </c>
      <c r="D40" s="23" t="s">
        <v>96</v>
      </c>
      <c r="E40" s="24" t="s">
        <v>43</v>
      </c>
      <c r="F40" s="25" t="s">
        <v>44</v>
      </c>
      <c r="G40" s="38" t="s">
        <v>101</v>
      </c>
      <c r="H40" s="21" t="s">
        <v>45</v>
      </c>
      <c r="I40" s="34" t="s">
        <v>97</v>
      </c>
      <c r="J40" s="33" t="s">
        <v>98</v>
      </c>
    </row>
    <row r="41" spans="1:10" ht="15" customHeight="1" x14ac:dyDescent="0.3">
      <c r="A41" s="27" t="str" cm="1">
        <f t="array" ref="A41:A42">_xlfn.UNIQUE($E$27:$E$36)</f>
        <v>11</v>
      </c>
      <c r="B41" s="42">
        <f>BIN2DEC(A41)</f>
        <v>3</v>
      </c>
      <c r="C41" s="29">
        <f>COUNTIFS($E$27:$E$36,$A41,$B$27:$B$36,1)</f>
        <v>6</v>
      </c>
      <c r="D41" s="29">
        <f>COUNTIFS($E$27:$E$36,$A41,$B$27:$B$36,2)</f>
        <v>3</v>
      </c>
      <c r="E41" s="30">
        <f>C41+D41</f>
        <v>9</v>
      </c>
      <c r="F41" s="31">
        <f>IF(C41&gt;D41,1,IF(D41&gt;C41,2,"Tie"))</f>
        <v>1</v>
      </c>
      <c r="G41" s="32">
        <f>IF(E41=0,"",MAX(C41,D41)/E41)</f>
        <v>0.66666666666666663</v>
      </c>
      <c r="H41" s="3" t="str">
        <f>IF(G41=1,"Pure",IF(G41=0.5,"Tie","Mixed"))</f>
        <v>Mixed</v>
      </c>
      <c r="I41" s="39">
        <f>G41*1000000 + E41*1000 - B41</f>
        <v>675663.66666666663</v>
      </c>
      <c r="J41" s="40">
        <f>1
+COUNTIFS($G$41:$G$43,"&gt;"&amp;G41)
+COUNTIFS($G$41:$G$43,G41,$E$41:$E$43,"&gt;"&amp;E41)
+COUNTIFS($G$41:$G$43,G41,$E$41:$E$43,E41,$B$41:$B$43,"&lt;"&amp;B41)
+COUNTIFS($G$41:$G$43,G41,$E$41:$E$43,E41,$B$41:$B$43,B41,$A$41:$A$43,"&lt;"&amp;A41)</f>
        <v>2</v>
      </c>
    </row>
    <row r="42" spans="1:10" ht="15" customHeight="1" x14ac:dyDescent="0.3">
      <c r="A42" s="27" t="str">
        <v>01</v>
      </c>
      <c r="B42" s="42">
        <f>BIN2DEC(A42)</f>
        <v>1</v>
      </c>
      <c r="C42" s="29">
        <f>COUNTIFS($E$27:$E$36,$A42,$B$27:$B$36,1)</f>
        <v>0</v>
      </c>
      <c r="D42" s="29">
        <f>COUNTIFS($E$27:$E$36,$A42,$B$27:$B$36,2)</f>
        <v>1</v>
      </c>
      <c r="E42" s="30">
        <f>C42+D42</f>
        <v>1</v>
      </c>
      <c r="F42" s="31">
        <f>IF(C42&gt;D42,1,IF(D42&gt;C42,2,"Tie"))</f>
        <v>2</v>
      </c>
      <c r="G42" s="32">
        <f>IF(E42=0,"",MAX(C42,D42)/E42)</f>
        <v>1</v>
      </c>
      <c r="H42" s="3" t="str">
        <f>IF(G42=1,"Pure",IF(G42=0.5,"Tie","Mixed"))</f>
        <v>Pure</v>
      </c>
      <c r="I42" s="39">
        <f>G42*1000000 + E42*1000 - B42</f>
        <v>1000999</v>
      </c>
      <c r="J42" s="40">
        <f>1
+COUNTIFS($G$41:$G$43,"&gt;"&amp;G42)
+COUNTIFS($G$41:$G$43,G42,$E$41:$E$43,"&gt;"&amp;E42)
+COUNTIFS($G$41:$G$43,G42,$E$41:$E$43,E42,$B$41:$B$43,"&lt;"&amp;B42)
+COUNTIFS($G$41:$G$43,G42,$E$41:$E$43,E42,$B$41:$B$43,B42,$A$41:$A$43,"&lt;"&amp;A42)</f>
        <v>1</v>
      </c>
    </row>
    <row r="43" spans="1:10" ht="15" customHeight="1" x14ac:dyDescent="0.3">
      <c r="A43" s="27"/>
      <c r="B43" s="42"/>
      <c r="C43" s="29"/>
      <c r="D43" s="29"/>
      <c r="E43" s="30"/>
      <c r="F43" s="31"/>
      <c r="G43" s="32"/>
      <c r="H43" s="3"/>
      <c r="I43" s="39"/>
      <c r="J43" s="40"/>
    </row>
    <row r="44" spans="1:10" ht="15" customHeight="1" x14ac:dyDescent="0.3"/>
    <row r="45" spans="1:10" ht="15" customHeight="1" x14ac:dyDescent="0.3"/>
    <row r="46" spans="1:10" ht="15" customHeight="1" thickBot="1" x14ac:dyDescent="0.35">
      <c r="A46" s="14"/>
      <c r="B46" s="14"/>
      <c r="C46" s="14"/>
      <c r="D46" s="14"/>
      <c r="E46" s="14"/>
      <c r="F46" s="14"/>
      <c r="G46" s="14"/>
      <c r="H46" s="14"/>
      <c r="I46" s="14"/>
      <c r="J46" s="14"/>
    </row>
    <row r="47" spans="1:10" ht="15" customHeight="1" x14ac:dyDescent="0.3"/>
    <row r="48" spans="1:10" ht="15" customHeight="1" x14ac:dyDescent="0.3"/>
    <row r="49" spans="1:10" ht="15" customHeight="1" x14ac:dyDescent="0.3"/>
    <row r="50" spans="1:10" ht="15" customHeight="1" x14ac:dyDescent="0.3">
      <c r="A50" s="73" t="s">
        <v>107</v>
      </c>
      <c r="B50" s="74"/>
      <c r="C50" s="74"/>
      <c r="D50" s="74"/>
      <c r="E50" s="74"/>
      <c r="F50" s="75"/>
    </row>
    <row r="51" spans="1:10" ht="34.950000000000003" customHeight="1" x14ac:dyDescent="0.3">
      <c r="A51" s="10" t="s">
        <v>36</v>
      </c>
      <c r="B51" s="19" t="s">
        <v>1</v>
      </c>
      <c r="C51" s="20" t="s">
        <v>39</v>
      </c>
      <c r="D51" s="20" t="s">
        <v>40</v>
      </c>
      <c r="E51" s="22" t="s">
        <v>41</v>
      </c>
      <c r="F51" s="22" t="s">
        <v>90</v>
      </c>
    </row>
    <row r="52" spans="1:10" ht="15" customHeight="1" x14ac:dyDescent="0.3">
      <c r="A52" s="4" t="s">
        <v>77</v>
      </c>
      <c r="B52" s="5">
        <v>1</v>
      </c>
      <c r="C52" s="26"/>
      <c r="D52" s="26"/>
      <c r="E52" s="27" t="str">
        <f t="shared" ref="E52:E61" si="4">C52&amp;D52</f>
        <v/>
      </c>
      <c r="F52" s="27">
        <f>BIN2DEC(E52)</f>
        <v>0</v>
      </c>
    </row>
    <row r="53" spans="1:10" ht="15" customHeight="1" x14ac:dyDescent="0.3">
      <c r="A53" s="4" t="s">
        <v>78</v>
      </c>
      <c r="B53" s="5">
        <v>1</v>
      </c>
      <c r="C53" s="26"/>
      <c r="D53" s="26"/>
      <c r="E53" s="27" t="str">
        <f t="shared" si="4"/>
        <v/>
      </c>
      <c r="F53" s="27">
        <f t="shared" ref="F53:F61" si="5">BIN2DEC(E53)</f>
        <v>0</v>
      </c>
    </row>
    <row r="54" spans="1:10" ht="15" customHeight="1" x14ac:dyDescent="0.3">
      <c r="A54" s="4" t="s">
        <v>79</v>
      </c>
      <c r="B54" s="5">
        <v>2</v>
      </c>
      <c r="C54" s="26"/>
      <c r="D54" s="26"/>
      <c r="E54" s="27" t="str">
        <f t="shared" si="4"/>
        <v/>
      </c>
      <c r="F54" s="27">
        <f t="shared" si="5"/>
        <v>0</v>
      </c>
    </row>
    <row r="55" spans="1:10" ht="15" customHeight="1" x14ac:dyDescent="0.3">
      <c r="A55" s="4" t="s">
        <v>80</v>
      </c>
      <c r="B55" s="5">
        <v>1</v>
      </c>
      <c r="C55" s="26"/>
      <c r="D55" s="26"/>
      <c r="E55" s="27" t="str">
        <f t="shared" si="4"/>
        <v/>
      </c>
      <c r="F55" s="27">
        <f t="shared" si="5"/>
        <v>0</v>
      </c>
    </row>
    <row r="56" spans="1:10" ht="15" customHeight="1" x14ac:dyDescent="0.3">
      <c r="A56" s="4" t="s">
        <v>81</v>
      </c>
      <c r="B56" s="5">
        <v>2</v>
      </c>
      <c r="C56" s="26"/>
      <c r="D56" s="26"/>
      <c r="E56" s="27" t="str">
        <f t="shared" si="4"/>
        <v/>
      </c>
      <c r="F56" s="27">
        <f t="shared" si="5"/>
        <v>0</v>
      </c>
    </row>
    <row r="57" spans="1:10" ht="15" customHeight="1" x14ac:dyDescent="0.3">
      <c r="A57" s="4" t="s">
        <v>82</v>
      </c>
      <c r="B57" s="5">
        <v>1</v>
      </c>
      <c r="C57" s="26"/>
      <c r="D57" s="26"/>
      <c r="E57" s="27" t="str">
        <f t="shared" si="4"/>
        <v/>
      </c>
      <c r="F57" s="27">
        <f t="shared" si="5"/>
        <v>0</v>
      </c>
    </row>
    <row r="58" spans="1:10" ht="15" customHeight="1" x14ac:dyDescent="0.3">
      <c r="A58" s="4" t="s">
        <v>83</v>
      </c>
      <c r="B58" s="5">
        <v>1</v>
      </c>
      <c r="C58" s="26"/>
      <c r="D58" s="26"/>
      <c r="E58" s="27" t="str">
        <f t="shared" si="4"/>
        <v/>
      </c>
      <c r="F58" s="27">
        <f t="shared" si="5"/>
        <v>0</v>
      </c>
    </row>
    <row r="59" spans="1:10" ht="15" customHeight="1" x14ac:dyDescent="0.3">
      <c r="A59" s="4" t="s">
        <v>84</v>
      </c>
      <c r="B59" s="5">
        <v>1</v>
      </c>
      <c r="C59" s="26"/>
      <c r="D59" s="26"/>
      <c r="E59" s="27" t="str">
        <f t="shared" si="4"/>
        <v/>
      </c>
      <c r="F59" s="27">
        <f t="shared" si="5"/>
        <v>0</v>
      </c>
    </row>
    <row r="60" spans="1:10" ht="15" customHeight="1" x14ac:dyDescent="0.3">
      <c r="A60" s="4" t="s">
        <v>85</v>
      </c>
      <c r="B60" s="5">
        <v>2</v>
      </c>
      <c r="C60" s="26"/>
      <c r="D60" s="26"/>
      <c r="E60" s="27" t="str">
        <f t="shared" si="4"/>
        <v/>
      </c>
      <c r="F60" s="27">
        <f t="shared" si="5"/>
        <v>0</v>
      </c>
    </row>
    <row r="61" spans="1:10" ht="15" customHeight="1" x14ac:dyDescent="0.3">
      <c r="A61" s="4" t="s">
        <v>86</v>
      </c>
      <c r="B61" s="5">
        <v>2</v>
      </c>
      <c r="C61" s="26"/>
      <c r="D61" s="26"/>
      <c r="E61" s="27" t="str">
        <f t="shared" si="4"/>
        <v/>
      </c>
      <c r="F61" s="27">
        <f t="shared" si="5"/>
        <v>0</v>
      </c>
    </row>
    <row r="62" spans="1:10" ht="15" customHeight="1" x14ac:dyDescent="0.3"/>
    <row r="63" spans="1:10" ht="15" customHeight="1" x14ac:dyDescent="0.3"/>
    <row r="64" spans="1:10" ht="15" customHeight="1" x14ac:dyDescent="0.3">
      <c r="A64" s="68" t="s">
        <v>108</v>
      </c>
      <c r="B64" s="68"/>
      <c r="C64" s="68"/>
      <c r="D64" s="68"/>
      <c r="E64" s="68"/>
      <c r="F64" s="68"/>
      <c r="G64" s="68"/>
      <c r="H64" s="68"/>
      <c r="I64" s="68"/>
      <c r="J64" s="68"/>
    </row>
    <row r="65" spans="1:10" ht="49.95" customHeight="1" x14ac:dyDescent="0.3">
      <c r="A65" s="22" t="s">
        <v>46</v>
      </c>
      <c r="B65" s="41" t="s">
        <v>90</v>
      </c>
      <c r="C65" s="23" t="s">
        <v>95</v>
      </c>
      <c r="D65" s="23" t="s">
        <v>96</v>
      </c>
      <c r="E65" s="24" t="s">
        <v>43</v>
      </c>
      <c r="F65" s="25" t="s">
        <v>44</v>
      </c>
      <c r="G65" s="38" t="s">
        <v>101</v>
      </c>
      <c r="H65" s="21" t="s">
        <v>45</v>
      </c>
      <c r="I65" s="34" t="s">
        <v>97</v>
      </c>
      <c r="J65" s="33" t="s">
        <v>98</v>
      </c>
    </row>
    <row r="66" spans="1:10" ht="15" customHeight="1" x14ac:dyDescent="0.3">
      <c r="A66" s="27"/>
      <c r="B66" s="42"/>
      <c r="C66" s="29"/>
      <c r="D66" s="29"/>
      <c r="E66" s="30"/>
      <c r="F66" s="31"/>
      <c r="G66" s="32"/>
      <c r="H66" s="3"/>
      <c r="I66" s="39"/>
      <c r="J66" s="40"/>
    </row>
    <row r="67" spans="1:10" ht="15" customHeight="1" x14ac:dyDescent="0.3">
      <c r="A67" s="27"/>
      <c r="B67" s="42"/>
      <c r="C67" s="29"/>
      <c r="D67" s="29"/>
      <c r="E67" s="30"/>
      <c r="F67" s="31"/>
      <c r="G67" s="32"/>
      <c r="H67" s="3"/>
      <c r="I67" s="39"/>
      <c r="J67" s="40"/>
    </row>
    <row r="68" spans="1:10" ht="15" customHeight="1" x14ac:dyDescent="0.3">
      <c r="A68" s="27"/>
      <c r="B68" s="42"/>
      <c r="C68" s="29"/>
      <c r="D68" s="29"/>
      <c r="E68" s="30"/>
      <c r="F68" s="31"/>
      <c r="G68" s="32"/>
      <c r="H68" s="3"/>
      <c r="I68" s="39"/>
      <c r="J68" s="40"/>
    </row>
    <row r="69" spans="1:10" ht="15" customHeight="1" x14ac:dyDescent="0.3"/>
    <row r="70" spans="1:10" ht="15" customHeight="1" x14ac:dyDescent="0.3"/>
    <row r="71" spans="1:10" ht="15" customHeight="1" thickBot="1" x14ac:dyDescent="0.35"/>
    <row r="72" spans="1:10" ht="15" customHeight="1" thickBot="1" x14ac:dyDescent="0.35">
      <c r="A72" s="69"/>
      <c r="B72" s="70"/>
      <c r="C72" s="70"/>
      <c r="D72" s="70"/>
      <c r="E72" s="70"/>
      <c r="F72" s="70"/>
      <c r="G72" s="70"/>
      <c r="H72" s="70"/>
      <c r="I72" s="70"/>
      <c r="J72" s="71"/>
    </row>
    <row r="73" spans="1:10" ht="15" customHeight="1" x14ac:dyDescent="0.3"/>
    <row r="74" spans="1:10" ht="15" customHeight="1" x14ac:dyDescent="0.3"/>
    <row r="75" spans="1:10" ht="15" customHeight="1" x14ac:dyDescent="0.3"/>
    <row r="76" spans="1:10" ht="15" customHeight="1" x14ac:dyDescent="0.3">
      <c r="A76" s="68" t="s">
        <v>94</v>
      </c>
      <c r="B76" s="68"/>
      <c r="C76" s="68"/>
      <c r="D76" s="68"/>
      <c r="E76" s="68"/>
      <c r="F76" s="68"/>
    </row>
    <row r="77" spans="1:10" ht="49.95" customHeight="1" x14ac:dyDescent="0.3">
      <c r="A77" s="36" t="s">
        <v>89</v>
      </c>
      <c r="B77" s="35" t="s">
        <v>99</v>
      </c>
      <c r="C77" s="22" t="s">
        <v>100</v>
      </c>
      <c r="D77" s="43" t="s">
        <v>102</v>
      </c>
      <c r="E77" s="37" t="s">
        <v>103</v>
      </c>
      <c r="F77" s="34" t="s">
        <v>109</v>
      </c>
    </row>
    <row r="78" spans="1:10" ht="19.95" customHeight="1" x14ac:dyDescent="0.3">
      <c r="A78" s="4" t="s">
        <v>91</v>
      </c>
      <c r="B78" s="46">
        <f>INDEX($F$17:$F$18,MATCH(1,$J$17:$J$18,0))</f>
        <v>1</v>
      </c>
      <c r="C78" s="32" t="str">
        <f>INDEX($A$17:$A$18,MATCH(1,$J$17:$J$18,0))</f>
        <v>11</v>
      </c>
      <c r="D78" s="44">
        <f>INDEX($B$17:$B$18,MATCH(1,$J$17:$J$18,0))</f>
        <v>3</v>
      </c>
      <c r="E78" s="45">
        <f>INDEX($E$17:$E$18,MATCH(1,$J$17:$J$18,0))</f>
        <v>10</v>
      </c>
      <c r="F78" s="47">
        <f>INDEX($G$17:$G$18,MATCH(1,$J$17:$J$18,0))</f>
        <v>0.6</v>
      </c>
    </row>
    <row r="79" spans="1:10" ht="19.95" customHeight="1" x14ac:dyDescent="0.3">
      <c r="A79" s="4" t="s">
        <v>92</v>
      </c>
      <c r="B79" s="46">
        <f>INDEX($F$41:$F$43,MATCH(1,$J$41:$J$43,0))</f>
        <v>2</v>
      </c>
      <c r="C79" s="32" t="str">
        <f>INDEX($A$41:$A$43,MATCH(1,$J$41:$J$43,0))</f>
        <v>01</v>
      </c>
      <c r="D79" s="44">
        <f>INDEX($B$41:$B$43,MATCH(1,$J$41:$J$43,0))</f>
        <v>1</v>
      </c>
      <c r="E79" s="45">
        <f>INDEX($E$41:$E$43,MATCH(1,$J$41:$J$43,0))</f>
        <v>1</v>
      </c>
      <c r="F79" s="47">
        <f>INDEX($G$41:$G$43,MATCH(1,$J$41:$J$43,0))</f>
        <v>1</v>
      </c>
    </row>
    <row r="80" spans="1:10" ht="19.95" customHeight="1" x14ac:dyDescent="0.3">
      <c r="A80" s="4" t="s">
        <v>93</v>
      </c>
      <c r="B80" s="46"/>
      <c r="C80" s="32"/>
      <c r="D80" s="44"/>
      <c r="E80" s="45"/>
      <c r="F80" s="47"/>
    </row>
    <row r="81" ht="15" customHeight="1" x14ac:dyDescent="0.3"/>
    <row r="82" ht="15" customHeight="1" x14ac:dyDescent="0.3"/>
    <row r="83" ht="15" customHeight="1" x14ac:dyDescent="0.3"/>
    <row r="84" ht="15" customHeight="1" x14ac:dyDescent="0.3"/>
    <row r="85" ht="15" customHeight="1" x14ac:dyDescent="0.3"/>
    <row r="86" ht="15" customHeight="1" x14ac:dyDescent="0.3"/>
    <row r="87" ht="15" customHeight="1" x14ac:dyDescent="0.3"/>
    <row r="88" ht="15" customHeight="1" x14ac:dyDescent="0.3"/>
    <row r="89" ht="15" customHeight="1" x14ac:dyDescent="0.3"/>
    <row r="90" ht="15" customHeight="1" x14ac:dyDescent="0.3"/>
    <row r="91" ht="15" customHeight="1" x14ac:dyDescent="0.3"/>
    <row r="92" ht="15" customHeight="1" x14ac:dyDescent="0.3"/>
    <row r="93" ht="15" customHeight="1" x14ac:dyDescent="0.3"/>
    <row r="94" ht="15" customHeight="1" x14ac:dyDescent="0.3"/>
    <row r="95" ht="15" customHeight="1" x14ac:dyDescent="0.3"/>
    <row r="96" ht="15" customHeight="1" x14ac:dyDescent="0.3"/>
    <row r="97" ht="15" customHeight="1" x14ac:dyDescent="0.3"/>
    <row r="98" ht="15" customHeight="1" x14ac:dyDescent="0.3"/>
    <row r="99" ht="15" customHeight="1" x14ac:dyDescent="0.3"/>
    <row r="100" ht="15" customHeight="1" x14ac:dyDescent="0.3"/>
  </sheetData>
  <mergeCells count="8">
    <mergeCell ref="A1:F1"/>
    <mergeCell ref="A25:F25"/>
    <mergeCell ref="A50:F50"/>
    <mergeCell ref="A15:J15"/>
    <mergeCell ref="A76:F76"/>
    <mergeCell ref="A72:J72"/>
    <mergeCell ref="A39:J39"/>
    <mergeCell ref="A64:J64"/>
  </mergeCells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1FBFF-EF81-4048-8D26-E3310E59516B}">
  <dimension ref="A1:L42"/>
  <sheetViews>
    <sheetView tabSelected="1" topLeftCell="A22" workbookViewId="0">
      <selection activeCell="G50" sqref="G50"/>
    </sheetView>
  </sheetViews>
  <sheetFormatPr defaultRowHeight="14.4" x14ac:dyDescent="0.3"/>
  <cols>
    <col min="1" max="9" width="10.77734375" customWidth="1"/>
    <col min="10" max="12" width="8.77734375" customWidth="1"/>
  </cols>
  <sheetData>
    <row r="1" spans="1:6" ht="15.6" x14ac:dyDescent="0.3">
      <c r="A1" s="68" t="s">
        <v>88</v>
      </c>
      <c r="B1" s="68"/>
      <c r="C1" s="68"/>
      <c r="D1" s="68"/>
    </row>
    <row r="2" spans="1:6" ht="15.6" x14ac:dyDescent="0.3">
      <c r="A2" s="10" t="s">
        <v>36</v>
      </c>
      <c r="B2" s="19" t="s">
        <v>1</v>
      </c>
      <c r="C2" s="20" t="s">
        <v>39</v>
      </c>
      <c r="D2" s="20" t="s">
        <v>40</v>
      </c>
    </row>
    <row r="3" spans="1:6" ht="15.6" x14ac:dyDescent="0.3">
      <c r="A3" s="4" t="s">
        <v>77</v>
      </c>
      <c r="B3" s="5">
        <v>1</v>
      </c>
      <c r="C3" s="26">
        <v>1</v>
      </c>
      <c r="D3" s="26">
        <v>1</v>
      </c>
    </row>
    <row r="4" spans="1:6" ht="15.6" x14ac:dyDescent="0.3">
      <c r="A4" s="4" t="s">
        <v>78</v>
      </c>
      <c r="B4" s="5">
        <v>1</v>
      </c>
      <c r="C4" s="26">
        <v>1</v>
      </c>
      <c r="D4" s="26">
        <v>1</v>
      </c>
    </row>
    <row r="5" spans="1:6" ht="15.6" x14ac:dyDescent="0.3">
      <c r="A5" s="4" t="s">
        <v>79</v>
      </c>
      <c r="B5" s="5">
        <v>2</v>
      </c>
      <c r="C5" s="26">
        <v>1</v>
      </c>
      <c r="D5" s="26">
        <v>1</v>
      </c>
    </row>
    <row r="6" spans="1:6" ht="15.6" x14ac:dyDescent="0.3">
      <c r="A6" s="4" t="s">
        <v>80</v>
      </c>
      <c r="B6" s="5">
        <v>1</v>
      </c>
      <c r="C6" s="26">
        <v>1</v>
      </c>
      <c r="D6" s="26">
        <v>1</v>
      </c>
    </row>
    <row r="7" spans="1:6" ht="15.6" x14ac:dyDescent="0.3">
      <c r="A7" s="4" t="s">
        <v>81</v>
      </c>
      <c r="B7" s="5">
        <v>2</v>
      </c>
      <c r="C7" s="26">
        <v>1</v>
      </c>
      <c r="D7" s="26">
        <v>1</v>
      </c>
    </row>
    <row r="8" spans="1:6" ht="15.6" x14ac:dyDescent="0.3">
      <c r="A8" s="4" t="s">
        <v>82</v>
      </c>
      <c r="B8" s="5">
        <v>1</v>
      </c>
      <c r="C8" s="26">
        <v>1</v>
      </c>
      <c r="D8" s="26">
        <v>1</v>
      </c>
    </row>
    <row r="9" spans="1:6" ht="15.6" x14ac:dyDescent="0.3">
      <c r="A9" s="4" t="s">
        <v>83</v>
      </c>
      <c r="B9" s="5">
        <v>1</v>
      </c>
      <c r="C9" s="26">
        <v>1</v>
      </c>
      <c r="D9" s="26">
        <v>1</v>
      </c>
    </row>
    <row r="10" spans="1:6" ht="15.6" x14ac:dyDescent="0.3">
      <c r="A10" s="4" t="s">
        <v>84</v>
      </c>
      <c r="B10" s="5">
        <v>1</v>
      </c>
      <c r="C10" s="26">
        <v>1</v>
      </c>
      <c r="D10" s="26">
        <v>1</v>
      </c>
    </row>
    <row r="11" spans="1:6" ht="15.6" x14ac:dyDescent="0.3">
      <c r="A11" s="4" t="s">
        <v>85</v>
      </c>
      <c r="B11" s="5">
        <v>2</v>
      </c>
      <c r="C11" s="26">
        <v>1</v>
      </c>
      <c r="D11" s="26">
        <v>1</v>
      </c>
    </row>
    <row r="12" spans="1:6" ht="15.6" x14ac:dyDescent="0.3">
      <c r="A12" s="4" t="s">
        <v>86</v>
      </c>
      <c r="B12" s="5">
        <v>2</v>
      </c>
      <c r="C12" s="26">
        <v>1</v>
      </c>
      <c r="D12" s="26">
        <v>1</v>
      </c>
    </row>
    <row r="16" spans="1:6" ht="15.6" x14ac:dyDescent="0.3">
      <c r="A16" s="73" t="s">
        <v>88</v>
      </c>
      <c r="B16" s="74"/>
      <c r="C16" s="74"/>
      <c r="D16" s="74"/>
      <c r="E16" s="74"/>
      <c r="F16" s="75"/>
    </row>
    <row r="17" spans="1:12" ht="31.2" x14ac:dyDescent="0.3">
      <c r="A17" s="10" t="s">
        <v>36</v>
      </c>
      <c r="B17" s="19" t="s">
        <v>1</v>
      </c>
      <c r="C17" s="22" t="s">
        <v>116</v>
      </c>
      <c r="D17" s="22" t="s">
        <v>117</v>
      </c>
      <c r="E17" s="22" t="s">
        <v>119</v>
      </c>
      <c r="F17" s="22" t="s">
        <v>118</v>
      </c>
    </row>
    <row r="18" spans="1:12" ht="15.6" x14ac:dyDescent="0.3">
      <c r="A18" s="4" t="s">
        <v>77</v>
      </c>
      <c r="B18" s="5">
        <v>1</v>
      </c>
      <c r="C18" s="27">
        <f>C3</f>
        <v>1</v>
      </c>
      <c r="D18" s="27">
        <f>BIN2DEC(C18)</f>
        <v>1</v>
      </c>
      <c r="E18" s="27" t="str">
        <f>C3&amp;D3</f>
        <v>11</v>
      </c>
      <c r="F18" s="27">
        <f>BIN2DEC(E18)</f>
        <v>3</v>
      </c>
    </row>
    <row r="19" spans="1:12" ht="15.6" x14ac:dyDescent="0.3">
      <c r="A19" s="4" t="s">
        <v>78</v>
      </c>
      <c r="B19" s="5">
        <v>1</v>
      </c>
      <c r="C19" s="27">
        <f t="shared" ref="C19:C27" si="0">C4</f>
        <v>1</v>
      </c>
      <c r="D19" s="27">
        <f t="shared" ref="D19:D27" si="1">BIN2DEC(C19)</f>
        <v>1</v>
      </c>
      <c r="E19" s="27" t="str">
        <f t="shared" ref="E19:E27" si="2">C4&amp;D4</f>
        <v>11</v>
      </c>
      <c r="F19" s="27">
        <f t="shared" ref="F19:F27" si="3">BIN2DEC(E19)</f>
        <v>3</v>
      </c>
    </row>
    <row r="20" spans="1:12" ht="15.6" x14ac:dyDescent="0.3">
      <c r="A20" s="4" t="s">
        <v>79</v>
      </c>
      <c r="B20" s="5">
        <v>2</v>
      </c>
      <c r="C20" s="27">
        <f t="shared" si="0"/>
        <v>1</v>
      </c>
      <c r="D20" s="27">
        <f t="shared" si="1"/>
        <v>1</v>
      </c>
      <c r="E20" s="27" t="str">
        <f t="shared" si="2"/>
        <v>11</v>
      </c>
      <c r="F20" s="27">
        <f t="shared" si="3"/>
        <v>3</v>
      </c>
    </row>
    <row r="21" spans="1:12" ht="15.6" x14ac:dyDescent="0.3">
      <c r="A21" s="4" t="s">
        <v>80</v>
      </c>
      <c r="B21" s="5">
        <v>1</v>
      </c>
      <c r="C21" s="27">
        <f t="shared" si="0"/>
        <v>1</v>
      </c>
      <c r="D21" s="27">
        <f t="shared" si="1"/>
        <v>1</v>
      </c>
      <c r="E21" s="27" t="str">
        <f>C6&amp;D6</f>
        <v>11</v>
      </c>
      <c r="F21" s="27">
        <f t="shared" si="3"/>
        <v>3</v>
      </c>
    </row>
    <row r="22" spans="1:12" ht="15.6" x14ac:dyDescent="0.3">
      <c r="A22" s="4" t="s">
        <v>81</v>
      </c>
      <c r="B22" s="5">
        <v>2</v>
      </c>
      <c r="C22" s="27">
        <f t="shared" si="0"/>
        <v>1</v>
      </c>
      <c r="D22" s="27">
        <f t="shared" si="1"/>
        <v>1</v>
      </c>
      <c r="E22" s="27" t="str">
        <f t="shared" si="2"/>
        <v>11</v>
      </c>
      <c r="F22" s="27">
        <f>BIN2DEC(E22)</f>
        <v>3</v>
      </c>
    </row>
    <row r="23" spans="1:12" ht="15.6" x14ac:dyDescent="0.3">
      <c r="A23" s="4" t="s">
        <v>82</v>
      </c>
      <c r="B23" s="5">
        <v>1</v>
      </c>
      <c r="C23" s="27">
        <f>C8</f>
        <v>1</v>
      </c>
      <c r="D23" s="27">
        <f>BIN2DEC(C23)</f>
        <v>1</v>
      </c>
      <c r="E23" s="27" t="str">
        <f t="shared" si="2"/>
        <v>11</v>
      </c>
      <c r="F23" s="27">
        <f t="shared" si="3"/>
        <v>3</v>
      </c>
    </row>
    <row r="24" spans="1:12" ht="15.6" x14ac:dyDescent="0.3">
      <c r="A24" s="4" t="s">
        <v>83</v>
      </c>
      <c r="B24" s="5">
        <v>1</v>
      </c>
      <c r="C24" s="27">
        <f t="shared" si="0"/>
        <v>1</v>
      </c>
      <c r="D24" s="27">
        <f t="shared" si="1"/>
        <v>1</v>
      </c>
      <c r="E24" s="27" t="str">
        <f>C9&amp;D9</f>
        <v>11</v>
      </c>
      <c r="F24" s="27">
        <f t="shared" si="3"/>
        <v>3</v>
      </c>
    </row>
    <row r="25" spans="1:12" ht="15.6" x14ac:dyDescent="0.3">
      <c r="A25" s="4" t="s">
        <v>84</v>
      </c>
      <c r="B25" s="5">
        <v>1</v>
      </c>
      <c r="C25" s="27">
        <f t="shared" si="0"/>
        <v>1</v>
      </c>
      <c r="D25" s="27">
        <f t="shared" si="1"/>
        <v>1</v>
      </c>
      <c r="E25" s="27" t="str">
        <f t="shared" si="2"/>
        <v>11</v>
      </c>
      <c r="F25" s="27">
        <f t="shared" si="3"/>
        <v>3</v>
      </c>
    </row>
    <row r="26" spans="1:12" ht="15.6" x14ac:dyDescent="0.3">
      <c r="A26" s="4" t="s">
        <v>85</v>
      </c>
      <c r="B26" s="5">
        <v>2</v>
      </c>
      <c r="C26" s="27">
        <f t="shared" si="0"/>
        <v>1</v>
      </c>
      <c r="D26" s="27">
        <f t="shared" si="1"/>
        <v>1</v>
      </c>
      <c r="E26" s="27" t="str">
        <f t="shared" si="2"/>
        <v>11</v>
      </c>
      <c r="F26" s="27">
        <f t="shared" si="3"/>
        <v>3</v>
      </c>
    </row>
    <row r="27" spans="1:12" ht="15.6" x14ac:dyDescent="0.3">
      <c r="A27" s="4" t="s">
        <v>86</v>
      </c>
      <c r="B27" s="5">
        <v>2</v>
      </c>
      <c r="C27" s="27">
        <f t="shared" si="0"/>
        <v>1</v>
      </c>
      <c r="D27" s="27">
        <f t="shared" si="1"/>
        <v>1</v>
      </c>
      <c r="E27" s="27" t="str">
        <f t="shared" si="2"/>
        <v>11</v>
      </c>
      <c r="F27" s="27">
        <f t="shared" si="3"/>
        <v>3</v>
      </c>
    </row>
    <row r="30" spans="1:12" ht="15" thickBot="1" x14ac:dyDescent="0.3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4" spans="1:12" ht="15.6" x14ac:dyDescent="0.3">
      <c r="A34" s="68" t="s">
        <v>120</v>
      </c>
      <c r="B34" s="68"/>
      <c r="C34" s="68"/>
      <c r="D34" s="68"/>
      <c r="E34" s="68"/>
      <c r="F34" s="68"/>
      <c r="G34" s="68"/>
      <c r="H34" s="68"/>
    </row>
    <row r="35" spans="1:12" ht="19.95" customHeight="1" x14ac:dyDescent="0.3">
      <c r="A35" s="22"/>
      <c r="B35" s="22"/>
      <c r="C35" s="22"/>
      <c r="D35" s="22"/>
      <c r="E35" s="23"/>
      <c r="F35" s="50"/>
    </row>
    <row r="36" spans="1:12" ht="15.6" customHeight="1" x14ac:dyDescent="0.3">
      <c r="A36" s="51" cm="1">
        <f t="array" ref="A36">_xlfn._xlws.SORT(_xlfn.UNIQUE($D$18:$D$27))</f>
        <v>1</v>
      </c>
      <c r="B36" s="51">
        <f>COUNTIFS($D$18:$D$27,$A36,$B$18:$B$27,1)</f>
        <v>6</v>
      </c>
      <c r="C36" s="51">
        <f>COUNTIFS($D$18:$D$27,$A36,$B$18:$B$27,2)</f>
        <v>4</v>
      </c>
      <c r="D36" s="51">
        <f>B36+C36</f>
        <v>10</v>
      </c>
      <c r="E36" s="52">
        <f>IF(D36=0,"",(B36/COUNTIF($B$18:$B$27,1))/((B36/COUNTIF($B$18:$B$27,1))+(C36/COUNTIF($B$18:$B$27,2))))</f>
        <v>0.5</v>
      </c>
      <c r="F36" s="51" t="str">
        <f>IF(E36="","",IF(E36&gt;0.5,"Closer to K1",IF(E36&lt;0.5,"Closer to K2","Neutral")))</f>
        <v>Neutral</v>
      </c>
      <c r="H36" s="53"/>
      <c r="I36" s="54">
        <f>IF(D36=0,"",IF(E36&gt;=0.5,D36*E36/COUNT($B$18:$B$27),D36*(1-E36)/COUNT($B$18:$B$27)))</f>
        <v>0.5</v>
      </c>
      <c r="J36" s="99" t="str">
        <f>IF(I36&lt;=0.5,"(Not distinguishable)",IF(I36&lt;=0.6,"(Poor stability)",IF(I36&lt;=0.8,"(Satisfactory)","(High)")))</f>
        <v>(Not distinguishable)</v>
      </c>
      <c r="K36" s="99"/>
      <c r="L36" s="99"/>
    </row>
    <row r="39" spans="1:12" ht="15.6" customHeight="1" x14ac:dyDescent="0.3"/>
    <row r="40" spans="1:12" ht="15.6" x14ac:dyDescent="0.3">
      <c r="A40" s="68" t="s">
        <v>121</v>
      </c>
      <c r="B40" s="68"/>
      <c r="C40" s="68"/>
      <c r="D40" s="68"/>
      <c r="E40" s="68"/>
      <c r="F40" s="68"/>
      <c r="G40" s="68"/>
      <c r="H40" s="68"/>
    </row>
    <row r="41" spans="1:12" ht="19.95" customHeight="1" x14ac:dyDescent="0.3">
      <c r="A41" s="22"/>
      <c r="B41" s="22"/>
      <c r="C41" s="22"/>
      <c r="D41" s="22"/>
      <c r="E41" s="23"/>
      <c r="F41" s="50"/>
    </row>
    <row r="42" spans="1:12" ht="18" x14ac:dyDescent="0.3">
      <c r="A42" s="51" cm="1">
        <f t="array" ref="A42">_xlfn._xlws.SORT(_xlfn.UNIQUE($F$18:$F$27))</f>
        <v>3</v>
      </c>
      <c r="B42" s="51">
        <f>COUNTIFS($F$18:$F$27,$A42,$B$18:$B$27,1)</f>
        <v>6</v>
      </c>
      <c r="C42" s="51">
        <f>COUNTIFS($F$18:$F$27,$A42,$B$18:$B$27,2)</f>
        <v>4</v>
      </c>
      <c r="D42" s="51">
        <f>B42+C42</f>
        <v>10</v>
      </c>
      <c r="E42" s="52">
        <f>IF(D42=0,"",(B42/COUNTIF($B$18:$B$27,1))/((B42/COUNTIF($B$18:$B$27,1))+(C42/COUNTIF($B$18:$B$27,2))))</f>
        <v>0.5</v>
      </c>
      <c r="F42" s="51" t="str">
        <f>IF(E42="","",IF(E42&gt;0.5,"Closer to K1",IF(E42&lt;0.5,"Closer to K2","Neutral")))</f>
        <v>Neutral</v>
      </c>
      <c r="H42" s="53"/>
      <c r="I42" s="54">
        <f>IF(D42=0,"",IF(E42&gt;=0.5,D42*E42/COUNT($B$18:$B$27),D42*(1-E42)/COUNT($B$18:$B$27)))</f>
        <v>0.5</v>
      </c>
      <c r="J42" s="99" t="str">
        <f>IF(I42&lt;=0.5,"(Not distinguishable)",IF(I42&lt;=0.6,"(Poor stability)",IF(I42&lt;=0.8,"(Satisfactory)","(High)")))</f>
        <v>(Not distinguishable)</v>
      </c>
      <c r="K42" s="99"/>
      <c r="L42" s="99"/>
    </row>
  </sheetData>
  <mergeCells count="6">
    <mergeCell ref="J36:L36"/>
    <mergeCell ref="J42:L42"/>
    <mergeCell ref="A40:H40"/>
    <mergeCell ref="A16:F16"/>
    <mergeCell ref="A1:D1"/>
    <mergeCell ref="A34:H34"/>
  </mergeCells>
  <pageMargins left="0.7" right="0.7" top="0.75" bottom="0.75" header="0.3" footer="0.3"/>
  <pageSetup orientation="portrait" horizontalDpi="0" verticalDpi="0" r:id="rId1"/>
  <ignoredErrors>
    <ignoredError sqref="E18:E24 E25:E27" 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B5E42-7029-44CE-A7CF-62A53A63838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Dataset</vt:lpstr>
      <vt:lpstr>Normalized_Dataset</vt:lpstr>
      <vt:lpstr>Distance_Matrix</vt:lpstr>
      <vt:lpstr>Metrics_Neighbors &amp; A(S)</vt:lpstr>
      <vt:lpstr>Binary_Matrix (b(S))</vt:lpstr>
      <vt:lpstr>Binary_Sequence_Statistics</vt:lpstr>
      <vt:lpstr>Stability</vt:lpstr>
      <vt:lpstr>Dominant Metric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2026-06-15T11:09:48Z</dcterms:modified>
</cp:coreProperties>
</file>