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hD\CODING\SyntheticBitSequenceMajorityRule\resources\Experiments\"/>
    </mc:Choice>
  </mc:AlternateContent>
  <xr:revisionPtr revIDLastSave="0" documentId="13_ncr:1_{A950FB41-F589-4595-AE84-163201E9E9A2}" xr6:coauthVersionLast="47" xr6:coauthVersionMax="47" xr10:uidLastSave="{00000000-0000-0000-0000-000000000000}"/>
  <bookViews>
    <workbookView xWindow="-108" yWindow="-108" windowWidth="23256" windowHeight="13176" firstSheet="4" activeTab="10" xr2:uid="{00000000-000D-0000-FFFF-FFFF00000000}"/>
  </bookViews>
  <sheets>
    <sheet name="Dataset" sheetId="1" r:id="rId1"/>
    <sheet name="Distances" sheetId="2" r:id="rId2"/>
    <sheet name="Neighbors" sheetId="3" r:id="rId3"/>
    <sheet name="Majority A-B" sheetId="4" r:id="rId4"/>
    <sheet name="Statistics" sheetId="5" r:id="rId5"/>
    <sheet name="Membership" sheetId="6" r:id="rId6"/>
    <sheet name="Stability" sheetId="7" r:id="rId7"/>
    <sheet name="Stability Plot" sheetId="8" r:id="rId8"/>
    <sheet name="Synthetic Features Space" sheetId="9" r:id="rId9"/>
    <sheet name="Meta Objects" sheetId="10" r:id="rId10"/>
    <sheet name="Final Comparis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1" l="1"/>
  <c r="D13" i="11" s="1"/>
  <c r="E12" i="11"/>
  <c r="D12" i="11"/>
  <c r="E11" i="11"/>
  <c r="D11" i="11"/>
  <c r="E9" i="11"/>
  <c r="D9" i="11"/>
  <c r="E8" i="11"/>
  <c r="D8" i="11"/>
  <c r="E6" i="11"/>
  <c r="D6" i="11" s="1"/>
  <c r="B33" i="10"/>
  <c r="B32" i="10"/>
  <c r="C26" i="10"/>
  <c r="C25" i="10"/>
  <c r="C24" i="10"/>
  <c r="C23" i="10"/>
  <c r="C22" i="10"/>
  <c r="B35" i="10" s="1"/>
  <c r="C21" i="10"/>
  <c r="B34" i="10" s="1"/>
  <c r="C20" i="10"/>
  <c r="C19" i="10"/>
  <c r="D49" i="7"/>
  <c r="D48" i="7"/>
  <c r="C48" i="7"/>
  <c r="D43" i="7"/>
  <c r="D42" i="7"/>
  <c r="C42" i="7"/>
  <c r="D37" i="7"/>
  <c r="D36" i="7"/>
  <c r="C36" i="7"/>
  <c r="D31" i="7"/>
  <c r="D30" i="7"/>
  <c r="C30" i="7"/>
  <c r="D25" i="7"/>
  <c r="D24" i="7"/>
  <c r="C24" i="7"/>
  <c r="D19" i="7"/>
  <c r="D18" i="7"/>
  <c r="C18" i="7"/>
  <c r="D13" i="7"/>
  <c r="D12" i="7"/>
  <c r="C12" i="7"/>
  <c r="D7" i="7"/>
  <c r="D6" i="7"/>
  <c r="C6" i="7"/>
  <c r="D52" i="6"/>
  <c r="D51" i="6"/>
  <c r="C51" i="6"/>
  <c r="D46" i="6"/>
  <c r="D45" i="6"/>
  <c r="D44" i="6"/>
  <c r="C44" i="6"/>
  <c r="D39" i="6"/>
  <c r="D38" i="6"/>
  <c r="C38" i="6"/>
  <c r="D33" i="6"/>
  <c r="D32" i="6"/>
  <c r="C32" i="6"/>
  <c r="D27" i="6"/>
  <c r="D26" i="6"/>
  <c r="C26" i="6"/>
  <c r="D21" i="6"/>
  <c r="D20" i="6"/>
  <c r="C20" i="6"/>
  <c r="D15" i="6"/>
  <c r="D14" i="6"/>
  <c r="D13" i="6"/>
  <c r="C13" i="6"/>
  <c r="D12" i="6"/>
  <c r="C12" i="6"/>
  <c r="D7" i="6"/>
  <c r="D6" i="6"/>
  <c r="C6" i="6"/>
  <c r="B43" i="5"/>
  <c r="B38" i="5"/>
  <c r="B37" i="5"/>
  <c r="B32" i="5"/>
  <c r="B27" i="5"/>
  <c r="B22" i="5"/>
  <c r="B17" i="5"/>
  <c r="B12" i="5"/>
  <c r="B11" i="5"/>
  <c r="B6" i="5"/>
  <c r="K330" i="4"/>
  <c r="J330" i="4"/>
  <c r="I330" i="4"/>
  <c r="H330" i="4"/>
  <c r="G330" i="4"/>
  <c r="F330" i="4"/>
  <c r="E330" i="4"/>
  <c r="D330" i="4"/>
  <c r="C330" i="4"/>
  <c r="C345" i="4" s="1"/>
  <c r="C360" i="4" s="1"/>
  <c r="K329" i="4"/>
  <c r="J329" i="4"/>
  <c r="I329" i="4"/>
  <c r="H329" i="4"/>
  <c r="G329" i="4"/>
  <c r="F329" i="4"/>
  <c r="E329" i="4"/>
  <c r="D329" i="4"/>
  <c r="C329" i="4"/>
  <c r="K328" i="4"/>
  <c r="J328" i="4"/>
  <c r="I328" i="4"/>
  <c r="H328" i="4"/>
  <c r="G328" i="4"/>
  <c r="F328" i="4"/>
  <c r="E328" i="4"/>
  <c r="D328" i="4"/>
  <c r="C328" i="4"/>
  <c r="K327" i="4"/>
  <c r="J327" i="4"/>
  <c r="I327" i="4"/>
  <c r="H327" i="4"/>
  <c r="G327" i="4"/>
  <c r="F327" i="4"/>
  <c r="E327" i="4"/>
  <c r="D327" i="4"/>
  <c r="C327" i="4"/>
  <c r="K326" i="4"/>
  <c r="J326" i="4"/>
  <c r="I326" i="4"/>
  <c r="H326" i="4"/>
  <c r="G326" i="4"/>
  <c r="F326" i="4"/>
  <c r="E326" i="4"/>
  <c r="D326" i="4"/>
  <c r="C326" i="4"/>
  <c r="K325" i="4"/>
  <c r="J325" i="4"/>
  <c r="I325" i="4"/>
  <c r="H325" i="4"/>
  <c r="G325" i="4"/>
  <c r="F325" i="4"/>
  <c r="E325" i="4"/>
  <c r="D325" i="4"/>
  <c r="C325" i="4"/>
  <c r="K324" i="4"/>
  <c r="J324" i="4"/>
  <c r="I324" i="4"/>
  <c r="H324" i="4"/>
  <c r="G324" i="4"/>
  <c r="F324" i="4"/>
  <c r="E324" i="4"/>
  <c r="D324" i="4"/>
  <c r="C324" i="4"/>
  <c r="K323" i="4"/>
  <c r="J323" i="4"/>
  <c r="I323" i="4"/>
  <c r="H323" i="4"/>
  <c r="G323" i="4"/>
  <c r="F323" i="4"/>
  <c r="E323" i="4"/>
  <c r="D323" i="4"/>
  <c r="C323" i="4"/>
  <c r="K322" i="4"/>
  <c r="J322" i="4"/>
  <c r="I322" i="4"/>
  <c r="H322" i="4"/>
  <c r="G322" i="4"/>
  <c r="F322" i="4"/>
  <c r="E322" i="4"/>
  <c r="D322" i="4"/>
  <c r="C322" i="4"/>
  <c r="K321" i="4"/>
  <c r="J321" i="4"/>
  <c r="I321" i="4"/>
  <c r="H321" i="4"/>
  <c r="G321" i="4"/>
  <c r="F321" i="4"/>
  <c r="E321" i="4"/>
  <c r="D321" i="4"/>
  <c r="C321" i="4"/>
  <c r="C311" i="4"/>
  <c r="D307" i="4"/>
  <c r="F300" i="4"/>
  <c r="F315" i="4" s="1"/>
  <c r="D300" i="4"/>
  <c r="D315" i="4" s="1"/>
  <c r="D299" i="4"/>
  <c r="D314" i="4" s="1"/>
  <c r="G297" i="4"/>
  <c r="G312" i="4" s="1"/>
  <c r="L312" i="4" s="1"/>
  <c r="F297" i="4"/>
  <c r="F312" i="4" s="1"/>
  <c r="D296" i="4"/>
  <c r="D311" i="4" s="1"/>
  <c r="C296" i="4"/>
  <c r="G295" i="4"/>
  <c r="G292" i="4"/>
  <c r="D292" i="4"/>
  <c r="G291" i="4"/>
  <c r="L291" i="4" s="1"/>
  <c r="C291" i="4"/>
  <c r="C306" i="4" s="1"/>
  <c r="K285" i="4"/>
  <c r="J285" i="4"/>
  <c r="I285" i="4"/>
  <c r="H285" i="4"/>
  <c r="G285" i="4"/>
  <c r="F285" i="4"/>
  <c r="E285" i="4"/>
  <c r="D285" i="4"/>
  <c r="C285" i="4"/>
  <c r="C300" i="4" s="1"/>
  <c r="C315" i="4" s="1"/>
  <c r="K284" i="4"/>
  <c r="J284" i="4"/>
  <c r="I284" i="4"/>
  <c r="H284" i="4"/>
  <c r="G284" i="4"/>
  <c r="F284" i="4"/>
  <c r="E284" i="4"/>
  <c r="D284" i="4"/>
  <c r="C284" i="4"/>
  <c r="K283" i="4"/>
  <c r="J283" i="4"/>
  <c r="I283" i="4"/>
  <c r="H283" i="4"/>
  <c r="G283" i="4"/>
  <c r="F283" i="4"/>
  <c r="E283" i="4"/>
  <c r="D283" i="4"/>
  <c r="C283" i="4"/>
  <c r="K282" i="4"/>
  <c r="J282" i="4"/>
  <c r="I282" i="4"/>
  <c r="H282" i="4"/>
  <c r="G282" i="4"/>
  <c r="F282" i="4"/>
  <c r="E282" i="4"/>
  <c r="D282" i="4"/>
  <c r="C282" i="4"/>
  <c r="K281" i="4"/>
  <c r="J281" i="4"/>
  <c r="I281" i="4"/>
  <c r="H281" i="4"/>
  <c r="G281" i="4"/>
  <c r="F281" i="4"/>
  <c r="E281" i="4"/>
  <c r="D281" i="4"/>
  <c r="C281" i="4"/>
  <c r="K280" i="4"/>
  <c r="J280" i="4"/>
  <c r="I280" i="4"/>
  <c r="H280" i="4"/>
  <c r="G280" i="4"/>
  <c r="F280" i="4"/>
  <c r="E280" i="4"/>
  <c r="D280" i="4"/>
  <c r="C280" i="4"/>
  <c r="K279" i="4"/>
  <c r="J279" i="4"/>
  <c r="I279" i="4"/>
  <c r="H279" i="4"/>
  <c r="G279" i="4"/>
  <c r="F279" i="4"/>
  <c r="E279" i="4"/>
  <c r="D279" i="4"/>
  <c r="C279" i="4"/>
  <c r="K278" i="4"/>
  <c r="J278" i="4"/>
  <c r="I278" i="4"/>
  <c r="H278" i="4"/>
  <c r="G278" i="4"/>
  <c r="F278" i="4"/>
  <c r="E278" i="4"/>
  <c r="D278" i="4"/>
  <c r="C278" i="4"/>
  <c r="C293" i="4" s="1"/>
  <c r="C308" i="4" s="1"/>
  <c r="K277" i="4"/>
  <c r="J277" i="4"/>
  <c r="I277" i="4"/>
  <c r="H277" i="4"/>
  <c r="G277" i="4"/>
  <c r="F277" i="4"/>
  <c r="E277" i="4"/>
  <c r="D277" i="4"/>
  <c r="C277" i="4"/>
  <c r="K276" i="4"/>
  <c r="J276" i="4"/>
  <c r="I276" i="4"/>
  <c r="H276" i="4"/>
  <c r="G276" i="4"/>
  <c r="F276" i="4"/>
  <c r="E276" i="4"/>
  <c r="D276" i="4"/>
  <c r="C276" i="4"/>
  <c r="C270" i="4"/>
  <c r="E267" i="4"/>
  <c r="K267" i="4" s="1"/>
  <c r="C266" i="4"/>
  <c r="G263" i="4"/>
  <c r="L263" i="4" s="1"/>
  <c r="D262" i="4"/>
  <c r="E254" i="4"/>
  <c r="D254" i="4"/>
  <c r="D269" i="4" s="1"/>
  <c r="F252" i="4"/>
  <c r="F267" i="4" s="1"/>
  <c r="E252" i="4"/>
  <c r="K252" i="4" s="1"/>
  <c r="D252" i="4"/>
  <c r="D267" i="4" s="1"/>
  <c r="C252" i="4"/>
  <c r="C267" i="4" s="1"/>
  <c r="C251" i="4"/>
  <c r="L248" i="4"/>
  <c r="F248" i="4"/>
  <c r="F263" i="4" s="1"/>
  <c r="D247" i="4"/>
  <c r="C247" i="4"/>
  <c r="C262" i="4" s="1"/>
  <c r="K240" i="4"/>
  <c r="J240" i="4"/>
  <c r="I240" i="4"/>
  <c r="H240" i="4"/>
  <c r="G240" i="4"/>
  <c r="F240" i="4"/>
  <c r="E240" i="4"/>
  <c r="D240" i="4"/>
  <c r="C240" i="4"/>
  <c r="C255" i="4" s="1"/>
  <c r="K239" i="4"/>
  <c r="J239" i="4"/>
  <c r="I239" i="4"/>
  <c r="H239" i="4"/>
  <c r="G239" i="4"/>
  <c r="F239" i="4"/>
  <c r="E239" i="4"/>
  <c r="D239" i="4"/>
  <c r="C239" i="4"/>
  <c r="K238" i="4"/>
  <c r="J238" i="4"/>
  <c r="I238" i="4"/>
  <c r="H238" i="4"/>
  <c r="G238" i="4"/>
  <c r="F238" i="4"/>
  <c r="E238" i="4"/>
  <c r="D238" i="4"/>
  <c r="C238" i="4"/>
  <c r="K237" i="4"/>
  <c r="J237" i="4"/>
  <c r="I237" i="4"/>
  <c r="H237" i="4"/>
  <c r="G237" i="4"/>
  <c r="F237" i="4"/>
  <c r="E237" i="4"/>
  <c r="D237" i="4"/>
  <c r="G252" i="4" s="1"/>
  <c r="C237" i="4"/>
  <c r="K236" i="4"/>
  <c r="J236" i="4"/>
  <c r="I236" i="4"/>
  <c r="H236" i="4"/>
  <c r="G236" i="4"/>
  <c r="F236" i="4"/>
  <c r="E236" i="4"/>
  <c r="E251" i="4" s="1"/>
  <c r="D236" i="4"/>
  <c r="C236" i="4"/>
  <c r="K235" i="4"/>
  <c r="J235" i="4"/>
  <c r="I235" i="4"/>
  <c r="H235" i="4"/>
  <c r="G235" i="4"/>
  <c r="F235" i="4"/>
  <c r="E235" i="4"/>
  <c r="D235" i="4"/>
  <c r="C235" i="4"/>
  <c r="C250" i="4" s="1"/>
  <c r="C265" i="4" s="1"/>
  <c r="K234" i="4"/>
  <c r="J234" i="4"/>
  <c r="I234" i="4"/>
  <c r="H234" i="4"/>
  <c r="G234" i="4"/>
  <c r="F234" i="4"/>
  <c r="E234" i="4"/>
  <c r="D234" i="4"/>
  <c r="C234" i="4"/>
  <c r="K233" i="4"/>
  <c r="J233" i="4"/>
  <c r="I233" i="4"/>
  <c r="H233" i="4"/>
  <c r="G233" i="4"/>
  <c r="F233" i="4"/>
  <c r="E233" i="4"/>
  <c r="D233" i="4"/>
  <c r="G248" i="4" s="1"/>
  <c r="C233" i="4"/>
  <c r="K232" i="4"/>
  <c r="J232" i="4"/>
  <c r="I232" i="4"/>
  <c r="H232" i="4"/>
  <c r="G232" i="4"/>
  <c r="F232" i="4"/>
  <c r="E232" i="4"/>
  <c r="D232" i="4"/>
  <c r="C232" i="4"/>
  <c r="K231" i="4"/>
  <c r="J231" i="4"/>
  <c r="I231" i="4"/>
  <c r="H231" i="4"/>
  <c r="G231" i="4"/>
  <c r="F231" i="4"/>
  <c r="E231" i="4"/>
  <c r="D231" i="4"/>
  <c r="C231" i="4"/>
  <c r="C224" i="4"/>
  <c r="F222" i="4"/>
  <c r="F221" i="4"/>
  <c r="E221" i="4"/>
  <c r="K221" i="4" s="1"/>
  <c r="F217" i="4"/>
  <c r="D217" i="4"/>
  <c r="C210" i="4"/>
  <c r="C225" i="4" s="1"/>
  <c r="C209" i="4"/>
  <c r="G207" i="4"/>
  <c r="F207" i="4"/>
  <c r="E207" i="4"/>
  <c r="E222" i="4" s="1"/>
  <c r="K222" i="4" s="1"/>
  <c r="D207" i="4"/>
  <c r="D222" i="4" s="1"/>
  <c r="E206" i="4"/>
  <c r="K206" i="4" s="1"/>
  <c r="D204" i="4"/>
  <c r="D219" i="4" s="1"/>
  <c r="D203" i="4"/>
  <c r="D218" i="4" s="1"/>
  <c r="F202" i="4"/>
  <c r="D202" i="4"/>
  <c r="C202" i="4"/>
  <c r="C217" i="4" s="1"/>
  <c r="K195" i="4"/>
  <c r="J195" i="4"/>
  <c r="I195" i="4"/>
  <c r="H195" i="4"/>
  <c r="G195" i="4"/>
  <c r="G210" i="4" s="1"/>
  <c r="F195" i="4"/>
  <c r="E195" i="4"/>
  <c r="D195" i="4"/>
  <c r="C195" i="4"/>
  <c r="F210" i="4" s="1"/>
  <c r="F225" i="4" s="1"/>
  <c r="K194" i="4"/>
  <c r="J194" i="4"/>
  <c r="I194" i="4"/>
  <c r="H194" i="4"/>
  <c r="G194" i="4"/>
  <c r="F194" i="4"/>
  <c r="E194" i="4"/>
  <c r="D194" i="4"/>
  <c r="C194" i="4"/>
  <c r="D209" i="4" s="1"/>
  <c r="D224" i="4" s="1"/>
  <c r="K193" i="4"/>
  <c r="J193" i="4"/>
  <c r="I193" i="4"/>
  <c r="H193" i="4"/>
  <c r="G193" i="4"/>
  <c r="F193" i="4"/>
  <c r="E193" i="4"/>
  <c r="D193" i="4"/>
  <c r="C193" i="4"/>
  <c r="K192" i="4"/>
  <c r="J192" i="4"/>
  <c r="I192" i="4"/>
  <c r="H192" i="4"/>
  <c r="G192" i="4"/>
  <c r="F192" i="4"/>
  <c r="E192" i="4"/>
  <c r="D192" i="4"/>
  <c r="C192" i="4"/>
  <c r="C207" i="4" s="1"/>
  <c r="C222" i="4" s="1"/>
  <c r="K191" i="4"/>
  <c r="J191" i="4"/>
  <c r="I191" i="4"/>
  <c r="H191" i="4"/>
  <c r="G191" i="4"/>
  <c r="G206" i="4" s="1"/>
  <c r="L206" i="4" s="1"/>
  <c r="F191" i="4"/>
  <c r="E191" i="4"/>
  <c r="D191" i="4"/>
  <c r="C191" i="4"/>
  <c r="F206" i="4" s="1"/>
  <c r="K190" i="4"/>
  <c r="J190" i="4"/>
  <c r="I190" i="4"/>
  <c r="H190" i="4"/>
  <c r="G190" i="4"/>
  <c r="F190" i="4"/>
  <c r="E190" i="4"/>
  <c r="D190" i="4"/>
  <c r="C190" i="4"/>
  <c r="K189" i="4"/>
  <c r="J189" i="4"/>
  <c r="I189" i="4"/>
  <c r="H189" i="4"/>
  <c r="G189" i="4"/>
  <c r="F189" i="4"/>
  <c r="E189" i="4"/>
  <c r="E204" i="4" s="1"/>
  <c r="D189" i="4"/>
  <c r="C189" i="4"/>
  <c r="K188" i="4"/>
  <c r="J188" i="4"/>
  <c r="I188" i="4"/>
  <c r="H188" i="4"/>
  <c r="G188" i="4"/>
  <c r="F188" i="4"/>
  <c r="E188" i="4"/>
  <c r="D188" i="4"/>
  <c r="C188" i="4"/>
  <c r="K187" i="4"/>
  <c r="J187" i="4"/>
  <c r="I187" i="4"/>
  <c r="H187" i="4"/>
  <c r="G187" i="4"/>
  <c r="G202" i="4" s="1"/>
  <c r="F187" i="4"/>
  <c r="E187" i="4"/>
  <c r="D187" i="4"/>
  <c r="C187" i="4"/>
  <c r="E202" i="4" s="1"/>
  <c r="K186" i="4"/>
  <c r="J186" i="4"/>
  <c r="I186" i="4"/>
  <c r="H186" i="4"/>
  <c r="G186" i="4"/>
  <c r="F186" i="4"/>
  <c r="E186" i="4"/>
  <c r="D186" i="4"/>
  <c r="D201" i="4" s="1"/>
  <c r="D216" i="4" s="1"/>
  <c r="C186" i="4"/>
  <c r="F201" i="4" s="1"/>
  <c r="F216" i="4" s="1"/>
  <c r="E179" i="4"/>
  <c r="K179" i="4" s="1"/>
  <c r="G176" i="4"/>
  <c r="L176" i="4" s="1"/>
  <c r="E171" i="4"/>
  <c r="K171" i="4" s="1"/>
  <c r="E165" i="4"/>
  <c r="K165" i="4" s="1"/>
  <c r="K164" i="4"/>
  <c r="E164" i="4"/>
  <c r="D164" i="4"/>
  <c r="D179" i="4" s="1"/>
  <c r="C164" i="4"/>
  <c r="C179" i="4" s="1"/>
  <c r="C163" i="4"/>
  <c r="C178" i="4" s="1"/>
  <c r="G162" i="4"/>
  <c r="L161" i="4"/>
  <c r="G161" i="4"/>
  <c r="D160" i="4"/>
  <c r="D175" i="4" s="1"/>
  <c r="C159" i="4"/>
  <c r="C174" i="4" s="1"/>
  <c r="F156" i="4"/>
  <c r="F171" i="4" s="1"/>
  <c r="D156" i="4"/>
  <c r="D171" i="4" s="1"/>
  <c r="C156" i="4"/>
  <c r="C171" i="4" s="1"/>
  <c r="K150" i="4"/>
  <c r="J150" i="4"/>
  <c r="I150" i="4"/>
  <c r="H150" i="4"/>
  <c r="G150" i="4"/>
  <c r="F150" i="4"/>
  <c r="E150" i="4"/>
  <c r="D150" i="4"/>
  <c r="C150" i="4"/>
  <c r="K149" i="4"/>
  <c r="J149" i="4"/>
  <c r="I149" i="4"/>
  <c r="H149" i="4"/>
  <c r="G149" i="4"/>
  <c r="F149" i="4"/>
  <c r="G164" i="4" s="1"/>
  <c r="G179" i="4" s="1"/>
  <c r="L179" i="4" s="1"/>
  <c r="E149" i="4"/>
  <c r="F164" i="4" s="1"/>
  <c r="F179" i="4" s="1"/>
  <c r="D149" i="4"/>
  <c r="C149" i="4"/>
  <c r="K148" i="4"/>
  <c r="J148" i="4"/>
  <c r="I148" i="4"/>
  <c r="H148" i="4"/>
  <c r="G148" i="4"/>
  <c r="F148" i="4"/>
  <c r="E148" i="4"/>
  <c r="D148" i="4"/>
  <c r="E163" i="4" s="1"/>
  <c r="C148" i="4"/>
  <c r="K147" i="4"/>
  <c r="J147" i="4"/>
  <c r="I147" i="4"/>
  <c r="H147" i="4"/>
  <c r="G147" i="4"/>
  <c r="F147" i="4"/>
  <c r="E147" i="4"/>
  <c r="D147" i="4"/>
  <c r="C147" i="4"/>
  <c r="K146" i="4"/>
  <c r="J146" i="4"/>
  <c r="I146" i="4"/>
  <c r="H146" i="4"/>
  <c r="G146" i="4"/>
  <c r="F146" i="4"/>
  <c r="E146" i="4"/>
  <c r="D146" i="4"/>
  <c r="C146" i="4"/>
  <c r="K145" i="4"/>
  <c r="J145" i="4"/>
  <c r="I145" i="4"/>
  <c r="H145" i="4"/>
  <c r="G145" i="4"/>
  <c r="G160" i="4" s="1"/>
  <c r="F145" i="4"/>
  <c r="E145" i="4"/>
  <c r="D145" i="4"/>
  <c r="C145" i="4"/>
  <c r="K144" i="4"/>
  <c r="J144" i="4"/>
  <c r="I144" i="4"/>
  <c r="H144" i="4"/>
  <c r="G144" i="4"/>
  <c r="F144" i="4"/>
  <c r="E144" i="4"/>
  <c r="D144" i="4"/>
  <c r="C144" i="4"/>
  <c r="K143" i="4"/>
  <c r="J143" i="4"/>
  <c r="I143" i="4"/>
  <c r="H143" i="4"/>
  <c r="G143" i="4"/>
  <c r="F143" i="4"/>
  <c r="E143" i="4"/>
  <c r="D143" i="4"/>
  <c r="C143" i="4"/>
  <c r="K142" i="4"/>
  <c r="J142" i="4"/>
  <c r="I142" i="4"/>
  <c r="H142" i="4"/>
  <c r="G142" i="4"/>
  <c r="F142" i="4"/>
  <c r="E142" i="4"/>
  <c r="D142" i="4"/>
  <c r="C142" i="4"/>
  <c r="K141" i="4"/>
  <c r="J141" i="4"/>
  <c r="I141" i="4"/>
  <c r="H141" i="4"/>
  <c r="G141" i="4"/>
  <c r="F141" i="4"/>
  <c r="E141" i="4"/>
  <c r="E156" i="4" s="1"/>
  <c r="K156" i="4" s="1"/>
  <c r="D141" i="4"/>
  <c r="C141" i="4"/>
  <c r="C128" i="4"/>
  <c r="C126" i="4"/>
  <c r="G118" i="4"/>
  <c r="F118" i="4"/>
  <c r="F133" i="4" s="1"/>
  <c r="E118" i="4"/>
  <c r="C118" i="4"/>
  <c r="C133" i="4" s="1"/>
  <c r="E116" i="4"/>
  <c r="C115" i="4"/>
  <c r="C130" i="4" s="1"/>
  <c r="E114" i="4"/>
  <c r="D114" i="4"/>
  <c r="D129" i="4" s="1"/>
  <c r="C113" i="4"/>
  <c r="G111" i="4"/>
  <c r="C111" i="4"/>
  <c r="K105" i="4"/>
  <c r="J105" i="4"/>
  <c r="I105" i="4"/>
  <c r="H105" i="4"/>
  <c r="G105" i="4"/>
  <c r="F105" i="4"/>
  <c r="E105" i="4"/>
  <c r="D105" i="4"/>
  <c r="C105" i="4"/>
  <c r="K104" i="4"/>
  <c r="J104" i="4"/>
  <c r="I104" i="4"/>
  <c r="H104" i="4"/>
  <c r="G104" i="4"/>
  <c r="F104" i="4"/>
  <c r="E104" i="4"/>
  <c r="D104" i="4"/>
  <c r="C104" i="4"/>
  <c r="C119" i="4" s="1"/>
  <c r="C134" i="4" s="1"/>
  <c r="K103" i="4"/>
  <c r="J103" i="4"/>
  <c r="I103" i="4"/>
  <c r="H103" i="4"/>
  <c r="G103" i="4"/>
  <c r="F103" i="4"/>
  <c r="E103" i="4"/>
  <c r="D103" i="4"/>
  <c r="D118" i="4" s="1"/>
  <c r="D133" i="4" s="1"/>
  <c r="C103" i="4"/>
  <c r="K102" i="4"/>
  <c r="J102" i="4"/>
  <c r="I102" i="4"/>
  <c r="H102" i="4"/>
  <c r="G102" i="4"/>
  <c r="F102" i="4"/>
  <c r="E102" i="4"/>
  <c r="D102" i="4"/>
  <c r="C102" i="4"/>
  <c r="K101" i="4"/>
  <c r="J101" i="4"/>
  <c r="I101" i="4"/>
  <c r="H101" i="4"/>
  <c r="G101" i="4"/>
  <c r="F101" i="4"/>
  <c r="E101" i="4"/>
  <c r="D101" i="4"/>
  <c r="C101" i="4"/>
  <c r="K100" i="4"/>
  <c r="J100" i="4"/>
  <c r="I100" i="4"/>
  <c r="H100" i="4"/>
  <c r="G100" i="4"/>
  <c r="F100" i="4"/>
  <c r="E100" i="4"/>
  <c r="D100" i="4"/>
  <c r="C100" i="4"/>
  <c r="K99" i="4"/>
  <c r="J99" i="4"/>
  <c r="I99" i="4"/>
  <c r="H99" i="4"/>
  <c r="G99" i="4"/>
  <c r="F99" i="4"/>
  <c r="E99" i="4"/>
  <c r="D99" i="4"/>
  <c r="F114" i="4" s="1"/>
  <c r="F129" i="4" s="1"/>
  <c r="C99" i="4"/>
  <c r="C114" i="4" s="1"/>
  <c r="C129" i="4" s="1"/>
  <c r="K98" i="4"/>
  <c r="J98" i="4"/>
  <c r="I98" i="4"/>
  <c r="H98" i="4"/>
  <c r="G98" i="4"/>
  <c r="F98" i="4"/>
  <c r="E98" i="4"/>
  <c r="D98" i="4"/>
  <c r="C98" i="4"/>
  <c r="K97" i="4"/>
  <c r="J97" i="4"/>
  <c r="I97" i="4"/>
  <c r="H97" i="4"/>
  <c r="G97" i="4"/>
  <c r="F97" i="4"/>
  <c r="E97" i="4"/>
  <c r="D97" i="4"/>
  <c r="C97" i="4"/>
  <c r="K96" i="4"/>
  <c r="J96" i="4"/>
  <c r="I96" i="4"/>
  <c r="H96" i="4"/>
  <c r="G96" i="4"/>
  <c r="F96" i="4"/>
  <c r="E96" i="4"/>
  <c r="D96" i="4"/>
  <c r="C96" i="4"/>
  <c r="F75" i="4"/>
  <c r="F90" i="4" s="1"/>
  <c r="E73" i="4"/>
  <c r="D72" i="4"/>
  <c r="D87" i="4" s="1"/>
  <c r="C70" i="4"/>
  <c r="C85" i="4" s="1"/>
  <c r="C66" i="4"/>
  <c r="C81" i="4" s="1"/>
  <c r="K60" i="4"/>
  <c r="J60" i="4"/>
  <c r="I60" i="4"/>
  <c r="H60" i="4"/>
  <c r="G60" i="4"/>
  <c r="F60" i="4"/>
  <c r="E60" i="4"/>
  <c r="D60" i="4"/>
  <c r="C60" i="4"/>
  <c r="K59" i="4"/>
  <c r="J59" i="4"/>
  <c r="I59" i="4"/>
  <c r="H59" i="4"/>
  <c r="G59" i="4"/>
  <c r="F59" i="4"/>
  <c r="E59" i="4"/>
  <c r="D59" i="4"/>
  <c r="C59" i="4"/>
  <c r="K58" i="4"/>
  <c r="J58" i="4"/>
  <c r="I58" i="4"/>
  <c r="H58" i="4"/>
  <c r="G58" i="4"/>
  <c r="F58" i="4"/>
  <c r="F73" i="4" s="1"/>
  <c r="F88" i="4" s="1"/>
  <c r="E58" i="4"/>
  <c r="D58" i="4"/>
  <c r="C58" i="4"/>
  <c r="K57" i="4"/>
  <c r="J57" i="4"/>
  <c r="I57" i="4"/>
  <c r="H57" i="4"/>
  <c r="G57" i="4"/>
  <c r="F57" i="4"/>
  <c r="E57" i="4"/>
  <c r="D57" i="4"/>
  <c r="C57" i="4"/>
  <c r="K56" i="4"/>
  <c r="J56" i="4"/>
  <c r="I56" i="4"/>
  <c r="H56" i="4"/>
  <c r="G56" i="4"/>
  <c r="F56" i="4"/>
  <c r="E56" i="4"/>
  <c r="D56" i="4"/>
  <c r="C56" i="4"/>
  <c r="K55" i="4"/>
  <c r="J55" i="4"/>
  <c r="I55" i="4"/>
  <c r="H55" i="4"/>
  <c r="G55" i="4"/>
  <c r="F55" i="4"/>
  <c r="E55" i="4"/>
  <c r="D55" i="4"/>
  <c r="C55" i="4"/>
  <c r="K54" i="4"/>
  <c r="J54" i="4"/>
  <c r="I54" i="4"/>
  <c r="H54" i="4"/>
  <c r="G54" i="4"/>
  <c r="F54" i="4"/>
  <c r="F69" i="4" s="1"/>
  <c r="F84" i="4" s="1"/>
  <c r="E54" i="4"/>
  <c r="D54" i="4"/>
  <c r="C54" i="4"/>
  <c r="K53" i="4"/>
  <c r="J53" i="4"/>
  <c r="I53" i="4"/>
  <c r="H53" i="4"/>
  <c r="G53" i="4"/>
  <c r="F53" i="4"/>
  <c r="E53" i="4"/>
  <c r="D53" i="4"/>
  <c r="C53" i="4"/>
  <c r="G68" i="4" s="1"/>
  <c r="K52" i="4"/>
  <c r="J52" i="4"/>
  <c r="I52" i="4"/>
  <c r="H52" i="4"/>
  <c r="G52" i="4"/>
  <c r="F52" i="4"/>
  <c r="E52" i="4"/>
  <c r="D52" i="4"/>
  <c r="C52" i="4"/>
  <c r="K51" i="4"/>
  <c r="J51" i="4"/>
  <c r="I51" i="4"/>
  <c r="H51" i="4"/>
  <c r="G51" i="4"/>
  <c r="F51" i="4"/>
  <c r="E51" i="4"/>
  <c r="D51" i="4"/>
  <c r="C51" i="4"/>
  <c r="D42" i="4"/>
  <c r="D37" i="4"/>
  <c r="C30" i="4"/>
  <c r="C45" i="4" s="1"/>
  <c r="G28" i="4"/>
  <c r="L28" i="4" s="1"/>
  <c r="E28" i="4"/>
  <c r="D28" i="4"/>
  <c r="D43" i="4" s="1"/>
  <c r="F27" i="4"/>
  <c r="F42" i="4" s="1"/>
  <c r="E27" i="4"/>
  <c r="D27" i="4"/>
  <c r="C27" i="4"/>
  <c r="C42" i="4" s="1"/>
  <c r="E23" i="4"/>
  <c r="D23" i="4"/>
  <c r="D38" i="4" s="1"/>
  <c r="C23" i="4"/>
  <c r="C38" i="4" s="1"/>
  <c r="D22" i="4"/>
  <c r="K15" i="4"/>
  <c r="J15" i="4"/>
  <c r="I15" i="4"/>
  <c r="H15" i="4"/>
  <c r="G15" i="4"/>
  <c r="F15" i="4"/>
  <c r="E15" i="4"/>
  <c r="D15" i="4"/>
  <c r="C15" i="4"/>
  <c r="K14" i="4"/>
  <c r="J14" i="4"/>
  <c r="I14" i="4"/>
  <c r="H14" i="4"/>
  <c r="G14" i="4"/>
  <c r="F14" i="4"/>
  <c r="E14" i="4"/>
  <c r="D14" i="4"/>
  <c r="C14" i="4"/>
  <c r="K13" i="4"/>
  <c r="J13" i="4"/>
  <c r="I13" i="4"/>
  <c r="H13" i="4"/>
  <c r="G13" i="4"/>
  <c r="F13" i="4"/>
  <c r="E13" i="4"/>
  <c r="D13" i="4"/>
  <c r="C13" i="4"/>
  <c r="K12" i="4"/>
  <c r="J12" i="4"/>
  <c r="I12" i="4"/>
  <c r="H12" i="4"/>
  <c r="G12" i="4"/>
  <c r="F12" i="4"/>
  <c r="E12" i="4"/>
  <c r="D12" i="4"/>
  <c r="C12" i="4"/>
  <c r="K11" i="4"/>
  <c r="J11" i="4"/>
  <c r="I11" i="4"/>
  <c r="H11" i="4"/>
  <c r="G11" i="4"/>
  <c r="F11" i="4"/>
  <c r="F26" i="4" s="1"/>
  <c r="F41" i="4" s="1"/>
  <c r="E11" i="4"/>
  <c r="D11" i="4"/>
  <c r="C11" i="4"/>
  <c r="K10" i="4"/>
  <c r="J10" i="4"/>
  <c r="I10" i="4"/>
  <c r="H10" i="4"/>
  <c r="G10" i="4"/>
  <c r="F10" i="4"/>
  <c r="E10" i="4"/>
  <c r="D10" i="4"/>
  <c r="C10" i="4"/>
  <c r="D25" i="4" s="1"/>
  <c r="D40" i="4" s="1"/>
  <c r="K9" i="4"/>
  <c r="J9" i="4"/>
  <c r="I9" i="4"/>
  <c r="H9" i="4"/>
  <c r="G9" i="4"/>
  <c r="F9" i="4"/>
  <c r="E9" i="4"/>
  <c r="D9" i="4"/>
  <c r="C9" i="4"/>
  <c r="K8" i="4"/>
  <c r="J8" i="4"/>
  <c r="I8" i="4"/>
  <c r="H8" i="4"/>
  <c r="G8" i="4"/>
  <c r="F8" i="4"/>
  <c r="E8" i="4"/>
  <c r="D8" i="4"/>
  <c r="C8" i="4"/>
  <c r="K7" i="4"/>
  <c r="J7" i="4"/>
  <c r="I7" i="4"/>
  <c r="H7" i="4"/>
  <c r="G7" i="4"/>
  <c r="F7" i="4"/>
  <c r="E7" i="4"/>
  <c r="D7" i="4"/>
  <c r="C7" i="4"/>
  <c r="K6" i="4"/>
  <c r="J6" i="4"/>
  <c r="I6" i="4"/>
  <c r="H6" i="4"/>
  <c r="G6" i="4"/>
  <c r="F6" i="4"/>
  <c r="E6" i="4"/>
  <c r="D6" i="4"/>
  <c r="C6" i="4"/>
  <c r="S60" i="3"/>
  <c r="G60" i="3"/>
  <c r="C60" i="3"/>
  <c r="Q59" i="3"/>
  <c r="O59" i="3"/>
  <c r="M59" i="3"/>
  <c r="O58" i="3"/>
  <c r="C58" i="3"/>
  <c r="Q57" i="3"/>
  <c r="M57" i="3"/>
  <c r="S56" i="3"/>
  <c r="G56" i="3"/>
  <c r="E56" i="3"/>
  <c r="C56" i="3"/>
  <c r="S55" i="3"/>
  <c r="O55" i="3"/>
  <c r="E55" i="3"/>
  <c r="Q54" i="3"/>
  <c r="M54" i="3"/>
  <c r="Q53" i="3"/>
  <c r="G53" i="3"/>
  <c r="Q52" i="3"/>
  <c r="O52" i="3"/>
  <c r="G52" i="3"/>
  <c r="E52" i="3"/>
  <c r="O51" i="3"/>
  <c r="K51" i="3"/>
  <c r="E51" i="3"/>
  <c r="O45" i="3"/>
  <c r="M45" i="3"/>
  <c r="K45" i="3"/>
  <c r="E45" i="3"/>
  <c r="K44" i="3"/>
  <c r="G44" i="3"/>
  <c r="C44" i="3"/>
  <c r="K42" i="3"/>
  <c r="I42" i="3"/>
  <c r="S41" i="3"/>
  <c r="Q40" i="3"/>
  <c r="I40" i="3"/>
  <c r="G40" i="3"/>
  <c r="E39" i="3"/>
  <c r="C39" i="3"/>
  <c r="S38" i="3"/>
  <c r="C37" i="3"/>
  <c r="Q36" i="3"/>
  <c r="G36" i="3"/>
  <c r="O30" i="3"/>
  <c r="O28" i="3"/>
  <c r="M28" i="3"/>
  <c r="K28" i="3"/>
  <c r="I28" i="3"/>
  <c r="Q27" i="3"/>
  <c r="M25" i="3"/>
  <c r="I25" i="3"/>
  <c r="E25" i="3"/>
  <c r="Q24" i="3"/>
  <c r="E23" i="3"/>
  <c r="C23" i="3"/>
  <c r="O22" i="3"/>
  <c r="C22" i="3"/>
  <c r="S21" i="3"/>
  <c r="O21" i="3"/>
  <c r="Q14" i="3"/>
  <c r="M14" i="3"/>
  <c r="E14" i="3"/>
  <c r="K13" i="3"/>
  <c r="C13" i="3"/>
  <c r="M11" i="3"/>
  <c r="K11" i="3"/>
  <c r="I11" i="3"/>
  <c r="G11" i="3"/>
  <c r="E11" i="3"/>
  <c r="S9" i="3"/>
  <c r="K8" i="3"/>
  <c r="E8" i="3"/>
  <c r="S7" i="3"/>
  <c r="G6" i="3"/>
  <c r="E6" i="3"/>
  <c r="C6" i="3"/>
  <c r="J113" i="2"/>
  <c r="E113" i="3" s="1"/>
  <c r="H111" i="2"/>
  <c r="C111" i="3" s="1"/>
  <c r="F104" i="2"/>
  <c r="C104" i="3" s="1"/>
  <c r="D100" i="2"/>
  <c r="E100" i="3" s="1"/>
  <c r="B98" i="2"/>
  <c r="S98" i="3" s="1"/>
  <c r="J72" i="2"/>
  <c r="Q72" i="3" s="1"/>
  <c r="K60" i="2"/>
  <c r="J60" i="2"/>
  <c r="I60" i="2"/>
  <c r="M60" i="3" s="1"/>
  <c r="H60" i="2"/>
  <c r="Q60" i="3" s="1"/>
  <c r="G60" i="2"/>
  <c r="I60" i="3" s="1"/>
  <c r="F60" i="2"/>
  <c r="E60" i="3" s="1"/>
  <c r="E60" i="2"/>
  <c r="K60" i="3" s="1"/>
  <c r="D60" i="2"/>
  <c r="C60" i="2"/>
  <c r="O60" i="3" s="1"/>
  <c r="B60" i="2"/>
  <c r="K59" i="2"/>
  <c r="C59" i="3" s="1"/>
  <c r="J59" i="2"/>
  <c r="I59" i="2"/>
  <c r="H59" i="2"/>
  <c r="G59" i="2"/>
  <c r="I59" i="3" s="1"/>
  <c r="F59" i="2"/>
  <c r="E59" i="3" s="1"/>
  <c r="E59" i="2"/>
  <c r="K59" i="3" s="1"/>
  <c r="D59" i="2"/>
  <c r="G59" i="3" s="1"/>
  <c r="C59" i="2"/>
  <c r="B59" i="2"/>
  <c r="S59" i="3" s="1"/>
  <c r="K58" i="2"/>
  <c r="S58" i="3" s="1"/>
  <c r="J58" i="2"/>
  <c r="Q58" i="3" s="1"/>
  <c r="I58" i="2"/>
  <c r="H58" i="2"/>
  <c r="G58" i="2"/>
  <c r="G58" i="3" s="1"/>
  <c r="F58" i="2"/>
  <c r="E58" i="2"/>
  <c r="E58" i="3" s="1"/>
  <c r="D58" i="2"/>
  <c r="K58" i="3" s="1"/>
  <c r="C58" i="2"/>
  <c r="I58" i="3" s="1"/>
  <c r="B58" i="2"/>
  <c r="M58" i="3" s="1"/>
  <c r="K57" i="2"/>
  <c r="S57" i="3" s="1"/>
  <c r="J57" i="2"/>
  <c r="I57" i="2"/>
  <c r="C57" i="3" s="1"/>
  <c r="H57" i="2"/>
  <c r="G57" i="2"/>
  <c r="I57" i="3" s="1"/>
  <c r="F57" i="2"/>
  <c r="O57" i="3" s="1"/>
  <c r="E57" i="2"/>
  <c r="E57" i="3" s="1"/>
  <c r="D57" i="2"/>
  <c r="C57" i="2"/>
  <c r="G57" i="3" s="1"/>
  <c r="B57" i="2"/>
  <c r="K57" i="3" s="1"/>
  <c r="K56" i="2"/>
  <c r="Q56" i="3" s="1"/>
  <c r="J56" i="2"/>
  <c r="O56" i="3" s="1"/>
  <c r="I56" i="2"/>
  <c r="H56" i="2"/>
  <c r="K56" i="3" s="1"/>
  <c r="G56" i="2"/>
  <c r="F56" i="2"/>
  <c r="M56" i="3" s="1"/>
  <c r="E56" i="2"/>
  <c r="D56" i="2"/>
  <c r="C56" i="2"/>
  <c r="I56" i="3" s="1"/>
  <c r="B56" i="2"/>
  <c r="K55" i="2"/>
  <c r="J55" i="2"/>
  <c r="C55" i="3" s="1"/>
  <c r="I55" i="2"/>
  <c r="M55" i="3" s="1"/>
  <c r="H55" i="2"/>
  <c r="Q55" i="3" s="1"/>
  <c r="G55" i="2"/>
  <c r="I55" i="3" s="1"/>
  <c r="F55" i="2"/>
  <c r="E55" i="2"/>
  <c r="K55" i="3" s="1"/>
  <c r="D55" i="2"/>
  <c r="G55" i="3" s="1"/>
  <c r="C55" i="2"/>
  <c r="B55" i="2"/>
  <c r="K54" i="2"/>
  <c r="S54" i="3" s="1"/>
  <c r="J54" i="2"/>
  <c r="I54" i="2"/>
  <c r="C54" i="3" s="1"/>
  <c r="H54" i="2"/>
  <c r="G54" i="3" s="1"/>
  <c r="G54" i="2"/>
  <c r="E54" i="3" s="1"/>
  <c r="F54" i="2"/>
  <c r="O54" i="3" s="1"/>
  <c r="E54" i="2"/>
  <c r="D54" i="2"/>
  <c r="K54" i="3" s="1"/>
  <c r="C54" i="2"/>
  <c r="I54" i="3" s="1"/>
  <c r="B54" i="2"/>
  <c r="K53" i="2"/>
  <c r="K53" i="3" s="1"/>
  <c r="J53" i="2"/>
  <c r="I53" i="2"/>
  <c r="M53" i="3" s="1"/>
  <c r="H53" i="2"/>
  <c r="G53" i="2"/>
  <c r="C53" i="3" s="1"/>
  <c r="F53" i="2"/>
  <c r="E53" i="3" s="1"/>
  <c r="E53" i="2"/>
  <c r="I53" i="3" s="1"/>
  <c r="D53" i="2"/>
  <c r="C53" i="2"/>
  <c r="O53" i="3" s="1"/>
  <c r="B53" i="2"/>
  <c r="S53" i="3" s="1"/>
  <c r="K52" i="2"/>
  <c r="S52" i="3" s="1"/>
  <c r="J52" i="2"/>
  <c r="I52" i="2"/>
  <c r="H52" i="2"/>
  <c r="G52" i="2"/>
  <c r="I52" i="3" s="1"/>
  <c r="F52" i="2"/>
  <c r="E52" i="2"/>
  <c r="C52" i="3" s="1"/>
  <c r="D52" i="2"/>
  <c r="M52" i="3" s="1"/>
  <c r="C52" i="2"/>
  <c r="B52" i="2"/>
  <c r="K52" i="3" s="1"/>
  <c r="K51" i="2"/>
  <c r="S51" i="3" s="1"/>
  <c r="J51" i="2"/>
  <c r="Q51" i="3" s="1"/>
  <c r="I51" i="2"/>
  <c r="I51" i="3" s="1"/>
  <c r="H51" i="2"/>
  <c r="G51" i="2"/>
  <c r="F51" i="2"/>
  <c r="E51" i="2"/>
  <c r="G51" i="3" s="1"/>
  <c r="D51" i="2"/>
  <c r="M51" i="3" s="1"/>
  <c r="C51" i="2"/>
  <c r="C51" i="3" s="1"/>
  <c r="B51" i="2"/>
  <c r="K45" i="2"/>
  <c r="J45" i="2"/>
  <c r="C45" i="3" s="1"/>
  <c r="I45" i="2"/>
  <c r="H45" i="2"/>
  <c r="Q45" i="3" s="1"/>
  <c r="G45" i="2"/>
  <c r="I45" i="3" s="1"/>
  <c r="F45" i="2"/>
  <c r="E45" i="2"/>
  <c r="D45" i="2"/>
  <c r="G45" i="3" s="1"/>
  <c r="C45" i="2"/>
  <c r="B45" i="2"/>
  <c r="S45" i="3" s="1"/>
  <c r="K44" i="2"/>
  <c r="E44" i="3" s="1"/>
  <c r="J44" i="2"/>
  <c r="I44" i="2"/>
  <c r="O44" i="3" s="1"/>
  <c r="H44" i="2"/>
  <c r="Q44" i="3" s="1"/>
  <c r="G44" i="2"/>
  <c r="I44" i="3" s="1"/>
  <c r="F44" i="2"/>
  <c r="E44" i="2"/>
  <c r="M44" i="3" s="1"/>
  <c r="D44" i="2"/>
  <c r="C44" i="2"/>
  <c r="B44" i="2"/>
  <c r="S44" i="3" s="1"/>
  <c r="K43" i="2"/>
  <c r="Q43" i="3" s="1"/>
  <c r="J43" i="2"/>
  <c r="S43" i="3" s="1"/>
  <c r="I43" i="2"/>
  <c r="H43" i="2"/>
  <c r="C43" i="3" s="1"/>
  <c r="G43" i="2"/>
  <c r="G43" i="3" s="1"/>
  <c r="F43" i="2"/>
  <c r="O43" i="3" s="1"/>
  <c r="E43" i="2"/>
  <c r="E43" i="3" s="1"/>
  <c r="D43" i="2"/>
  <c r="M43" i="3" s="1"/>
  <c r="C43" i="2"/>
  <c r="I43" i="3" s="1"/>
  <c r="B43" i="2"/>
  <c r="K43" i="3" s="1"/>
  <c r="K42" i="2"/>
  <c r="Q42" i="3" s="1"/>
  <c r="J42" i="2"/>
  <c r="S42" i="3" s="1"/>
  <c r="I42" i="2"/>
  <c r="C42" i="3" s="1"/>
  <c r="H42" i="2"/>
  <c r="G42" i="2"/>
  <c r="G42" i="3" s="1"/>
  <c r="F42" i="2"/>
  <c r="O42" i="3" s="1"/>
  <c r="E42" i="2"/>
  <c r="E42" i="3" s="1"/>
  <c r="D42" i="2"/>
  <c r="M42" i="3" s="1"/>
  <c r="C42" i="2"/>
  <c r="B42" i="2"/>
  <c r="K41" i="2"/>
  <c r="O41" i="3" s="1"/>
  <c r="J41" i="2"/>
  <c r="Q41" i="3" s="1"/>
  <c r="I41" i="2"/>
  <c r="E41" i="3" s="1"/>
  <c r="H41" i="2"/>
  <c r="K41" i="3" s="1"/>
  <c r="G41" i="2"/>
  <c r="F41" i="2"/>
  <c r="M41" i="3" s="1"/>
  <c r="E41" i="2"/>
  <c r="C41" i="3" s="1"/>
  <c r="D41" i="2"/>
  <c r="I41" i="3" s="1"/>
  <c r="C41" i="2"/>
  <c r="G41" i="3" s="1"/>
  <c r="B41" i="2"/>
  <c r="K40" i="2"/>
  <c r="J40" i="2"/>
  <c r="C40" i="3" s="1"/>
  <c r="I40" i="2"/>
  <c r="O40" i="3" s="1"/>
  <c r="H40" i="2"/>
  <c r="G40" i="2"/>
  <c r="F40" i="2"/>
  <c r="E40" i="2"/>
  <c r="M40" i="3" s="1"/>
  <c r="D40" i="2"/>
  <c r="E40" i="3" s="1"/>
  <c r="C40" i="2"/>
  <c r="K40" i="3" s="1"/>
  <c r="B40" i="2"/>
  <c r="S40" i="3" s="1"/>
  <c r="K39" i="2"/>
  <c r="S39" i="3" s="1"/>
  <c r="J39" i="2"/>
  <c r="Q39" i="3" s="1"/>
  <c r="I39" i="2"/>
  <c r="H39" i="2"/>
  <c r="I39" i="3" s="1"/>
  <c r="G39" i="2"/>
  <c r="F39" i="2"/>
  <c r="O39" i="3" s="1"/>
  <c r="E39" i="2"/>
  <c r="D39" i="2"/>
  <c r="K39" i="3" s="1"/>
  <c r="C39" i="2"/>
  <c r="G39" i="3" s="1"/>
  <c r="B39" i="2"/>
  <c r="M39" i="3" s="1"/>
  <c r="K38" i="2"/>
  <c r="I38" i="3" s="1"/>
  <c r="J38" i="2"/>
  <c r="E38" i="3" s="1"/>
  <c r="I38" i="2"/>
  <c r="O38" i="3" s="1"/>
  <c r="H38" i="2"/>
  <c r="Q38" i="3" s="1"/>
  <c r="G38" i="2"/>
  <c r="G38" i="3" s="1"/>
  <c r="F38" i="2"/>
  <c r="C38" i="3" s="1"/>
  <c r="E38" i="2"/>
  <c r="M38" i="3" s="1"/>
  <c r="D38" i="2"/>
  <c r="C38" i="2"/>
  <c r="K38" i="3" s="1"/>
  <c r="B38" i="2"/>
  <c r="K37" i="2"/>
  <c r="S37" i="3" s="1"/>
  <c r="J37" i="2"/>
  <c r="Q37" i="3" s="1"/>
  <c r="I37" i="2"/>
  <c r="G37" i="3" s="1"/>
  <c r="H37" i="2"/>
  <c r="K37" i="3" s="1"/>
  <c r="G37" i="2"/>
  <c r="E37" i="3" s="1"/>
  <c r="F37" i="2"/>
  <c r="O37" i="3" s="1"/>
  <c r="E37" i="2"/>
  <c r="D37" i="2"/>
  <c r="I37" i="3" s="1"/>
  <c r="C37" i="2"/>
  <c r="B37" i="2"/>
  <c r="M37" i="3" s="1"/>
  <c r="K36" i="2"/>
  <c r="O36" i="3" s="1"/>
  <c r="J36" i="2"/>
  <c r="I36" i="2"/>
  <c r="I36" i="3" s="1"/>
  <c r="H36" i="2"/>
  <c r="G36" i="2"/>
  <c r="K36" i="3" s="1"/>
  <c r="F36" i="2"/>
  <c r="S36" i="3" s="1"/>
  <c r="E36" i="2"/>
  <c r="E36" i="3" s="1"/>
  <c r="D36" i="2"/>
  <c r="M36" i="3" s="1"/>
  <c r="C36" i="2"/>
  <c r="C36" i="3" s="1"/>
  <c r="B36" i="2"/>
  <c r="K30" i="2"/>
  <c r="J30" i="2"/>
  <c r="C30" i="3" s="1"/>
  <c r="I30" i="2"/>
  <c r="M30" i="3" s="1"/>
  <c r="H30" i="2"/>
  <c r="G30" i="2"/>
  <c r="I30" i="3" s="1"/>
  <c r="F30" i="2"/>
  <c r="E30" i="3" s="1"/>
  <c r="E30" i="2"/>
  <c r="K30" i="3" s="1"/>
  <c r="D30" i="2"/>
  <c r="G30" i="3" s="1"/>
  <c r="C30" i="2"/>
  <c r="Q30" i="3" s="1"/>
  <c r="B30" i="2"/>
  <c r="S30" i="3" s="1"/>
  <c r="K29" i="2"/>
  <c r="C29" i="3" s="1"/>
  <c r="J29" i="2"/>
  <c r="I29" i="2"/>
  <c r="M29" i="3" s="1"/>
  <c r="H29" i="2"/>
  <c r="O29" i="3" s="1"/>
  <c r="G29" i="2"/>
  <c r="I29" i="3" s="1"/>
  <c r="F29" i="2"/>
  <c r="E29" i="3" s="1"/>
  <c r="E29" i="2"/>
  <c r="K29" i="3" s="1"/>
  <c r="D29" i="2"/>
  <c r="G29" i="3" s="1"/>
  <c r="C29" i="2"/>
  <c r="Q29" i="3" s="1"/>
  <c r="B29" i="2"/>
  <c r="S29" i="3" s="1"/>
  <c r="K28" i="2"/>
  <c r="S28" i="3" s="1"/>
  <c r="J28" i="2"/>
  <c r="Q28" i="3" s="1"/>
  <c r="I28" i="2"/>
  <c r="H28" i="2"/>
  <c r="C28" i="3" s="1"/>
  <c r="G28" i="2"/>
  <c r="F28" i="2"/>
  <c r="E28" i="2"/>
  <c r="E28" i="3" s="1"/>
  <c r="D28" i="2"/>
  <c r="C28" i="2"/>
  <c r="G28" i="3" s="1"/>
  <c r="B28" i="2"/>
  <c r="K27" i="2"/>
  <c r="S27" i="3" s="1"/>
  <c r="J27" i="2"/>
  <c r="I27" i="2"/>
  <c r="C27" i="3" s="1"/>
  <c r="H27" i="2"/>
  <c r="G27" i="2"/>
  <c r="I27" i="3" s="1"/>
  <c r="F27" i="2"/>
  <c r="O27" i="3" s="1"/>
  <c r="E27" i="2"/>
  <c r="E27" i="3" s="1"/>
  <c r="D27" i="2"/>
  <c r="K27" i="3" s="1"/>
  <c r="C27" i="2"/>
  <c r="G27" i="3" s="1"/>
  <c r="B27" i="2"/>
  <c r="M27" i="3" s="1"/>
  <c r="K26" i="2"/>
  <c r="Q26" i="3" s="1"/>
  <c r="J26" i="2"/>
  <c r="O26" i="3" s="1"/>
  <c r="I26" i="2"/>
  <c r="G26" i="3" s="1"/>
  <c r="H26" i="2"/>
  <c r="I26" i="3" s="1"/>
  <c r="G26" i="2"/>
  <c r="F26" i="2"/>
  <c r="M26" i="3" s="1"/>
  <c r="E26" i="2"/>
  <c r="E26" i="3" s="1"/>
  <c r="D26" i="2"/>
  <c r="C26" i="3" s="1"/>
  <c r="C26" i="2"/>
  <c r="K26" i="3" s="1"/>
  <c r="B26" i="2"/>
  <c r="S26" i="3" s="1"/>
  <c r="K25" i="2"/>
  <c r="J25" i="2"/>
  <c r="C25" i="3" s="1"/>
  <c r="I25" i="2"/>
  <c r="H25" i="2"/>
  <c r="O25" i="3" s="1"/>
  <c r="G25" i="2"/>
  <c r="F25" i="2"/>
  <c r="E25" i="2"/>
  <c r="K25" i="3" s="1"/>
  <c r="D25" i="2"/>
  <c r="G25" i="3" s="1"/>
  <c r="C25" i="2"/>
  <c r="Q25" i="3" s="1"/>
  <c r="B25" i="2"/>
  <c r="S25" i="3" s="1"/>
  <c r="K24" i="2"/>
  <c r="S24" i="3" s="1"/>
  <c r="J24" i="2"/>
  <c r="I24" i="2"/>
  <c r="C24" i="3" s="1"/>
  <c r="H24" i="2"/>
  <c r="G24" i="3" s="1"/>
  <c r="G24" i="2"/>
  <c r="I24" i="3" s="1"/>
  <c r="F24" i="2"/>
  <c r="O24" i="3" s="1"/>
  <c r="E24" i="2"/>
  <c r="D24" i="2"/>
  <c r="K24" i="3" s="1"/>
  <c r="C24" i="2"/>
  <c r="E24" i="3" s="1"/>
  <c r="B24" i="2"/>
  <c r="M24" i="3" s="1"/>
  <c r="K23" i="2"/>
  <c r="K23" i="3" s="1"/>
  <c r="J23" i="2"/>
  <c r="I23" i="3" s="1"/>
  <c r="I23" i="2"/>
  <c r="M23" i="3" s="1"/>
  <c r="H23" i="2"/>
  <c r="O23" i="3" s="1"/>
  <c r="G23" i="2"/>
  <c r="F23" i="2"/>
  <c r="E23" i="2"/>
  <c r="G23" i="3" s="1"/>
  <c r="D23" i="2"/>
  <c r="C23" i="2"/>
  <c r="Q23" i="3" s="1"/>
  <c r="B23" i="2"/>
  <c r="S23" i="3" s="1"/>
  <c r="K22" i="2"/>
  <c r="S22" i="3" s="1"/>
  <c r="J22" i="2"/>
  <c r="Q22" i="3" s="1"/>
  <c r="I22" i="2"/>
  <c r="E22" i="3" s="1"/>
  <c r="H22" i="2"/>
  <c r="G22" i="3" s="1"/>
  <c r="G22" i="2"/>
  <c r="K22" i="3" s="1"/>
  <c r="F22" i="2"/>
  <c r="E22" i="2"/>
  <c r="D22" i="2"/>
  <c r="M22" i="3" s="1"/>
  <c r="C22" i="2"/>
  <c r="B22" i="2"/>
  <c r="I22" i="3" s="1"/>
  <c r="K21" i="2"/>
  <c r="J21" i="2"/>
  <c r="Q21" i="3" s="1"/>
  <c r="I21" i="2"/>
  <c r="E21" i="3" s="1"/>
  <c r="H21" i="2"/>
  <c r="G21" i="3" s="1"/>
  <c r="G21" i="2"/>
  <c r="K21" i="3" s="1"/>
  <c r="F21" i="2"/>
  <c r="E21" i="2"/>
  <c r="I21" i="3" s="1"/>
  <c r="D21" i="2"/>
  <c r="M21" i="3" s="1"/>
  <c r="C21" i="2"/>
  <c r="C21" i="3" s="1"/>
  <c r="B21" i="2"/>
  <c r="K15" i="2"/>
  <c r="J15" i="2"/>
  <c r="C15" i="3" s="1"/>
  <c r="I15" i="2"/>
  <c r="M15" i="3" s="1"/>
  <c r="H15" i="2"/>
  <c r="O15" i="3" s="1"/>
  <c r="G15" i="2"/>
  <c r="I15" i="3" s="1"/>
  <c r="F15" i="2"/>
  <c r="E15" i="3" s="1"/>
  <c r="E15" i="2"/>
  <c r="K15" i="3" s="1"/>
  <c r="D15" i="2"/>
  <c r="G15" i="3" s="1"/>
  <c r="C15" i="2"/>
  <c r="Q15" i="3" s="1"/>
  <c r="B15" i="2"/>
  <c r="S15" i="3" s="1"/>
  <c r="K14" i="2"/>
  <c r="C14" i="3" s="1"/>
  <c r="J14" i="2"/>
  <c r="I14" i="2"/>
  <c r="H14" i="2"/>
  <c r="O14" i="3" s="1"/>
  <c r="G14" i="2"/>
  <c r="I14" i="3" s="1"/>
  <c r="F14" i="2"/>
  <c r="E14" i="2"/>
  <c r="K14" i="3" s="1"/>
  <c r="D14" i="2"/>
  <c r="G14" i="3" s="1"/>
  <c r="C14" i="2"/>
  <c r="B14" i="2"/>
  <c r="S14" i="3" s="1"/>
  <c r="K13" i="2"/>
  <c r="S13" i="3" s="1"/>
  <c r="J13" i="2"/>
  <c r="Q13" i="3" s="1"/>
  <c r="I13" i="2"/>
  <c r="H13" i="2"/>
  <c r="G13" i="2"/>
  <c r="I13" i="3" s="1"/>
  <c r="F13" i="2"/>
  <c r="O13" i="3" s="1"/>
  <c r="E13" i="2"/>
  <c r="E13" i="3" s="1"/>
  <c r="D13" i="2"/>
  <c r="C13" i="2"/>
  <c r="G13" i="3" s="1"/>
  <c r="B13" i="2"/>
  <c r="M13" i="3" s="1"/>
  <c r="K12" i="2"/>
  <c r="S12" i="3" s="1"/>
  <c r="J12" i="2"/>
  <c r="Q12" i="3" s="1"/>
  <c r="I12" i="2"/>
  <c r="C12" i="3" s="1"/>
  <c r="H12" i="2"/>
  <c r="G12" i="2"/>
  <c r="I12" i="3" s="1"/>
  <c r="F12" i="2"/>
  <c r="O12" i="3" s="1"/>
  <c r="E12" i="2"/>
  <c r="E12" i="3" s="1"/>
  <c r="D12" i="2"/>
  <c r="K12" i="3" s="1"/>
  <c r="C12" i="2"/>
  <c r="G12" i="3" s="1"/>
  <c r="B12" i="2"/>
  <c r="M12" i="3" s="1"/>
  <c r="K11" i="2"/>
  <c r="Q11" i="3" s="1"/>
  <c r="J11" i="2"/>
  <c r="O11" i="3" s="1"/>
  <c r="I11" i="2"/>
  <c r="H11" i="2"/>
  <c r="G11" i="2"/>
  <c r="F11" i="2"/>
  <c r="E11" i="2"/>
  <c r="D11" i="2"/>
  <c r="C11" i="3" s="1"/>
  <c r="C11" i="2"/>
  <c r="B11" i="2"/>
  <c r="S11" i="3" s="1"/>
  <c r="K10" i="2"/>
  <c r="E10" i="3" s="1"/>
  <c r="J10" i="2"/>
  <c r="C10" i="3" s="1"/>
  <c r="I10" i="2"/>
  <c r="M10" i="3" s="1"/>
  <c r="H10" i="2"/>
  <c r="O10" i="3" s="1"/>
  <c r="G10" i="2"/>
  <c r="I10" i="3" s="1"/>
  <c r="F10" i="2"/>
  <c r="E10" i="2"/>
  <c r="K10" i="3" s="1"/>
  <c r="D10" i="2"/>
  <c r="G10" i="3" s="1"/>
  <c r="C10" i="2"/>
  <c r="Q10" i="3" s="1"/>
  <c r="B10" i="2"/>
  <c r="S10" i="3" s="1"/>
  <c r="K9" i="2"/>
  <c r="J9" i="2"/>
  <c r="Q9" i="3" s="1"/>
  <c r="I9" i="2"/>
  <c r="C9" i="3" s="1"/>
  <c r="H9" i="2"/>
  <c r="G9" i="3" s="1"/>
  <c r="G9" i="2"/>
  <c r="E9" i="3" s="1"/>
  <c r="F9" i="2"/>
  <c r="O9" i="3" s="1"/>
  <c r="E9" i="2"/>
  <c r="D9" i="2"/>
  <c r="K9" i="3" s="1"/>
  <c r="C9" i="2"/>
  <c r="I9" i="3" s="1"/>
  <c r="B9" i="2"/>
  <c r="M9" i="3" s="1"/>
  <c r="K8" i="2"/>
  <c r="J8" i="2"/>
  <c r="G8" i="3" s="1"/>
  <c r="I8" i="2"/>
  <c r="M8" i="3" s="1"/>
  <c r="H8" i="2"/>
  <c r="O8" i="3" s="1"/>
  <c r="G8" i="2"/>
  <c r="C8" i="3" s="1"/>
  <c r="F8" i="2"/>
  <c r="E8" i="2"/>
  <c r="I8" i="3" s="1"/>
  <c r="D8" i="2"/>
  <c r="C8" i="2"/>
  <c r="Q8" i="3" s="1"/>
  <c r="B8" i="2"/>
  <c r="S8" i="3" s="1"/>
  <c r="K7" i="2"/>
  <c r="J7" i="2"/>
  <c r="Q7" i="3" s="1"/>
  <c r="I7" i="2"/>
  <c r="G7" i="3" s="1"/>
  <c r="H7" i="2"/>
  <c r="E7" i="3" s="1"/>
  <c r="G7" i="2"/>
  <c r="K7" i="3" s="1"/>
  <c r="F7" i="2"/>
  <c r="O7" i="3" s="1"/>
  <c r="E7" i="2"/>
  <c r="C7" i="3" s="1"/>
  <c r="D7" i="2"/>
  <c r="M7" i="3" s="1"/>
  <c r="C7" i="2"/>
  <c r="B7" i="2"/>
  <c r="I7" i="3" s="1"/>
  <c r="K6" i="2"/>
  <c r="S6" i="3" s="1"/>
  <c r="J6" i="2"/>
  <c r="Q6" i="3" s="1"/>
  <c r="I6" i="2"/>
  <c r="I6" i="3" s="1"/>
  <c r="H6" i="2"/>
  <c r="G6" i="2"/>
  <c r="K6" i="3" s="1"/>
  <c r="F6" i="2"/>
  <c r="O6" i="3" s="1"/>
  <c r="E6" i="2"/>
  <c r="D6" i="2"/>
  <c r="M6" i="3" s="1"/>
  <c r="C6" i="2"/>
  <c r="B6" i="2"/>
  <c r="G29" i="1"/>
  <c r="K111" i="2" s="1"/>
  <c r="O111" i="3" s="1"/>
  <c r="F29" i="1"/>
  <c r="K68" i="2" s="1"/>
  <c r="G68" i="3" s="1"/>
  <c r="E29" i="1"/>
  <c r="D29" i="1"/>
  <c r="C29" i="1"/>
  <c r="B29" i="1"/>
  <c r="G28" i="1"/>
  <c r="F28" i="1"/>
  <c r="E28" i="1"/>
  <c r="D28" i="1"/>
  <c r="C28" i="1"/>
  <c r="B28" i="1"/>
  <c r="G27" i="1"/>
  <c r="I102" i="2" s="1"/>
  <c r="E102" i="3" s="1"/>
  <c r="F27" i="1"/>
  <c r="H88" i="2" s="1"/>
  <c r="C88" i="3" s="1"/>
  <c r="E27" i="1"/>
  <c r="D27" i="1"/>
  <c r="C27" i="1"/>
  <c r="B27" i="1"/>
  <c r="G26" i="1"/>
  <c r="F26" i="1"/>
  <c r="E26" i="1"/>
  <c r="D26" i="1"/>
  <c r="C26" i="1"/>
  <c r="B26" i="1"/>
  <c r="G25" i="1"/>
  <c r="D71" i="2" s="1"/>
  <c r="K71" i="3" s="1"/>
  <c r="F25" i="1"/>
  <c r="C71" i="2" s="1"/>
  <c r="G71" i="3" s="1"/>
  <c r="E25" i="1"/>
  <c r="D25" i="1"/>
  <c r="C25" i="1"/>
  <c r="B25" i="1"/>
  <c r="G24" i="1"/>
  <c r="F24" i="1"/>
  <c r="E24" i="1"/>
  <c r="D24" i="1"/>
  <c r="C24" i="1"/>
  <c r="B24" i="1"/>
  <c r="D115" i="2" s="1"/>
  <c r="E115" i="3" s="1"/>
  <c r="G23" i="1"/>
  <c r="F84" i="2" s="1"/>
  <c r="Q84" i="3" s="1"/>
  <c r="F23" i="1"/>
  <c r="I84" i="2" s="1"/>
  <c r="E84" i="3" s="1"/>
  <c r="E23" i="1"/>
  <c r="D23" i="1"/>
  <c r="C23" i="1"/>
  <c r="B23" i="1"/>
  <c r="G22" i="1"/>
  <c r="F22" i="1"/>
  <c r="E22" i="1"/>
  <c r="D22" i="1"/>
  <c r="C22" i="1"/>
  <c r="B22" i="1"/>
  <c r="G21" i="1"/>
  <c r="C89" i="2" s="1"/>
  <c r="K89" i="3" s="1"/>
  <c r="F21" i="1"/>
  <c r="E67" i="2" s="1"/>
  <c r="C67" i="3" s="1"/>
  <c r="E21" i="1"/>
  <c r="D21" i="1"/>
  <c r="C21" i="1"/>
  <c r="B21" i="1"/>
  <c r="G20" i="1"/>
  <c r="F20" i="1"/>
  <c r="E20" i="1"/>
  <c r="D20" i="1"/>
  <c r="C20" i="1"/>
  <c r="B20" i="1"/>
  <c r="B81" i="2" s="1"/>
  <c r="K10" i="1"/>
  <c r="K9" i="1"/>
  <c r="K8" i="1"/>
  <c r="K6" i="1"/>
  <c r="G113" i="2" l="1"/>
  <c r="G113" i="3" s="1"/>
  <c r="E75" i="2"/>
  <c r="M75" i="3" s="1"/>
  <c r="E98" i="2"/>
  <c r="M98" i="3" s="1"/>
  <c r="E116" i="2"/>
  <c r="C116" i="3" s="1"/>
  <c r="D82" i="2"/>
  <c r="I82" i="3" s="1"/>
  <c r="C118" i="2"/>
  <c r="I118" i="3" s="1"/>
  <c r="E82" i="2"/>
  <c r="E82" i="3" s="1"/>
  <c r="E100" i="2"/>
  <c r="M100" i="3" s="1"/>
  <c r="E118" i="2"/>
  <c r="E118" i="3" s="1"/>
  <c r="C117" i="2"/>
  <c r="K117" i="3" s="1"/>
  <c r="B116" i="2"/>
  <c r="M116" i="3" s="1"/>
  <c r="C67" i="2"/>
  <c r="E120" i="2"/>
  <c r="M120" i="3" s="1"/>
  <c r="K120" i="2"/>
  <c r="G101" i="2"/>
  <c r="G97" i="2"/>
  <c r="C97" i="3" s="1"/>
  <c r="K99" i="2"/>
  <c r="M99" i="3" s="1"/>
  <c r="I101" i="2"/>
  <c r="I101" i="3" s="1"/>
  <c r="C88" i="2"/>
  <c r="I88" i="3" s="1"/>
  <c r="G90" i="2"/>
  <c r="I90" i="3" s="1"/>
  <c r="D69" i="2"/>
  <c r="M69" i="3" s="1"/>
  <c r="I86" i="2"/>
  <c r="G86" i="3" s="1"/>
  <c r="G104" i="2"/>
  <c r="I104" i="3" s="1"/>
  <c r="L68" i="4"/>
  <c r="G83" i="4"/>
  <c r="L83" i="4" s="1"/>
  <c r="E102" i="2"/>
  <c r="C102" i="3" s="1"/>
  <c r="I112" i="2"/>
  <c r="G112" i="3" s="1"/>
  <c r="C99" i="2"/>
  <c r="G99" i="3" s="1"/>
  <c r="E103" i="2"/>
  <c r="C103" i="3" s="1"/>
  <c r="I105" i="2"/>
  <c r="O105" i="3" s="1"/>
  <c r="G86" i="2"/>
  <c r="G119" i="2"/>
  <c r="I119" i="3" s="1"/>
  <c r="B75" i="2"/>
  <c r="S75" i="3" s="1"/>
  <c r="G217" i="4"/>
  <c r="L217" i="4" s="1"/>
  <c r="L202" i="4"/>
  <c r="G175" i="4"/>
  <c r="L175" i="4" s="1"/>
  <c r="L160" i="4"/>
  <c r="K163" i="4"/>
  <c r="E178" i="4"/>
  <c r="K178" i="4" s="1"/>
  <c r="C112" i="2"/>
  <c r="E69" i="2"/>
  <c r="E71" i="2"/>
  <c r="C71" i="3" s="1"/>
  <c r="C73" i="2"/>
  <c r="I73" i="3" s="1"/>
  <c r="G75" i="2"/>
  <c r="I75" i="3" s="1"/>
  <c r="J90" i="2"/>
  <c r="C90" i="3" s="1"/>
  <c r="K72" i="2"/>
  <c r="S72" i="3" s="1"/>
  <c r="K90" i="2"/>
  <c r="K113" i="2"/>
  <c r="I113" i="3" s="1"/>
  <c r="I104" i="2"/>
  <c r="O104" i="3" s="1"/>
  <c r="G82" i="2"/>
  <c r="C82" i="3" s="1"/>
  <c r="K102" i="2"/>
  <c r="Q102" i="3" s="1"/>
  <c r="F246" i="4"/>
  <c r="F261" i="4" s="1"/>
  <c r="E246" i="4"/>
  <c r="C246" i="4"/>
  <c r="C261" i="4" s="1"/>
  <c r="G246" i="4"/>
  <c r="D246" i="4"/>
  <c r="D261" i="4" s="1"/>
  <c r="G254" i="4"/>
  <c r="C254" i="4"/>
  <c r="C269" i="4" s="1"/>
  <c r="F254" i="4"/>
  <c r="F269" i="4" s="1"/>
  <c r="B96" i="2"/>
  <c r="G72" i="4"/>
  <c r="E72" i="4"/>
  <c r="F72" i="4"/>
  <c r="F87" i="4" s="1"/>
  <c r="D338" i="4"/>
  <c r="D353" i="4" s="1"/>
  <c r="C338" i="4"/>
  <c r="C353" i="4" s="1"/>
  <c r="G338" i="4"/>
  <c r="F338" i="4"/>
  <c r="F353" i="4" s="1"/>
  <c r="E338" i="4"/>
  <c r="E73" i="2"/>
  <c r="E73" i="3" s="1"/>
  <c r="K104" i="2"/>
  <c r="E104" i="3" s="1"/>
  <c r="J69" i="2"/>
  <c r="Q69" i="3" s="1"/>
  <c r="J75" i="2"/>
  <c r="C75" i="3" s="1"/>
  <c r="F89" i="2"/>
  <c r="C89" i="3" s="1"/>
  <c r="H116" i="2"/>
  <c r="I116" i="3" s="1"/>
  <c r="K73" i="2"/>
  <c r="S73" i="3" s="1"/>
  <c r="K96" i="2"/>
  <c r="I96" i="3" s="1"/>
  <c r="G112" i="2"/>
  <c r="E112" i="3" s="1"/>
  <c r="C66" i="2"/>
  <c r="E66" i="3" s="1"/>
  <c r="C68" i="2"/>
  <c r="I68" i="3" s="1"/>
  <c r="B70" i="2"/>
  <c r="S70" i="3" s="1"/>
  <c r="I71" i="2"/>
  <c r="E71" i="3" s="1"/>
  <c r="B74" i="2"/>
  <c r="S74" i="3" s="1"/>
  <c r="F83" i="2"/>
  <c r="C83" i="3" s="1"/>
  <c r="E85" i="2"/>
  <c r="M85" i="3" s="1"/>
  <c r="I87" i="2"/>
  <c r="C87" i="3" s="1"/>
  <c r="H89" i="2"/>
  <c r="Q89" i="3" s="1"/>
  <c r="B97" i="2"/>
  <c r="S97" i="3" s="1"/>
  <c r="B99" i="2"/>
  <c r="S99" i="3" s="1"/>
  <c r="F101" i="2"/>
  <c r="M101" i="3" s="1"/>
  <c r="D103" i="2"/>
  <c r="I103" i="3" s="1"/>
  <c r="H105" i="2"/>
  <c r="S105" i="3" s="1"/>
  <c r="H112" i="2"/>
  <c r="I112" i="3" s="1"/>
  <c r="B115" i="2"/>
  <c r="S115" i="3" s="1"/>
  <c r="K116" i="2"/>
  <c r="Q116" i="3" s="1"/>
  <c r="H71" i="9"/>
  <c r="G71" i="9"/>
  <c r="B71" i="9"/>
  <c r="F249" i="4"/>
  <c r="F264" i="4" s="1"/>
  <c r="D249" i="4"/>
  <c r="D264" i="4" s="1"/>
  <c r="G249" i="4"/>
  <c r="E249" i="4"/>
  <c r="C249" i="4"/>
  <c r="C264" i="4" s="1"/>
  <c r="E253" i="4"/>
  <c r="D253" i="4"/>
  <c r="D268" i="4" s="1"/>
  <c r="F253" i="4"/>
  <c r="F268" i="4" s="1"/>
  <c r="C253" i="4"/>
  <c r="C268" i="4" s="1"/>
  <c r="K23" i="4"/>
  <c r="E38" i="4"/>
  <c r="K38" i="4" s="1"/>
  <c r="F205" i="4"/>
  <c r="F220" i="4" s="1"/>
  <c r="E205" i="4"/>
  <c r="G205" i="4"/>
  <c r="G225" i="4"/>
  <c r="L225" i="4" s="1"/>
  <c r="L210" i="4"/>
  <c r="B111" i="2"/>
  <c r="F96" i="2"/>
  <c r="O96" i="3" s="1"/>
  <c r="J81" i="2"/>
  <c r="O81" i="3" s="1"/>
  <c r="B66" i="2"/>
  <c r="D96" i="2"/>
  <c r="Q96" i="3" s="1"/>
  <c r="H81" i="2"/>
  <c r="Q81" i="3" s="1"/>
  <c r="J111" i="2"/>
  <c r="Q111" i="3" s="1"/>
  <c r="J96" i="2"/>
  <c r="M96" i="3" s="1"/>
  <c r="I81" i="2"/>
  <c r="K81" i="3" s="1"/>
  <c r="H66" i="2"/>
  <c r="I66" i="3" s="1"/>
  <c r="I111" i="2"/>
  <c r="G111" i="3" s="1"/>
  <c r="I96" i="2"/>
  <c r="C96" i="3" s="1"/>
  <c r="G81" i="2"/>
  <c r="E81" i="3" s="1"/>
  <c r="G111" i="2"/>
  <c r="K111" i="3" s="1"/>
  <c r="G96" i="2"/>
  <c r="G96" i="3" s="1"/>
  <c r="E81" i="2"/>
  <c r="G81" i="3" s="1"/>
  <c r="E66" i="2"/>
  <c r="C66" i="3" s="1"/>
  <c r="F111" i="2"/>
  <c r="S111" i="3" s="1"/>
  <c r="E96" i="2"/>
  <c r="E96" i="3" s="1"/>
  <c r="D81" i="2"/>
  <c r="I81" i="3" s="1"/>
  <c r="D66" i="2"/>
  <c r="M66" i="3" s="1"/>
  <c r="F119" i="2"/>
  <c r="C119" i="3" s="1"/>
  <c r="J104" i="2"/>
  <c r="B89" i="2"/>
  <c r="S89" i="3" s="1"/>
  <c r="F74" i="2"/>
  <c r="C74" i="3" s="1"/>
  <c r="D119" i="2"/>
  <c r="G119" i="3" s="1"/>
  <c r="H104" i="2"/>
  <c r="Q104" i="3" s="1"/>
  <c r="D74" i="2"/>
  <c r="E74" i="3" s="1"/>
  <c r="C119" i="2"/>
  <c r="K119" i="3" s="1"/>
  <c r="B119" i="2"/>
  <c r="S119" i="3" s="1"/>
  <c r="B104" i="2"/>
  <c r="S104" i="3" s="1"/>
  <c r="K89" i="2"/>
  <c r="G89" i="3" s="1"/>
  <c r="K74" i="2"/>
  <c r="G74" i="3" s="1"/>
  <c r="J89" i="2"/>
  <c r="J74" i="2"/>
  <c r="F82" i="2"/>
  <c r="O82" i="3" s="1"/>
  <c r="J86" i="2"/>
  <c r="M86" i="3" s="1"/>
  <c r="D89" i="2"/>
  <c r="E89" i="3" s="1"/>
  <c r="F100" i="2"/>
  <c r="F116" i="2"/>
  <c r="O116" i="3" s="1"/>
  <c r="E88" i="4"/>
  <c r="K88" i="4" s="1"/>
  <c r="K73" i="4"/>
  <c r="E131" i="4"/>
  <c r="K131" i="4" s="1"/>
  <c r="K116" i="4"/>
  <c r="G159" i="4"/>
  <c r="F159" i="4"/>
  <c r="F174" i="4" s="1"/>
  <c r="E266" i="4"/>
  <c r="K266" i="4" s="1"/>
  <c r="K251" i="4"/>
  <c r="E255" i="4"/>
  <c r="F255" i="4"/>
  <c r="F270" i="4" s="1"/>
  <c r="E269" i="4"/>
  <c r="K269" i="4" s="1"/>
  <c r="K254" i="4"/>
  <c r="G342" i="4"/>
  <c r="F342" i="4"/>
  <c r="F357" i="4" s="1"/>
  <c r="E342" i="4"/>
  <c r="D342" i="4"/>
  <c r="D357" i="4" s="1"/>
  <c r="C342" i="4"/>
  <c r="C357" i="4" s="1"/>
  <c r="I69" i="2"/>
  <c r="E69" i="3" s="1"/>
  <c r="I75" i="2"/>
  <c r="O75" i="3" s="1"/>
  <c r="K84" i="2"/>
  <c r="S84" i="3" s="1"/>
  <c r="E89" i="2"/>
  <c r="M89" i="3" s="1"/>
  <c r="C96" i="2"/>
  <c r="K96" i="3" s="1"/>
  <c r="G98" i="2"/>
  <c r="I98" i="3" s="1"/>
  <c r="E112" i="2"/>
  <c r="C112" i="3" s="1"/>
  <c r="G116" i="2"/>
  <c r="G118" i="2"/>
  <c r="G118" i="3" s="1"/>
  <c r="G29" i="4"/>
  <c r="E29" i="4"/>
  <c r="F29" i="4"/>
  <c r="F44" i="4" s="1"/>
  <c r="D29" i="4"/>
  <c r="D44" i="4" s="1"/>
  <c r="C29" i="4"/>
  <c r="C44" i="4" s="1"/>
  <c r="G71" i="2"/>
  <c r="K82" i="2"/>
  <c r="S82" i="3" s="1"/>
  <c r="D87" i="2"/>
  <c r="Q87" i="3" s="1"/>
  <c r="I98" i="2"/>
  <c r="O98" i="3" s="1"/>
  <c r="B103" i="2"/>
  <c r="S103" i="3" s="1"/>
  <c r="F112" i="2"/>
  <c r="O112" i="3" s="1"/>
  <c r="G114" i="2"/>
  <c r="E114" i="3" s="1"/>
  <c r="K67" i="2"/>
  <c r="S67" i="3" s="1"/>
  <c r="K69" i="2"/>
  <c r="S69" i="3" s="1"/>
  <c r="H71" i="2"/>
  <c r="I71" i="3" s="1"/>
  <c r="K75" i="2"/>
  <c r="E83" i="2"/>
  <c r="K83" i="3" s="1"/>
  <c r="G87" i="2"/>
  <c r="E87" i="3" s="1"/>
  <c r="G89" i="2"/>
  <c r="I89" i="3" s="1"/>
  <c r="K98" i="2"/>
  <c r="G98" i="3" s="1"/>
  <c r="E101" i="2"/>
  <c r="C101" i="3" s="1"/>
  <c r="C103" i="2"/>
  <c r="G103" i="3" s="1"/>
  <c r="G105" i="2"/>
  <c r="I105" i="3" s="1"/>
  <c r="K114" i="2"/>
  <c r="S114" i="3" s="1"/>
  <c r="E119" i="2"/>
  <c r="M119" i="3" s="1"/>
  <c r="G67" i="4"/>
  <c r="F67" i="4"/>
  <c r="F82" i="4" s="1"/>
  <c r="D67" i="4"/>
  <c r="D82" i="4" s="1"/>
  <c r="E67" i="4"/>
  <c r="C67" i="4"/>
  <c r="C82" i="4" s="1"/>
  <c r="C71" i="4"/>
  <c r="C86" i="4" s="1"/>
  <c r="F71" i="4"/>
  <c r="F86" i="4" s="1"/>
  <c r="D71" i="4"/>
  <c r="D86" i="4" s="1"/>
  <c r="G71" i="4"/>
  <c r="E71" i="4"/>
  <c r="K118" i="4"/>
  <c r="E133" i="4"/>
  <c r="K133" i="4" s="1"/>
  <c r="H72" i="9"/>
  <c r="G72" i="9"/>
  <c r="C72" i="9"/>
  <c r="B72" i="9"/>
  <c r="L292" i="4"/>
  <c r="G307" i="4"/>
  <c r="L307" i="4" s="1"/>
  <c r="F66" i="2"/>
  <c r="Q66" i="3" s="1"/>
  <c r="E68" i="2"/>
  <c r="M68" i="3" s="1"/>
  <c r="C70" i="2"/>
  <c r="K70" i="3" s="1"/>
  <c r="D72" i="2"/>
  <c r="M72" i="3" s="1"/>
  <c r="C74" i="2"/>
  <c r="K74" i="3" s="1"/>
  <c r="C81" i="2"/>
  <c r="C81" i="3" s="1"/>
  <c r="G83" i="2"/>
  <c r="M83" i="3" s="1"/>
  <c r="G85" i="2"/>
  <c r="I85" i="3" s="1"/>
  <c r="K87" i="2"/>
  <c r="S87" i="3" s="1"/>
  <c r="I89" i="2"/>
  <c r="O89" i="3" s="1"/>
  <c r="C97" i="2"/>
  <c r="C115" i="2"/>
  <c r="K115" i="3" s="1"/>
  <c r="H119" i="2"/>
  <c r="Q119" i="3" s="1"/>
  <c r="E112" i="4"/>
  <c r="D112" i="4"/>
  <c r="D127" i="4" s="1"/>
  <c r="G112" i="4"/>
  <c r="C112" i="4"/>
  <c r="C127" i="4" s="1"/>
  <c r="G116" i="4"/>
  <c r="F116" i="4"/>
  <c r="F131" i="4" s="1"/>
  <c r="D116" i="4"/>
  <c r="D131" i="4" s="1"/>
  <c r="C116" i="4"/>
  <c r="C131" i="4" s="1"/>
  <c r="F120" i="4"/>
  <c r="F135" i="4" s="1"/>
  <c r="C120" i="4"/>
  <c r="C135" i="4" s="1"/>
  <c r="G120" i="4"/>
  <c r="E120" i="4"/>
  <c r="D120" i="4"/>
  <c r="D135" i="4" s="1"/>
  <c r="F112" i="4"/>
  <c r="F127" i="4" s="1"/>
  <c r="G133" i="4"/>
  <c r="L133" i="4" s="1"/>
  <c r="L118" i="4"/>
  <c r="G222" i="4"/>
  <c r="L222" i="4" s="1"/>
  <c r="L207" i="4"/>
  <c r="G306" i="4"/>
  <c r="L306" i="4" s="1"/>
  <c r="G177" i="4"/>
  <c r="L177" i="4" s="1"/>
  <c r="L162" i="4"/>
  <c r="B117" i="2"/>
  <c r="I117" i="3" s="1"/>
  <c r="F102" i="2"/>
  <c r="M102" i="3" s="1"/>
  <c r="J87" i="2"/>
  <c r="K87" i="3" s="1"/>
  <c r="B72" i="2"/>
  <c r="K72" i="3" s="1"/>
  <c r="D102" i="2"/>
  <c r="K102" i="3" s="1"/>
  <c r="H87" i="2"/>
  <c r="H117" i="2"/>
  <c r="H102" i="2"/>
  <c r="F87" i="2"/>
  <c r="M87" i="3" s="1"/>
  <c r="F72" i="2"/>
  <c r="O72" i="3" s="1"/>
  <c r="G117" i="2"/>
  <c r="G117" i="3" s="1"/>
  <c r="G102" i="2"/>
  <c r="I102" i="3" s="1"/>
  <c r="E87" i="2"/>
  <c r="G87" i="3" s="1"/>
  <c r="E117" i="2"/>
  <c r="E117" i="3" s="1"/>
  <c r="C102" i="2"/>
  <c r="G102" i="3" s="1"/>
  <c r="C87" i="2"/>
  <c r="I87" i="3" s="1"/>
  <c r="C72" i="2"/>
  <c r="I72" i="3" s="1"/>
  <c r="D117" i="2"/>
  <c r="M117" i="3" s="1"/>
  <c r="B102" i="2"/>
  <c r="S102" i="3" s="1"/>
  <c r="B87" i="2"/>
  <c r="O87" i="3" s="1"/>
  <c r="J84" i="2"/>
  <c r="O84" i="3" s="1"/>
  <c r="F98" i="2"/>
  <c r="C98" i="3" s="1"/>
  <c r="F118" i="2"/>
  <c r="O118" i="3" s="1"/>
  <c r="F247" i="4"/>
  <c r="F262" i="4" s="1"/>
  <c r="E247" i="4"/>
  <c r="D293" i="4"/>
  <c r="D308" i="4" s="1"/>
  <c r="G293" i="4"/>
  <c r="F293" i="4"/>
  <c r="F308" i="4" s="1"/>
  <c r="E293" i="4"/>
  <c r="E297" i="4"/>
  <c r="D297" i="4"/>
  <c r="D312" i="4" s="1"/>
  <c r="L297" i="4"/>
  <c r="G67" i="2"/>
  <c r="E67" i="3" s="1"/>
  <c r="F71" i="2"/>
  <c r="O71" i="3" s="1"/>
  <c r="K86" i="2"/>
  <c r="S86" i="3" s="1"/>
  <c r="G100" i="2"/>
  <c r="I100" i="3" s="1"/>
  <c r="C114" i="2"/>
  <c r="G114" i="3" s="1"/>
  <c r="D21" i="4"/>
  <c r="D36" i="4" s="1"/>
  <c r="C21" i="4"/>
  <c r="C36" i="4" s="1"/>
  <c r="G21" i="4"/>
  <c r="E21" i="4"/>
  <c r="F21" i="4"/>
  <c r="F36" i="4" s="1"/>
  <c r="C25" i="4"/>
  <c r="C40" i="4" s="1"/>
  <c r="G25" i="4"/>
  <c r="F25" i="4"/>
  <c r="F40" i="4" s="1"/>
  <c r="E25" i="4"/>
  <c r="F250" i="4"/>
  <c r="F265" i="4" s="1"/>
  <c r="E250" i="4"/>
  <c r="G250" i="4"/>
  <c r="J67" i="2"/>
  <c r="Q67" i="3" s="1"/>
  <c r="H73" i="2"/>
  <c r="C73" i="3" s="1"/>
  <c r="B85" i="2"/>
  <c r="Q85" i="3" s="1"/>
  <c r="H96" i="2"/>
  <c r="S96" i="3" s="1"/>
  <c r="J100" i="2"/>
  <c r="C100" i="3" s="1"/>
  <c r="D105" i="2"/>
  <c r="G105" i="3" s="1"/>
  <c r="J118" i="2"/>
  <c r="S118" i="3" s="1"/>
  <c r="G158" i="4"/>
  <c r="E158" i="4"/>
  <c r="F158" i="4"/>
  <c r="F173" i="4" s="1"/>
  <c r="D158" i="4"/>
  <c r="D173" i="4" s="1"/>
  <c r="C158" i="4"/>
  <c r="C173" i="4" s="1"/>
  <c r="D162" i="4"/>
  <c r="D177" i="4" s="1"/>
  <c r="C162" i="4"/>
  <c r="C177" i="4" s="1"/>
  <c r="E162" i="4"/>
  <c r="F162" i="4"/>
  <c r="F177" i="4" s="1"/>
  <c r="D250" i="4"/>
  <c r="D265" i="4" s="1"/>
  <c r="C85" i="2"/>
  <c r="K85" i="3" s="1"/>
  <c r="I116" i="2"/>
  <c r="E116" i="3" s="1"/>
  <c r="E75" i="4"/>
  <c r="D75" i="4"/>
  <c r="D90" i="4" s="1"/>
  <c r="C75" i="4"/>
  <c r="C90" i="4" s="1"/>
  <c r="G75" i="4"/>
  <c r="L111" i="4"/>
  <c r="G126" i="4"/>
  <c r="L126" i="4" s="1"/>
  <c r="K204" i="4"/>
  <c r="E219" i="4"/>
  <c r="K219" i="4" s="1"/>
  <c r="D112" i="2"/>
  <c r="K112" i="3" s="1"/>
  <c r="H97" i="2"/>
  <c r="Q97" i="3" s="1"/>
  <c r="D67" i="2"/>
  <c r="I67" i="3" s="1"/>
  <c r="B112" i="2"/>
  <c r="M112" i="3" s="1"/>
  <c r="F97" i="2"/>
  <c r="I97" i="3" s="1"/>
  <c r="J82" i="2"/>
  <c r="Q82" i="3" s="1"/>
  <c r="B67" i="2"/>
  <c r="K67" i="3" s="1"/>
  <c r="K112" i="2"/>
  <c r="S112" i="3" s="1"/>
  <c r="K97" i="2"/>
  <c r="M97" i="3" s="1"/>
  <c r="I82" i="2"/>
  <c r="G82" i="3" s="1"/>
  <c r="I67" i="2"/>
  <c r="G67" i="3" s="1"/>
  <c r="J112" i="2"/>
  <c r="Q112" i="3" s="1"/>
  <c r="J97" i="2"/>
  <c r="K97" i="3" s="1"/>
  <c r="H82" i="2"/>
  <c r="M82" i="3" s="1"/>
  <c r="H67" i="2"/>
  <c r="M67" i="3" s="1"/>
  <c r="H114" i="2"/>
  <c r="I114" i="3" s="1"/>
  <c r="D84" i="2"/>
  <c r="M84" i="3" s="1"/>
  <c r="H69" i="2"/>
  <c r="I69" i="3" s="1"/>
  <c r="F114" i="2"/>
  <c r="O114" i="3" s="1"/>
  <c r="J99" i="2"/>
  <c r="O99" i="3" s="1"/>
  <c r="B84" i="2"/>
  <c r="K84" i="3" s="1"/>
  <c r="F69" i="2"/>
  <c r="O69" i="3" s="1"/>
  <c r="J114" i="2"/>
  <c r="Q114" i="3" s="1"/>
  <c r="H99" i="2"/>
  <c r="Q99" i="3" s="1"/>
  <c r="H84" i="2"/>
  <c r="I84" i="3" s="1"/>
  <c r="G69" i="2"/>
  <c r="C69" i="3" s="1"/>
  <c r="I114" i="2"/>
  <c r="C114" i="3" s="1"/>
  <c r="G99" i="2"/>
  <c r="C99" i="3" s="1"/>
  <c r="G84" i="2"/>
  <c r="C84" i="3" s="1"/>
  <c r="E114" i="2"/>
  <c r="E99" i="2"/>
  <c r="E84" i="2"/>
  <c r="C69" i="2"/>
  <c r="G69" i="3" s="1"/>
  <c r="D114" i="2"/>
  <c r="M114" i="3" s="1"/>
  <c r="D99" i="2"/>
  <c r="I99" i="3" s="1"/>
  <c r="C84" i="2"/>
  <c r="G84" i="3" s="1"/>
  <c r="B69" i="2"/>
  <c r="K69" i="3" s="1"/>
  <c r="D101" i="2"/>
  <c r="E101" i="3" s="1"/>
  <c r="H86" i="2"/>
  <c r="I86" i="3" s="1"/>
  <c r="J116" i="2"/>
  <c r="S116" i="3" s="1"/>
  <c r="B101" i="2"/>
  <c r="S101" i="3" s="1"/>
  <c r="F86" i="2"/>
  <c r="O86" i="3" s="1"/>
  <c r="J71" i="2"/>
  <c r="Q71" i="3" s="1"/>
  <c r="D116" i="2"/>
  <c r="K116" i="3" s="1"/>
  <c r="C101" i="2"/>
  <c r="G101" i="3" s="1"/>
  <c r="B86" i="2"/>
  <c r="K86" i="3" s="1"/>
  <c r="B71" i="2"/>
  <c r="M71" i="3" s="1"/>
  <c r="C116" i="2"/>
  <c r="G116" i="3" s="1"/>
  <c r="K71" i="2"/>
  <c r="S71" i="3" s="1"/>
  <c r="D118" i="2"/>
  <c r="M118" i="3" s="1"/>
  <c r="H103" i="2"/>
  <c r="O103" i="3" s="1"/>
  <c r="D73" i="2"/>
  <c r="M73" i="3" s="1"/>
  <c r="B118" i="2"/>
  <c r="K118" i="3" s="1"/>
  <c r="F103" i="2"/>
  <c r="M103" i="3" s="1"/>
  <c r="J88" i="2"/>
  <c r="M88" i="3" s="1"/>
  <c r="B73" i="2"/>
  <c r="K73" i="3" s="1"/>
  <c r="K88" i="2"/>
  <c r="S88" i="3" s="1"/>
  <c r="J73" i="2"/>
  <c r="Q73" i="3" s="1"/>
  <c r="K118" i="2"/>
  <c r="Q118" i="3" s="1"/>
  <c r="K103" i="2"/>
  <c r="K103" i="3" s="1"/>
  <c r="I88" i="2"/>
  <c r="I73" i="2"/>
  <c r="I118" i="2"/>
  <c r="I103" i="2"/>
  <c r="G88" i="2"/>
  <c r="G88" i="3" s="1"/>
  <c r="G73" i="2"/>
  <c r="G73" i="3" s="1"/>
  <c r="H118" i="2"/>
  <c r="C118" i="3" s="1"/>
  <c r="G103" i="2"/>
  <c r="E103" i="3" s="1"/>
  <c r="F88" i="2"/>
  <c r="O88" i="3" s="1"/>
  <c r="F73" i="2"/>
  <c r="O73" i="3" s="1"/>
  <c r="H120" i="2"/>
  <c r="Q120" i="3" s="1"/>
  <c r="D90" i="2"/>
  <c r="G90" i="3" s="1"/>
  <c r="H75" i="2"/>
  <c r="Q75" i="3" s="1"/>
  <c r="F120" i="2"/>
  <c r="E120" i="3" s="1"/>
  <c r="J105" i="2"/>
  <c r="C105" i="3" s="1"/>
  <c r="B90" i="2"/>
  <c r="Q90" i="3" s="1"/>
  <c r="F75" i="2"/>
  <c r="E75" i="3" s="1"/>
  <c r="I120" i="2"/>
  <c r="O120" i="3" s="1"/>
  <c r="J120" i="2"/>
  <c r="C120" i="3" s="1"/>
  <c r="F105" i="2"/>
  <c r="E105" i="3" s="1"/>
  <c r="F90" i="2"/>
  <c r="E90" i="3" s="1"/>
  <c r="D75" i="2"/>
  <c r="G75" i="3" s="1"/>
  <c r="G120" i="2"/>
  <c r="I120" i="3" s="1"/>
  <c r="E105" i="2"/>
  <c r="M105" i="3" s="1"/>
  <c r="E90" i="2"/>
  <c r="M90" i="3" s="1"/>
  <c r="C75" i="2"/>
  <c r="K75" i="3" s="1"/>
  <c r="D120" i="2"/>
  <c r="G120" i="3" s="1"/>
  <c r="C105" i="2"/>
  <c r="K105" i="3" s="1"/>
  <c r="C120" i="2"/>
  <c r="K120" i="3" s="1"/>
  <c r="B105" i="2"/>
  <c r="Q105" i="3" s="1"/>
  <c r="G66" i="2"/>
  <c r="G66" i="3" s="1"/>
  <c r="G68" i="2"/>
  <c r="K68" i="3" s="1"/>
  <c r="D70" i="2"/>
  <c r="E70" i="3" s="1"/>
  <c r="E72" i="2"/>
  <c r="E72" i="3" s="1"/>
  <c r="E74" i="2"/>
  <c r="M74" i="3" s="1"/>
  <c r="F81" i="2"/>
  <c r="M81" i="3" s="1"/>
  <c r="H83" i="2"/>
  <c r="S83" i="3" s="1"/>
  <c r="J85" i="2"/>
  <c r="C85" i="3" s="1"/>
  <c r="B88" i="2"/>
  <c r="Q88" i="3" s="1"/>
  <c r="C90" i="2"/>
  <c r="K90" i="3" s="1"/>
  <c r="D97" i="2"/>
  <c r="G97" i="3" s="1"/>
  <c r="F99" i="2"/>
  <c r="K99" i="3" s="1"/>
  <c r="H101" i="2"/>
  <c r="Q101" i="3" s="1"/>
  <c r="J103" i="2"/>
  <c r="Q103" i="3" s="1"/>
  <c r="K105" i="2"/>
  <c r="B113" i="2"/>
  <c r="S113" i="3" s="1"/>
  <c r="F117" i="2"/>
  <c r="O117" i="3" s="1"/>
  <c r="I119" i="2"/>
  <c r="O119" i="3" s="1"/>
  <c r="K27" i="4"/>
  <c r="E42" i="4"/>
  <c r="K42" i="4" s="1"/>
  <c r="E66" i="4"/>
  <c r="D66" i="4"/>
  <c r="D81" i="4" s="1"/>
  <c r="G66" i="4"/>
  <c r="F66" i="4"/>
  <c r="F81" i="4" s="1"/>
  <c r="G70" i="4"/>
  <c r="F70" i="4"/>
  <c r="F85" i="4" s="1"/>
  <c r="D70" i="4"/>
  <c r="D85" i="4" s="1"/>
  <c r="E70" i="4"/>
  <c r="F74" i="4"/>
  <c r="F89" i="4" s="1"/>
  <c r="E74" i="4"/>
  <c r="C74" i="4"/>
  <c r="C89" i="4" s="1"/>
  <c r="D74" i="4"/>
  <c r="D89" i="4" s="1"/>
  <c r="G74" i="4"/>
  <c r="L164" i="4"/>
  <c r="K207" i="4"/>
  <c r="G221" i="4"/>
  <c r="L221" i="4" s="1"/>
  <c r="C71" i="9" s="1"/>
  <c r="J115" i="2"/>
  <c r="C115" i="3" s="1"/>
  <c r="B100" i="2"/>
  <c r="S100" i="3" s="1"/>
  <c r="F85" i="2"/>
  <c r="J70" i="2"/>
  <c r="C70" i="3" s="1"/>
  <c r="H115" i="2"/>
  <c r="Q115" i="3" s="1"/>
  <c r="D85" i="2"/>
  <c r="E85" i="3" s="1"/>
  <c r="H70" i="2"/>
  <c r="Q70" i="3" s="1"/>
  <c r="K100" i="2"/>
  <c r="G100" i="3" s="1"/>
  <c r="K85" i="2"/>
  <c r="G85" i="3" s="1"/>
  <c r="K115" i="2"/>
  <c r="G115" i="3" s="1"/>
  <c r="I100" i="2"/>
  <c r="O100" i="3" s="1"/>
  <c r="I85" i="2"/>
  <c r="O85" i="3" s="1"/>
  <c r="G70" i="2"/>
  <c r="I70" i="3" s="1"/>
  <c r="I115" i="2"/>
  <c r="O115" i="3" s="1"/>
  <c r="H100" i="2"/>
  <c r="Q100" i="3" s="1"/>
  <c r="H85" i="2"/>
  <c r="S85" i="3" s="1"/>
  <c r="F70" i="2"/>
  <c r="F67" i="2"/>
  <c r="O67" i="3" s="1"/>
  <c r="J102" i="2"/>
  <c r="O102" i="3" s="1"/>
  <c r="I66" i="2"/>
  <c r="K66" i="3" s="1"/>
  <c r="H68" i="2"/>
  <c r="Q68" i="3" s="1"/>
  <c r="E70" i="2"/>
  <c r="M70" i="3" s="1"/>
  <c r="G72" i="2"/>
  <c r="G72" i="3" s="1"/>
  <c r="G74" i="2"/>
  <c r="I74" i="3" s="1"/>
  <c r="K81" i="2"/>
  <c r="S81" i="3" s="1"/>
  <c r="I83" i="2"/>
  <c r="O83" i="3" s="1"/>
  <c r="C86" i="2"/>
  <c r="E86" i="3" s="1"/>
  <c r="E97" i="2"/>
  <c r="E97" i="3" s="1"/>
  <c r="I99" i="2"/>
  <c r="E99" i="3" s="1"/>
  <c r="C104" i="2"/>
  <c r="K104" i="3" s="1"/>
  <c r="C111" i="2"/>
  <c r="I111" i="3" s="1"/>
  <c r="E115" i="2"/>
  <c r="M115" i="3" s="1"/>
  <c r="I117" i="2"/>
  <c r="C117" i="3" s="1"/>
  <c r="J119" i="2"/>
  <c r="K202" i="4"/>
  <c r="E217" i="4"/>
  <c r="K217" i="4" s="1"/>
  <c r="G209" i="4"/>
  <c r="F209" i="4"/>
  <c r="F224" i="4" s="1"/>
  <c r="E209" i="4"/>
  <c r="F113" i="2"/>
  <c r="C113" i="3" s="1"/>
  <c r="J98" i="2"/>
  <c r="E98" i="3" s="1"/>
  <c r="B83" i="2"/>
  <c r="Q83" i="3" s="1"/>
  <c r="F68" i="2"/>
  <c r="C68" i="3" s="1"/>
  <c r="D113" i="2"/>
  <c r="H98" i="2"/>
  <c r="Q98" i="3" s="1"/>
  <c r="D68" i="2"/>
  <c r="E113" i="2"/>
  <c r="M113" i="3" s="1"/>
  <c r="D98" i="2"/>
  <c r="D83" i="2"/>
  <c r="B68" i="2"/>
  <c r="S68" i="3" s="1"/>
  <c r="C113" i="2"/>
  <c r="K113" i="3" s="1"/>
  <c r="C98" i="2"/>
  <c r="K98" i="3" s="1"/>
  <c r="C83" i="2"/>
  <c r="G83" i="3" s="1"/>
  <c r="B114" i="2"/>
  <c r="K114" i="3" s="1"/>
  <c r="F68" i="4"/>
  <c r="F83" i="4" s="1"/>
  <c r="E68" i="4"/>
  <c r="C68" i="4"/>
  <c r="C83" i="4" s="1"/>
  <c r="D68" i="4"/>
  <c r="D83" i="4" s="1"/>
  <c r="E37" i="7"/>
  <c r="E13" i="7"/>
  <c r="E30" i="7"/>
  <c r="E6" i="7"/>
  <c r="E43" i="7"/>
  <c r="E19" i="7"/>
  <c r="E36" i="7"/>
  <c r="E12" i="7"/>
  <c r="E49" i="7"/>
  <c r="E25" i="7"/>
  <c r="E42" i="7"/>
  <c r="E18" i="7"/>
  <c r="E31" i="7"/>
  <c r="E7" i="7"/>
  <c r="E48" i="7"/>
  <c r="E24" i="7"/>
  <c r="J66" i="2"/>
  <c r="O66" i="3" s="1"/>
  <c r="I68" i="2"/>
  <c r="O68" i="3" s="1"/>
  <c r="I70" i="2"/>
  <c r="O70" i="3" s="1"/>
  <c r="H72" i="2"/>
  <c r="H74" i="2"/>
  <c r="Q74" i="3" s="1"/>
  <c r="B82" i="2"/>
  <c r="K82" i="3" s="1"/>
  <c r="J83" i="2"/>
  <c r="E83" i="3" s="1"/>
  <c r="D86" i="2"/>
  <c r="Q86" i="3" s="1"/>
  <c r="D88" i="2"/>
  <c r="K88" i="3" s="1"/>
  <c r="H90" i="2"/>
  <c r="S90" i="3" s="1"/>
  <c r="J101" i="2"/>
  <c r="O101" i="3" s="1"/>
  <c r="D104" i="2"/>
  <c r="G104" i="3" s="1"/>
  <c r="D111" i="2"/>
  <c r="M111" i="3" s="1"/>
  <c r="H113" i="2"/>
  <c r="Q113" i="3" s="1"/>
  <c r="F115" i="2"/>
  <c r="J117" i="2"/>
  <c r="S117" i="3" s="1"/>
  <c r="K119" i="2"/>
  <c r="E119" i="3" s="1"/>
  <c r="G23" i="4"/>
  <c r="F23" i="4"/>
  <c r="F38" i="4" s="1"/>
  <c r="K66" i="2"/>
  <c r="S66" i="3" s="1"/>
  <c r="J68" i="2"/>
  <c r="E68" i="3" s="1"/>
  <c r="K70" i="2"/>
  <c r="G70" i="3" s="1"/>
  <c r="I72" i="2"/>
  <c r="C72" i="3" s="1"/>
  <c r="I74" i="2"/>
  <c r="O74" i="3" s="1"/>
  <c r="C82" i="2"/>
  <c r="K83" i="2"/>
  <c r="I83" i="3" s="1"/>
  <c r="E86" i="2"/>
  <c r="C86" i="3" s="1"/>
  <c r="E88" i="2"/>
  <c r="E88" i="3" s="1"/>
  <c r="I90" i="2"/>
  <c r="O90" i="3" s="1"/>
  <c r="I97" i="2"/>
  <c r="O97" i="3" s="1"/>
  <c r="C100" i="2"/>
  <c r="K100" i="3" s="1"/>
  <c r="K101" i="2"/>
  <c r="K101" i="3" s="1"/>
  <c r="E104" i="2"/>
  <c r="M104" i="3" s="1"/>
  <c r="E111" i="2"/>
  <c r="E111" i="3" s="1"/>
  <c r="I113" i="2"/>
  <c r="O113" i="3" s="1"/>
  <c r="G115" i="2"/>
  <c r="I115" i="3" s="1"/>
  <c r="K117" i="2"/>
  <c r="Q117" i="3" s="1"/>
  <c r="B120" i="2"/>
  <c r="S120" i="3" s="1"/>
  <c r="E43" i="4"/>
  <c r="K43" i="4" s="1"/>
  <c r="K28" i="4"/>
  <c r="C72" i="4"/>
  <c r="C87" i="4" s="1"/>
  <c r="E111" i="4"/>
  <c r="F111" i="4"/>
  <c r="F126" i="4" s="1"/>
  <c r="D111" i="4"/>
  <c r="D126" i="4" s="1"/>
  <c r="F115" i="4"/>
  <c r="F130" i="4" s="1"/>
  <c r="D115" i="4"/>
  <c r="D130" i="4" s="1"/>
  <c r="D119" i="4"/>
  <c r="D134" i="4" s="1"/>
  <c r="G119" i="4"/>
  <c r="F119" i="4"/>
  <c r="F134" i="4" s="1"/>
  <c r="E119" i="4"/>
  <c r="G51" i="9"/>
  <c r="B51" i="9"/>
  <c r="E180" i="4"/>
  <c r="K180" i="4" s="1"/>
  <c r="G247" i="4"/>
  <c r="G253" i="4"/>
  <c r="C297" i="4"/>
  <c r="C312" i="4" s="1"/>
  <c r="E69" i="4"/>
  <c r="D69" i="4"/>
  <c r="D84" i="4" s="1"/>
  <c r="C69" i="4"/>
  <c r="C84" i="4" s="1"/>
  <c r="G73" i="4"/>
  <c r="D73" i="4"/>
  <c r="D88" i="4" s="1"/>
  <c r="C73" i="4"/>
  <c r="C88" i="4" s="1"/>
  <c r="G69" i="4"/>
  <c r="E129" i="4"/>
  <c r="K129" i="4" s="1"/>
  <c r="K114" i="4"/>
  <c r="C157" i="4"/>
  <c r="C172" i="4" s="1"/>
  <c r="G157" i="4"/>
  <c r="D157" i="4"/>
  <c r="D172" i="4" s="1"/>
  <c r="F157" i="4"/>
  <c r="F172" i="4" s="1"/>
  <c r="F161" i="4"/>
  <c r="F176" i="4" s="1"/>
  <c r="E161" i="4"/>
  <c r="C161" i="4"/>
  <c r="C176" i="4" s="1"/>
  <c r="D161" i="4"/>
  <c r="D176" i="4" s="1"/>
  <c r="G165" i="4"/>
  <c r="F165" i="4"/>
  <c r="F180" i="4" s="1"/>
  <c r="D165" i="4"/>
  <c r="D180" i="4" s="1"/>
  <c r="C165" i="4"/>
  <c r="C180" i="4" s="1"/>
  <c r="E157" i="4"/>
  <c r="F204" i="4"/>
  <c r="F219" i="4" s="1"/>
  <c r="C204" i="4"/>
  <c r="C219" i="4" s="1"/>
  <c r="G208" i="4"/>
  <c r="F208" i="4"/>
  <c r="F223" i="4" s="1"/>
  <c r="D208" i="4"/>
  <c r="D223" i="4" s="1"/>
  <c r="E208" i="4"/>
  <c r="C208" i="4"/>
  <c r="C223" i="4" s="1"/>
  <c r="G204" i="4"/>
  <c r="F291" i="4"/>
  <c r="F306" i="4" s="1"/>
  <c r="D291" i="4"/>
  <c r="D306" i="4" s="1"/>
  <c r="E291" i="4"/>
  <c r="F295" i="4"/>
  <c r="F310" i="4" s="1"/>
  <c r="C295" i="4"/>
  <c r="C310" i="4" s="1"/>
  <c r="E295" i="4"/>
  <c r="D295" i="4"/>
  <c r="D310" i="4" s="1"/>
  <c r="G299" i="4"/>
  <c r="E299" i="4"/>
  <c r="C299" i="4"/>
  <c r="C314" i="4" s="1"/>
  <c r="F299" i="4"/>
  <c r="F314" i="4" s="1"/>
  <c r="G43" i="4"/>
  <c r="L43" i="4" s="1"/>
  <c r="G267" i="4"/>
  <c r="L267" i="4" s="1"/>
  <c r="C87" i="9" s="1"/>
  <c r="L252" i="4"/>
  <c r="F113" i="4"/>
  <c r="F128" i="4" s="1"/>
  <c r="E113" i="4"/>
  <c r="D117" i="4"/>
  <c r="D132" i="4" s="1"/>
  <c r="G117" i="4"/>
  <c r="G310" i="4"/>
  <c r="L310" i="4" s="1"/>
  <c r="L295" i="4"/>
  <c r="F22" i="4"/>
  <c r="F37" i="4" s="1"/>
  <c r="G22" i="4"/>
  <c r="C22" i="4"/>
  <c r="C37" i="4" s="1"/>
  <c r="E26" i="4"/>
  <c r="D26" i="4"/>
  <c r="D41" i="4" s="1"/>
  <c r="G26" i="4"/>
  <c r="C26" i="4"/>
  <c r="C41" i="4" s="1"/>
  <c r="G30" i="4"/>
  <c r="E30" i="4"/>
  <c r="D30" i="4"/>
  <c r="D45" i="4" s="1"/>
  <c r="E22" i="4"/>
  <c r="F30" i="4"/>
  <c r="F45" i="4" s="1"/>
  <c r="G255" i="4"/>
  <c r="G87" i="9"/>
  <c r="B87" i="9"/>
  <c r="H59" i="9"/>
  <c r="G59" i="9"/>
  <c r="C59" i="9"/>
  <c r="B59" i="9"/>
  <c r="G294" i="4"/>
  <c r="F294" i="4"/>
  <c r="F309" i="4" s="1"/>
  <c r="E294" i="4"/>
  <c r="C294" i="4"/>
  <c r="C309" i="4" s="1"/>
  <c r="E298" i="4"/>
  <c r="C298" i="4"/>
  <c r="C313" i="4" s="1"/>
  <c r="G298" i="4"/>
  <c r="D298" i="4"/>
  <c r="D313" i="4" s="1"/>
  <c r="D294" i="4"/>
  <c r="D309" i="4" s="1"/>
  <c r="F298" i="4"/>
  <c r="F313" i="4" s="1"/>
  <c r="G24" i="4"/>
  <c r="F24" i="4"/>
  <c r="F39" i="4" s="1"/>
  <c r="D24" i="4"/>
  <c r="D39" i="4" s="1"/>
  <c r="E24" i="4"/>
  <c r="C24" i="4"/>
  <c r="C39" i="4" s="1"/>
  <c r="C28" i="4"/>
  <c r="C43" i="4" s="1"/>
  <c r="F28" i="4"/>
  <c r="F43" i="4" s="1"/>
  <c r="G156" i="4"/>
  <c r="F160" i="4"/>
  <c r="F175" i="4" s="1"/>
  <c r="G27" i="4"/>
  <c r="G114" i="4"/>
  <c r="E159" i="4"/>
  <c r="D159" i="4"/>
  <c r="D174" i="4" s="1"/>
  <c r="F163" i="4"/>
  <c r="F178" i="4" s="1"/>
  <c r="G163" i="4"/>
  <c r="D163" i="4"/>
  <c r="D178" i="4" s="1"/>
  <c r="G251" i="4"/>
  <c r="G115" i="4"/>
  <c r="F203" i="4"/>
  <c r="F218" i="4" s="1"/>
  <c r="E203" i="4"/>
  <c r="C203" i="4"/>
  <c r="C218" i="4" s="1"/>
  <c r="C201" i="4"/>
  <c r="C216" i="4" s="1"/>
  <c r="G203" i="4"/>
  <c r="E248" i="4"/>
  <c r="C206" i="4"/>
  <c r="C221" i="4" s="1"/>
  <c r="D248" i="4"/>
  <c r="D263" i="4" s="1"/>
  <c r="F292" i="4"/>
  <c r="F307" i="4" s="1"/>
  <c r="E292" i="4"/>
  <c r="C292" i="4"/>
  <c r="C307" i="4" s="1"/>
  <c r="G296" i="4"/>
  <c r="E210" i="4"/>
  <c r="D210" i="4"/>
  <c r="D225" i="4" s="1"/>
  <c r="D206" i="4"/>
  <c r="D221" i="4" s="1"/>
  <c r="F296" i="4"/>
  <c r="F311" i="4" s="1"/>
  <c r="G300" i="4"/>
  <c r="E300" i="4"/>
  <c r="G113" i="4"/>
  <c r="F117" i="4"/>
  <c r="F132" i="4" s="1"/>
  <c r="E117" i="4"/>
  <c r="C117" i="4"/>
  <c r="C132" i="4" s="1"/>
  <c r="D113" i="4"/>
  <c r="D128" i="4" s="1"/>
  <c r="G201" i="4"/>
  <c r="E201" i="4"/>
  <c r="D205" i="4"/>
  <c r="D220" i="4" s="1"/>
  <c r="C205" i="4"/>
  <c r="C220" i="4" s="1"/>
  <c r="G339" i="4"/>
  <c r="F339" i="4"/>
  <c r="F354" i="4" s="1"/>
  <c r="E339" i="4"/>
  <c r="D339" i="4"/>
  <c r="D354" i="4" s="1"/>
  <c r="C339" i="4"/>
  <c r="C354" i="4" s="1"/>
  <c r="E343" i="4"/>
  <c r="D343" i="4"/>
  <c r="D358" i="4" s="1"/>
  <c r="C343" i="4"/>
  <c r="C358" i="4" s="1"/>
  <c r="G343" i="4"/>
  <c r="F343" i="4"/>
  <c r="F358" i="4" s="1"/>
  <c r="E115" i="4"/>
  <c r="C160" i="4"/>
  <c r="C175" i="4" s="1"/>
  <c r="D251" i="4"/>
  <c r="D266" i="4" s="1"/>
  <c r="G337" i="4"/>
  <c r="F337" i="4"/>
  <c r="F352" i="4" s="1"/>
  <c r="E337" i="4"/>
  <c r="D337" i="4"/>
  <c r="D352" i="4" s="1"/>
  <c r="C337" i="4"/>
  <c r="C352" i="4" s="1"/>
  <c r="G341" i="4"/>
  <c r="F341" i="4"/>
  <c r="F356" i="4" s="1"/>
  <c r="E341" i="4"/>
  <c r="D341" i="4"/>
  <c r="D356" i="4" s="1"/>
  <c r="C341" i="4"/>
  <c r="C356" i="4" s="1"/>
  <c r="E160" i="4"/>
  <c r="C248" i="4"/>
  <c r="C263" i="4" s="1"/>
  <c r="F251" i="4"/>
  <c r="F266" i="4" s="1"/>
  <c r="D255" i="4"/>
  <c r="D270" i="4" s="1"/>
  <c r="F336" i="4"/>
  <c r="F351" i="4" s="1"/>
  <c r="E336" i="4"/>
  <c r="D336" i="4"/>
  <c r="D351" i="4" s="1"/>
  <c r="C336" i="4"/>
  <c r="C351" i="4" s="1"/>
  <c r="G336" i="4"/>
  <c r="G340" i="4"/>
  <c r="F340" i="4"/>
  <c r="F355" i="4" s="1"/>
  <c r="E340" i="4"/>
  <c r="D340" i="4"/>
  <c r="D355" i="4" s="1"/>
  <c r="C340" i="4"/>
  <c r="C355" i="4" s="1"/>
  <c r="G344" i="4"/>
  <c r="F344" i="4"/>
  <c r="F359" i="4" s="1"/>
  <c r="E344" i="4"/>
  <c r="D344" i="4"/>
  <c r="D359" i="4" s="1"/>
  <c r="C344" i="4"/>
  <c r="C359" i="4" s="1"/>
  <c r="D345" i="4"/>
  <c r="D360" i="4" s="1"/>
  <c r="E345" i="4"/>
  <c r="F345" i="4"/>
  <c r="F360" i="4" s="1"/>
  <c r="G345" i="4"/>
  <c r="E296" i="4"/>
  <c r="K159" i="4" l="1"/>
  <c r="E174" i="4"/>
  <c r="K174" i="4" s="1"/>
  <c r="K291" i="4"/>
  <c r="E306" i="4"/>
  <c r="K306" i="4" s="1"/>
  <c r="G60" i="9"/>
  <c r="B60" i="9"/>
  <c r="H28" i="9"/>
  <c r="G28" i="9"/>
  <c r="C28" i="9"/>
  <c r="B28" i="9"/>
  <c r="G84" i="4"/>
  <c r="L84" i="4" s="1"/>
  <c r="L69" i="4"/>
  <c r="E41" i="4"/>
  <c r="K41" i="4" s="1"/>
  <c r="K26" i="4"/>
  <c r="G89" i="9"/>
  <c r="B89" i="9"/>
  <c r="L254" i="4"/>
  <c r="G269" i="4"/>
  <c r="L269" i="4" s="1"/>
  <c r="H89" i="9" s="1"/>
  <c r="K120" i="4"/>
  <c r="E135" i="4"/>
  <c r="K135" i="4" s="1"/>
  <c r="E313" i="4"/>
  <c r="K313" i="4" s="1"/>
  <c r="K298" i="4"/>
  <c r="K70" i="4"/>
  <c r="E85" i="4"/>
  <c r="K85" i="4" s="1"/>
  <c r="G358" i="4"/>
  <c r="L358" i="4" s="1"/>
  <c r="L343" i="4"/>
  <c r="K299" i="4"/>
  <c r="E314" i="4"/>
  <c r="K314" i="4" s="1"/>
  <c r="K247" i="4"/>
  <c r="E262" i="4"/>
  <c r="K262" i="4" s="1"/>
  <c r="K249" i="4"/>
  <c r="E264" i="4"/>
  <c r="K264" i="4" s="1"/>
  <c r="L338" i="4"/>
  <c r="G353" i="4"/>
  <c r="L353" i="4" s="1"/>
  <c r="E315" i="4"/>
  <c r="K315" i="4" s="1"/>
  <c r="K300" i="4"/>
  <c r="G89" i="4"/>
  <c r="L89" i="4" s="1"/>
  <c r="L74" i="4"/>
  <c r="L114" i="4"/>
  <c r="G129" i="4"/>
  <c r="L129" i="4" s="1"/>
  <c r="H39" i="9" s="1"/>
  <c r="G38" i="4"/>
  <c r="L38" i="4" s="1"/>
  <c r="H8" i="9" s="1"/>
  <c r="L23" i="4"/>
  <c r="E83" i="4"/>
  <c r="K83" i="4" s="1"/>
  <c r="K68" i="4"/>
  <c r="G127" i="4"/>
  <c r="L127" i="4" s="1"/>
  <c r="L112" i="4"/>
  <c r="E86" i="4"/>
  <c r="K86" i="4" s="1"/>
  <c r="K71" i="4"/>
  <c r="L27" i="4"/>
  <c r="G42" i="4"/>
  <c r="L42" i="4" s="1"/>
  <c r="H12" i="9" s="1"/>
  <c r="E36" i="4"/>
  <c r="K36" i="4" s="1"/>
  <c r="K21" i="4"/>
  <c r="E308" i="4"/>
  <c r="K308" i="4" s="1"/>
  <c r="K293" i="4"/>
  <c r="G313" i="4"/>
  <c r="L313" i="4" s="1"/>
  <c r="L298" i="4"/>
  <c r="G180" i="4"/>
  <c r="L180" i="4" s="1"/>
  <c r="H60" i="9" s="1"/>
  <c r="L165" i="4"/>
  <c r="K340" i="4"/>
  <c r="E355" i="4"/>
  <c r="K355" i="4" s="1"/>
  <c r="H13" i="9"/>
  <c r="G13" i="9"/>
  <c r="C13" i="9"/>
  <c r="B13" i="9"/>
  <c r="G308" i="4"/>
  <c r="L308" i="4" s="1"/>
  <c r="L293" i="4"/>
  <c r="E268" i="4"/>
  <c r="K268" i="4" s="1"/>
  <c r="K253" i="4"/>
  <c r="E353" i="4"/>
  <c r="K353" i="4" s="1"/>
  <c r="K338" i="4"/>
  <c r="L345" i="4"/>
  <c r="G360" i="4"/>
  <c r="L360" i="4" s="1"/>
  <c r="K201" i="4"/>
  <c r="E216" i="4"/>
  <c r="K216" i="4" s="1"/>
  <c r="K210" i="4"/>
  <c r="E225" i="4"/>
  <c r="K225" i="4" s="1"/>
  <c r="H87" i="9"/>
  <c r="L22" i="4"/>
  <c r="G37" i="4"/>
  <c r="L37" i="4" s="1"/>
  <c r="K208" i="4"/>
  <c r="E223" i="4"/>
  <c r="K223" i="4" s="1"/>
  <c r="L73" i="4"/>
  <c r="G88" i="4"/>
  <c r="L88" i="4" s="1"/>
  <c r="E134" i="4"/>
  <c r="K134" i="4" s="1"/>
  <c r="K119" i="4"/>
  <c r="L120" i="4"/>
  <c r="G135" i="4"/>
  <c r="L135" i="4" s="1"/>
  <c r="E270" i="4"/>
  <c r="K270" i="4" s="1"/>
  <c r="K255" i="4"/>
  <c r="G261" i="4"/>
  <c r="L261" i="4" s="1"/>
  <c r="L246" i="4"/>
  <c r="L340" i="4"/>
  <c r="G355" i="4"/>
  <c r="L355" i="4" s="1"/>
  <c r="E356" i="4"/>
  <c r="K356" i="4" s="1"/>
  <c r="K341" i="4"/>
  <c r="G216" i="4"/>
  <c r="L216" i="4" s="1"/>
  <c r="L201" i="4"/>
  <c r="G311" i="4"/>
  <c r="L311" i="4" s="1"/>
  <c r="L296" i="4"/>
  <c r="G130" i="4"/>
  <c r="L130" i="4" s="1"/>
  <c r="L115" i="4"/>
  <c r="G270" i="4"/>
  <c r="L270" i="4" s="1"/>
  <c r="L255" i="4"/>
  <c r="K161" i="4"/>
  <c r="E176" i="4"/>
  <c r="K176" i="4" s="1"/>
  <c r="K209" i="4"/>
  <c r="E224" i="4"/>
  <c r="K224" i="4" s="1"/>
  <c r="G265" i="4"/>
  <c r="L265" i="4" s="1"/>
  <c r="L250" i="4"/>
  <c r="E360" i="4"/>
  <c r="K360" i="4" s="1"/>
  <c r="K345" i="4"/>
  <c r="G351" i="4"/>
  <c r="L351" i="4" s="1"/>
  <c r="L336" i="4"/>
  <c r="G266" i="4"/>
  <c r="L266" i="4" s="1"/>
  <c r="H86" i="9" s="1"/>
  <c r="L251" i="4"/>
  <c r="E309" i="4"/>
  <c r="K309" i="4" s="1"/>
  <c r="K294" i="4"/>
  <c r="L299" i="4"/>
  <c r="G314" i="4"/>
  <c r="L314" i="4" s="1"/>
  <c r="L119" i="4"/>
  <c r="G134" i="4"/>
  <c r="L134" i="4" s="1"/>
  <c r="L75" i="4"/>
  <c r="G90" i="4"/>
  <c r="L90" i="4" s="1"/>
  <c r="E265" i="4"/>
  <c r="K265" i="4" s="1"/>
  <c r="K250" i="4"/>
  <c r="E82" i="4"/>
  <c r="K82" i="4" s="1"/>
  <c r="K67" i="4"/>
  <c r="G86" i="9"/>
  <c r="B86" i="9"/>
  <c r="L249" i="4"/>
  <c r="G264" i="4"/>
  <c r="L264" i="4" s="1"/>
  <c r="K246" i="4"/>
  <c r="E261" i="4"/>
  <c r="K261" i="4" s="1"/>
  <c r="L344" i="4"/>
  <c r="G359" i="4"/>
  <c r="L359" i="4" s="1"/>
  <c r="E126" i="4"/>
  <c r="K126" i="4" s="1"/>
  <c r="K111" i="4"/>
  <c r="E89" i="4"/>
  <c r="K89" i="4" s="1"/>
  <c r="K74" i="4"/>
  <c r="K115" i="4"/>
  <c r="E130" i="4"/>
  <c r="K130" i="4" s="1"/>
  <c r="G220" i="4"/>
  <c r="L220" i="4" s="1"/>
  <c r="L205" i="4"/>
  <c r="E132" i="4"/>
  <c r="K132" i="4" s="1"/>
  <c r="K117" i="4"/>
  <c r="G132" i="4"/>
  <c r="L132" i="4" s="1"/>
  <c r="L117" i="4"/>
  <c r="E40" i="4"/>
  <c r="K40" i="4" s="1"/>
  <c r="K25" i="4"/>
  <c r="K339" i="4"/>
  <c r="E354" i="4"/>
  <c r="K354" i="4" s="1"/>
  <c r="G315" i="4"/>
  <c r="L315" i="4" s="1"/>
  <c r="L300" i="4"/>
  <c r="L342" i="4"/>
  <c r="G357" i="4"/>
  <c r="L357" i="4" s="1"/>
  <c r="L339" i="4"/>
  <c r="G354" i="4"/>
  <c r="L354" i="4" s="1"/>
  <c r="H69" i="9"/>
  <c r="G69" i="9"/>
  <c r="C69" i="9"/>
  <c r="B69" i="9"/>
  <c r="L21" i="4"/>
  <c r="G36" i="4"/>
  <c r="L36" i="4" s="1"/>
  <c r="L163" i="4"/>
  <c r="G178" i="4"/>
  <c r="L178" i="4" s="1"/>
  <c r="L159" i="4"/>
  <c r="G174" i="4"/>
  <c r="L174" i="4" s="1"/>
  <c r="E220" i="4"/>
  <c r="K220" i="4" s="1"/>
  <c r="K205" i="4"/>
  <c r="H58" i="9"/>
  <c r="G58" i="9"/>
  <c r="C58" i="9"/>
  <c r="B58" i="9"/>
  <c r="E351" i="4"/>
  <c r="K351" i="4" s="1"/>
  <c r="K336" i="4"/>
  <c r="L66" i="4"/>
  <c r="G81" i="4"/>
  <c r="L81" i="4" s="1"/>
  <c r="K75" i="4"/>
  <c r="E90" i="4"/>
  <c r="K90" i="4" s="1"/>
  <c r="G173" i="4"/>
  <c r="L173" i="4" s="1"/>
  <c r="L158" i="4"/>
  <c r="G82" i="4"/>
  <c r="L82" i="4" s="1"/>
  <c r="L67" i="4"/>
  <c r="K29" i="4"/>
  <c r="E44" i="4"/>
  <c r="K44" i="4" s="1"/>
  <c r="K72" i="4"/>
  <c r="E87" i="4"/>
  <c r="K87" i="4" s="1"/>
  <c r="E263" i="4"/>
  <c r="K263" i="4" s="1"/>
  <c r="K248" i="4"/>
  <c r="K66" i="4"/>
  <c r="E81" i="4"/>
  <c r="K81" i="4" s="1"/>
  <c r="L337" i="4"/>
  <c r="G352" i="4"/>
  <c r="L352" i="4" s="1"/>
  <c r="G218" i="4"/>
  <c r="L218" i="4" s="1"/>
  <c r="L203" i="4"/>
  <c r="G41" i="4"/>
  <c r="L41" i="4" s="1"/>
  <c r="L26" i="4"/>
  <c r="G39" i="9"/>
  <c r="B39" i="9"/>
  <c r="G12" i="9"/>
  <c r="C12" i="9"/>
  <c r="B12" i="9"/>
  <c r="K297" i="4"/>
  <c r="E312" i="4"/>
  <c r="K312" i="4" s="1"/>
  <c r="L71" i="4"/>
  <c r="G86" i="4"/>
  <c r="L86" i="4" s="1"/>
  <c r="E175" i="4"/>
  <c r="K175" i="4" s="1"/>
  <c r="K160" i="4"/>
  <c r="L204" i="4"/>
  <c r="G219" i="4"/>
  <c r="L219" i="4" s="1"/>
  <c r="E177" i="4"/>
  <c r="K177" i="4" s="1"/>
  <c r="K162" i="4"/>
  <c r="E127" i="4"/>
  <c r="K127" i="4" s="1"/>
  <c r="K112" i="4"/>
  <c r="K296" i="4"/>
  <c r="E311" i="4"/>
  <c r="K311" i="4" s="1"/>
  <c r="E218" i="4"/>
  <c r="K218" i="4" s="1"/>
  <c r="K203" i="4"/>
  <c r="L156" i="4"/>
  <c r="G171" i="4"/>
  <c r="L171" i="4" s="1"/>
  <c r="G356" i="4"/>
  <c r="L356" i="4" s="1"/>
  <c r="L341" i="4"/>
  <c r="E307" i="4"/>
  <c r="K307" i="4" s="1"/>
  <c r="K292" i="4"/>
  <c r="E39" i="4"/>
  <c r="K39" i="4" s="1"/>
  <c r="K24" i="4"/>
  <c r="K22" i="4"/>
  <c r="E37" i="4"/>
  <c r="K37" i="4" s="1"/>
  <c r="L208" i="4"/>
  <c r="G223" i="4"/>
  <c r="L223" i="4" s="1"/>
  <c r="E84" i="4"/>
  <c r="K84" i="4" s="1"/>
  <c r="K69" i="4"/>
  <c r="L209" i="4"/>
  <c r="G224" i="4"/>
  <c r="L224" i="4" s="1"/>
  <c r="L70" i="4"/>
  <c r="G85" i="4"/>
  <c r="L85" i="4" s="1"/>
  <c r="E358" i="4"/>
  <c r="K358" i="4" s="1"/>
  <c r="K343" i="4"/>
  <c r="L294" i="4"/>
  <c r="G309" i="4"/>
  <c r="L309" i="4" s="1"/>
  <c r="K295" i="4"/>
  <c r="E310" i="4"/>
  <c r="K310" i="4" s="1"/>
  <c r="H67" i="9"/>
  <c r="G67" i="9"/>
  <c r="C67" i="9"/>
  <c r="B67" i="9"/>
  <c r="K158" i="4"/>
  <c r="E173" i="4"/>
  <c r="K173" i="4" s="1"/>
  <c r="E45" i="4"/>
  <c r="K45" i="4" s="1"/>
  <c r="K30" i="4"/>
  <c r="L157" i="4"/>
  <c r="G172" i="4"/>
  <c r="L172" i="4" s="1"/>
  <c r="G268" i="4"/>
  <c r="L268" i="4" s="1"/>
  <c r="L253" i="4"/>
  <c r="K344" i="4"/>
  <c r="E359" i="4"/>
  <c r="K359" i="4" s="1"/>
  <c r="K337" i="4"/>
  <c r="E352" i="4"/>
  <c r="K352" i="4" s="1"/>
  <c r="L113" i="4"/>
  <c r="G128" i="4"/>
  <c r="L128" i="4" s="1"/>
  <c r="G39" i="4"/>
  <c r="L39" i="4" s="1"/>
  <c r="L24" i="4"/>
  <c r="L30" i="4"/>
  <c r="G45" i="4"/>
  <c r="L45" i="4" s="1"/>
  <c r="K113" i="4"/>
  <c r="E128" i="4"/>
  <c r="K128" i="4" s="1"/>
  <c r="E172" i="4"/>
  <c r="K172" i="4" s="1"/>
  <c r="K157" i="4"/>
  <c r="G262" i="4"/>
  <c r="L262" i="4" s="1"/>
  <c r="L247" i="4"/>
  <c r="L25" i="4"/>
  <c r="G40" i="4"/>
  <c r="L40" i="4" s="1"/>
  <c r="L116" i="4"/>
  <c r="G131" i="4"/>
  <c r="L131" i="4" s="1"/>
  <c r="H41" i="9" s="1"/>
  <c r="H43" i="9"/>
  <c r="G43" i="9"/>
  <c r="C43" i="9"/>
  <c r="B43" i="9"/>
  <c r="G44" i="4"/>
  <c r="L44" i="4" s="1"/>
  <c r="L29" i="4"/>
  <c r="K342" i="4"/>
  <c r="E357" i="4"/>
  <c r="K357" i="4" s="1"/>
  <c r="G41" i="9"/>
  <c r="B41" i="9"/>
  <c r="G8" i="9"/>
  <c r="C8" i="9"/>
  <c r="B8" i="9"/>
  <c r="G87" i="4"/>
  <c r="L87" i="4" s="1"/>
  <c r="L72" i="4"/>
  <c r="H68" i="9" l="1"/>
  <c r="G68" i="9"/>
  <c r="C68" i="9"/>
  <c r="B68" i="9"/>
  <c r="H10" i="9"/>
  <c r="G10" i="9"/>
  <c r="C10" i="9"/>
  <c r="B10" i="9"/>
  <c r="H22" i="9"/>
  <c r="G22" i="9"/>
  <c r="C22" i="9"/>
  <c r="B22" i="9"/>
  <c r="H101" i="9"/>
  <c r="G101" i="9"/>
  <c r="C101" i="9"/>
  <c r="B101" i="9"/>
  <c r="H85" i="9"/>
  <c r="G85" i="9"/>
  <c r="C85" i="9"/>
  <c r="B85" i="9"/>
  <c r="H6" i="9"/>
  <c r="G6" i="9"/>
  <c r="C6" i="9"/>
  <c r="B6" i="9"/>
  <c r="C89" i="9"/>
  <c r="C41" i="9"/>
  <c r="H42" i="9"/>
  <c r="G42" i="9"/>
  <c r="C42" i="9"/>
  <c r="B42" i="9"/>
  <c r="H66" i="9"/>
  <c r="G66" i="9"/>
  <c r="C66" i="9"/>
  <c r="B66" i="9"/>
  <c r="H30" i="9"/>
  <c r="G30" i="9"/>
  <c r="C30" i="9"/>
  <c r="B30" i="9"/>
  <c r="C60" i="9"/>
  <c r="H97" i="9"/>
  <c r="G97" i="9"/>
  <c r="C97" i="9"/>
  <c r="B97" i="9"/>
  <c r="H57" i="9"/>
  <c r="G57" i="9"/>
  <c r="C57" i="9"/>
  <c r="B57" i="9"/>
  <c r="H44" i="9"/>
  <c r="G44" i="9"/>
  <c r="C44" i="9"/>
  <c r="B44" i="9"/>
  <c r="H115" i="9"/>
  <c r="G115" i="9"/>
  <c r="C115" i="9"/>
  <c r="B115" i="9"/>
  <c r="H25" i="9"/>
  <c r="G25" i="9"/>
  <c r="C25" i="9"/>
  <c r="B25" i="9"/>
  <c r="H112" i="9"/>
  <c r="G112" i="9"/>
  <c r="C112" i="9"/>
  <c r="B112" i="9"/>
  <c r="H40" i="9"/>
  <c r="G40" i="9"/>
  <c r="C40" i="9"/>
  <c r="B40" i="9"/>
  <c r="H105" i="9"/>
  <c r="G105" i="9"/>
  <c r="C105" i="9"/>
  <c r="B105" i="9"/>
  <c r="H36" i="9"/>
  <c r="G36" i="9"/>
  <c r="C36" i="9"/>
  <c r="B36" i="9"/>
  <c r="H102" i="9"/>
  <c r="G102" i="9"/>
  <c r="C102" i="9"/>
  <c r="B102" i="9"/>
  <c r="H98" i="9"/>
  <c r="G98" i="9"/>
  <c r="C98" i="9"/>
  <c r="B98" i="9"/>
  <c r="H104" i="9"/>
  <c r="G104" i="9"/>
  <c r="C104" i="9"/>
  <c r="B104" i="9"/>
  <c r="H81" i="9"/>
  <c r="G81" i="9"/>
  <c r="C81" i="9"/>
  <c r="B81" i="9"/>
  <c r="H15" i="9"/>
  <c r="G15" i="9"/>
  <c r="C15" i="9"/>
  <c r="B15" i="9"/>
  <c r="H118" i="9"/>
  <c r="G118" i="9"/>
  <c r="C118" i="9"/>
  <c r="B118" i="9"/>
  <c r="H9" i="9"/>
  <c r="G9" i="9"/>
  <c r="C9" i="9"/>
  <c r="B9" i="9"/>
  <c r="H37" i="9"/>
  <c r="G37" i="9"/>
  <c r="C37" i="9"/>
  <c r="B37" i="9"/>
  <c r="H70" i="9"/>
  <c r="G70" i="9"/>
  <c r="C70" i="9"/>
  <c r="B70" i="9"/>
  <c r="H120" i="9"/>
  <c r="G120" i="9"/>
  <c r="C120" i="9"/>
  <c r="B120" i="9"/>
  <c r="H53" i="9"/>
  <c r="G53" i="9"/>
  <c r="C53" i="9"/>
  <c r="B53" i="9"/>
  <c r="H21" i="9"/>
  <c r="G21" i="9"/>
  <c r="C21" i="9"/>
  <c r="B21" i="9"/>
  <c r="H117" i="9"/>
  <c r="G117" i="9"/>
  <c r="C117" i="9"/>
  <c r="B117" i="9"/>
  <c r="H74" i="9"/>
  <c r="G74" i="9"/>
  <c r="C74" i="9"/>
  <c r="B74" i="9"/>
  <c r="H26" i="9"/>
  <c r="G26" i="9"/>
  <c r="C26" i="9"/>
  <c r="B26" i="9"/>
  <c r="C39" i="9"/>
  <c r="H83" i="9"/>
  <c r="G83" i="9"/>
  <c r="C83" i="9"/>
  <c r="B83" i="9"/>
  <c r="C86" i="9"/>
  <c r="H116" i="9"/>
  <c r="G116" i="9"/>
  <c r="C116" i="9"/>
  <c r="B116" i="9"/>
  <c r="H96" i="9"/>
  <c r="G96" i="9"/>
  <c r="C96" i="9"/>
  <c r="B96" i="9"/>
  <c r="H82" i="9"/>
  <c r="G82" i="9"/>
  <c r="C82" i="9"/>
  <c r="B82" i="9"/>
  <c r="H90" i="9"/>
  <c r="G90" i="9"/>
  <c r="C90" i="9"/>
  <c r="B90" i="9"/>
  <c r="H119" i="9"/>
  <c r="G119" i="9"/>
  <c r="C119" i="9"/>
  <c r="B119" i="9"/>
  <c r="H73" i="9"/>
  <c r="G73" i="9"/>
  <c r="C73" i="9"/>
  <c r="B73" i="9"/>
  <c r="H113" i="9"/>
  <c r="G113" i="9"/>
  <c r="C113" i="9"/>
  <c r="B113" i="9"/>
  <c r="H103" i="9"/>
  <c r="G103" i="9"/>
  <c r="C103" i="9"/>
  <c r="B103" i="9"/>
  <c r="H11" i="9"/>
  <c r="G11" i="9"/>
  <c r="C11" i="9"/>
  <c r="B11" i="9"/>
  <c r="H7" i="9"/>
  <c r="G7" i="9"/>
  <c r="C7" i="9"/>
  <c r="B7" i="9"/>
  <c r="H75" i="9"/>
  <c r="G75" i="9"/>
  <c r="C75" i="9"/>
  <c r="B75" i="9"/>
  <c r="C51" i="9"/>
  <c r="H51" i="9"/>
  <c r="H27" i="9"/>
  <c r="G27" i="9"/>
  <c r="C27" i="9"/>
  <c r="B27" i="9"/>
  <c r="H114" i="9"/>
  <c r="G114" i="9"/>
  <c r="C114" i="9"/>
  <c r="B114" i="9"/>
  <c r="H56" i="9"/>
  <c r="G56" i="9"/>
  <c r="C56" i="9"/>
  <c r="B56" i="9"/>
  <c r="H52" i="9"/>
  <c r="G52" i="9"/>
  <c r="C52" i="9"/>
  <c r="B52" i="9"/>
  <c r="H24" i="9"/>
  <c r="G24" i="9"/>
  <c r="C24" i="9"/>
  <c r="B24" i="9"/>
  <c r="H55" i="9"/>
  <c r="G55" i="9"/>
  <c r="C55" i="9"/>
  <c r="B55" i="9"/>
  <c r="H111" i="9"/>
  <c r="G111" i="9"/>
  <c r="C111" i="9"/>
  <c r="B111" i="9"/>
  <c r="H29" i="9"/>
  <c r="G29" i="9"/>
  <c r="C29" i="9"/>
  <c r="B29" i="9"/>
  <c r="H99" i="9"/>
  <c r="G99" i="9"/>
  <c r="C99" i="9"/>
  <c r="B99" i="9"/>
  <c r="H84" i="9"/>
  <c r="G84" i="9"/>
  <c r="C84" i="9"/>
  <c r="B84" i="9"/>
  <c r="H45" i="9"/>
  <c r="G45" i="9"/>
  <c r="C45" i="9"/>
  <c r="B45" i="9"/>
  <c r="H54" i="9"/>
  <c r="G54" i="9"/>
  <c r="C54" i="9"/>
  <c r="B54" i="9"/>
  <c r="H38" i="9"/>
  <c r="G38" i="9"/>
  <c r="C38" i="9"/>
  <c r="B38" i="9"/>
  <c r="H100" i="9"/>
  <c r="G100" i="9"/>
  <c r="C100" i="9"/>
  <c r="B100" i="9"/>
  <c r="H14" i="9"/>
  <c r="G14" i="9"/>
  <c r="C14" i="9"/>
  <c r="B14" i="9"/>
  <c r="H88" i="9"/>
  <c r="G88" i="9"/>
  <c r="C88" i="9"/>
  <c r="B88" i="9"/>
  <c r="H23" i="9"/>
  <c r="G23" i="9"/>
  <c r="C23" i="9"/>
  <c r="B23" i="9"/>
  <c r="F51" i="6" l="1"/>
  <c r="G51" i="6"/>
  <c r="F26" i="6"/>
  <c r="G26" i="6"/>
  <c r="G7" i="6"/>
  <c r="F7" i="6"/>
  <c r="E6" i="5"/>
  <c r="D6" i="5"/>
  <c r="G38" i="6"/>
  <c r="F38" i="6"/>
  <c r="E17" i="5"/>
  <c r="G21" i="6"/>
  <c r="D17" i="5"/>
  <c r="F21" i="6"/>
  <c r="G6" i="6"/>
  <c r="F6" i="6"/>
  <c r="E43" i="5"/>
  <c r="G52" i="6"/>
  <c r="D43" i="5"/>
  <c r="F52" i="6"/>
  <c r="G32" i="6"/>
  <c r="F32" i="6"/>
  <c r="G27" i="6"/>
  <c r="F27" i="6"/>
  <c r="E22" i="5"/>
  <c r="D22" i="5"/>
  <c r="E27" i="5"/>
  <c r="D27" i="5"/>
  <c r="G33" i="6"/>
  <c r="F33" i="6"/>
  <c r="E32" i="5"/>
  <c r="D32" i="5"/>
  <c r="G39" i="6"/>
  <c r="F39" i="6"/>
  <c r="E12" i="5"/>
  <c r="D12" i="5"/>
  <c r="G15" i="6"/>
  <c r="F15" i="6"/>
  <c r="E11" i="5"/>
  <c r="G14" i="6"/>
  <c r="D11" i="5"/>
  <c r="F14" i="6"/>
  <c r="G44" i="6"/>
  <c r="F44" i="6"/>
  <c r="E38" i="5"/>
  <c r="D38" i="5"/>
  <c r="G46" i="6"/>
  <c r="F46" i="6"/>
  <c r="E37" i="5"/>
  <c r="G45" i="6"/>
  <c r="D37" i="5"/>
  <c r="F45" i="6"/>
  <c r="G13" i="6"/>
  <c r="F13" i="6"/>
  <c r="G12" i="6"/>
  <c r="F12" i="6"/>
  <c r="F20" i="6"/>
  <c r="G20" i="6"/>
  <c r="I27" i="6" l="1"/>
  <c r="H27" i="6"/>
  <c r="F25" i="7" s="1"/>
  <c r="I39" i="6"/>
  <c r="H39" i="6"/>
  <c r="I38" i="6"/>
  <c r="H38" i="6"/>
  <c r="F36" i="7" s="1"/>
  <c r="I52" i="6"/>
  <c r="H52" i="6"/>
  <c r="F49" i="7" s="1"/>
  <c r="I43" i="5"/>
  <c r="G43" i="5"/>
  <c r="C13" i="11" s="1"/>
  <c r="F43" i="5"/>
  <c r="I14" i="6"/>
  <c r="H14" i="6"/>
  <c r="I33" i="6"/>
  <c r="H33" i="6"/>
  <c r="F31" i="7" s="1"/>
  <c r="I7" i="6"/>
  <c r="H7" i="6"/>
  <c r="I11" i="5"/>
  <c r="G11" i="5"/>
  <c r="F11" i="5"/>
  <c r="H11" i="5" s="1"/>
  <c r="J11" i="5" s="1"/>
  <c r="F12" i="5"/>
  <c r="H12" i="5" s="1"/>
  <c r="J12" i="5" s="1"/>
  <c r="I12" i="5"/>
  <c r="G12" i="5"/>
  <c r="H32" i="6"/>
  <c r="F30" i="7" s="1"/>
  <c r="I32" i="6"/>
  <c r="I12" i="6"/>
  <c r="H12" i="6"/>
  <c r="I6" i="5"/>
  <c r="G6" i="5"/>
  <c r="C8" i="11" s="1"/>
  <c r="F6" i="5"/>
  <c r="I13" i="6"/>
  <c r="H13" i="6"/>
  <c r="I45" i="6"/>
  <c r="H45" i="6"/>
  <c r="F43" i="7" s="1"/>
  <c r="F27" i="5"/>
  <c r="I27" i="5"/>
  <c r="G27" i="5"/>
  <c r="C12" i="11" s="1"/>
  <c r="I6" i="6"/>
  <c r="H6" i="6"/>
  <c r="F6" i="7" s="1"/>
  <c r="I46" i="6"/>
  <c r="H46" i="6"/>
  <c r="I37" i="5"/>
  <c r="G37" i="5"/>
  <c r="F37" i="5"/>
  <c r="H37" i="5" s="1"/>
  <c r="I26" i="6"/>
  <c r="H26" i="6"/>
  <c r="F24" i="7" s="1"/>
  <c r="F38" i="5"/>
  <c r="H38" i="5" s="1"/>
  <c r="J38" i="5" s="1"/>
  <c r="I38" i="5"/>
  <c r="G38" i="5"/>
  <c r="I20" i="6"/>
  <c r="H20" i="6"/>
  <c r="F18" i="7" s="1"/>
  <c r="I44" i="6"/>
  <c r="H44" i="6"/>
  <c r="I15" i="6"/>
  <c r="H15" i="6"/>
  <c r="I22" i="5"/>
  <c r="G22" i="5"/>
  <c r="C9" i="11" s="1"/>
  <c r="F22" i="5"/>
  <c r="I21" i="6"/>
  <c r="H21" i="6"/>
  <c r="F19" i="7" s="1"/>
  <c r="I32" i="5"/>
  <c r="G32" i="5"/>
  <c r="C11" i="11" s="1"/>
  <c r="F32" i="5"/>
  <c r="I17" i="5"/>
  <c r="G17" i="5"/>
  <c r="C6" i="11" s="1"/>
  <c r="F17" i="5"/>
  <c r="I51" i="6"/>
  <c r="H51" i="6"/>
  <c r="F48" i="7" s="1"/>
  <c r="C10" i="10" l="1"/>
  <c r="B33" i="8"/>
  <c r="G30" i="7"/>
  <c r="D13" i="10"/>
  <c r="E34" i="8"/>
  <c r="G49" i="7"/>
  <c r="F8" i="11"/>
  <c r="H6" i="5"/>
  <c r="G36" i="7"/>
  <c r="C11" i="10"/>
  <c r="C33" i="8"/>
  <c r="F42" i="7"/>
  <c r="F7" i="7"/>
  <c r="F12" i="11"/>
  <c r="H27" i="5"/>
  <c r="F13" i="11"/>
  <c r="H43" i="5"/>
  <c r="G7" i="11"/>
  <c r="F7" i="11"/>
  <c r="E7" i="11"/>
  <c r="D7" i="11" s="1"/>
  <c r="C7" i="11"/>
  <c r="F6" i="11"/>
  <c r="H17" i="5"/>
  <c r="F37" i="7"/>
  <c r="G19" i="7"/>
  <c r="D7" i="8"/>
  <c r="D8" i="10"/>
  <c r="H22" i="5"/>
  <c r="F9" i="11"/>
  <c r="E6" i="8"/>
  <c r="G24" i="7"/>
  <c r="C9" i="10"/>
  <c r="D22" i="10" s="1"/>
  <c r="D34" i="8"/>
  <c r="G43" i="7"/>
  <c r="D12" i="10"/>
  <c r="C13" i="10"/>
  <c r="D26" i="10" s="1"/>
  <c r="E33" i="8"/>
  <c r="G48" i="7"/>
  <c r="H32" i="5"/>
  <c r="F11" i="11"/>
  <c r="D6" i="8"/>
  <c r="G18" i="7"/>
  <c r="C8" i="10"/>
  <c r="D21" i="10" s="1"/>
  <c r="C6" i="10"/>
  <c r="B6" i="8"/>
  <c r="G6" i="7"/>
  <c r="F12" i="7"/>
  <c r="B34" i="8"/>
  <c r="D10" i="10"/>
  <c r="G31" i="7"/>
  <c r="G25" i="7"/>
  <c r="D9" i="10"/>
  <c r="E7" i="8"/>
  <c r="J37" i="5"/>
  <c r="F13" i="7"/>
  <c r="C34" i="8" l="1"/>
  <c r="D11" i="10"/>
  <c r="G37" i="7"/>
  <c r="G10" i="11"/>
  <c r="F10" i="11"/>
  <c r="E10" i="11"/>
  <c r="D10" i="11" s="1"/>
  <c r="C10" i="11"/>
  <c r="G13" i="11"/>
  <c r="J43" i="5"/>
  <c r="E26" i="10"/>
  <c r="F35" i="10"/>
  <c r="C12" i="10"/>
  <c r="D25" i="10" s="1"/>
  <c r="D33" i="8"/>
  <c r="G42" i="7"/>
  <c r="C7" i="10"/>
  <c r="D20" i="10" s="1"/>
  <c r="C6" i="8"/>
  <c r="G12" i="7"/>
  <c r="J17" i="5"/>
  <c r="G6" i="11"/>
  <c r="D24" i="10"/>
  <c r="D19" i="10"/>
  <c r="E22" i="10"/>
  <c r="C35" i="10"/>
  <c r="J6" i="5"/>
  <c r="G8" i="11"/>
  <c r="D7" i="10"/>
  <c r="C7" i="8"/>
  <c r="G13" i="7"/>
  <c r="E21" i="10"/>
  <c r="C34" i="10"/>
  <c r="J22" i="5"/>
  <c r="G9" i="11"/>
  <c r="J32" i="5"/>
  <c r="G11" i="11"/>
  <c r="G12" i="11"/>
  <c r="J27" i="5"/>
  <c r="D6" i="10"/>
  <c r="G7" i="7"/>
  <c r="B7" i="8"/>
  <c r="D23" i="10"/>
  <c r="F34" i="10" l="1"/>
  <c r="E25" i="10"/>
  <c r="E24" i="10"/>
  <c r="F33" i="10"/>
  <c r="F21" i="10"/>
  <c r="E34" i="10" s="1"/>
  <c r="D34" i="10"/>
  <c r="E23" i="10"/>
  <c r="F32" i="10"/>
  <c r="F22" i="10"/>
  <c r="E35" i="10" s="1"/>
  <c r="D35" i="10"/>
  <c r="C32" i="10"/>
  <c r="E19" i="10"/>
  <c r="C33" i="10"/>
  <c r="E20" i="10"/>
  <c r="F26" i="10"/>
  <c r="H35" i="10" s="1"/>
  <c r="G35" i="10"/>
  <c r="D32" i="10" l="1"/>
  <c r="F19" i="10"/>
  <c r="E32" i="10" s="1"/>
  <c r="I35" i="10"/>
  <c r="J35" i="10" s="1"/>
  <c r="F23" i="10"/>
  <c r="H32" i="10" s="1"/>
  <c r="G32" i="10"/>
  <c r="I32" i="10" s="1"/>
  <c r="J32" i="10" s="1"/>
  <c r="G34" i="10"/>
  <c r="I34" i="10" s="1"/>
  <c r="J34" i="10" s="1"/>
  <c r="F25" i="10"/>
  <c r="H34" i="10" s="1"/>
  <c r="F24" i="10"/>
  <c r="H33" i="10" s="1"/>
  <c r="G33" i="10"/>
  <c r="D33" i="10"/>
  <c r="F20" i="10"/>
  <c r="E33" i="10" s="1"/>
  <c r="I33" i="10" l="1"/>
  <c r="J33" i="10" s="1"/>
</calcChain>
</file>

<file path=xl/sharedStrings.xml><?xml version="1.0" encoding="utf-8"?>
<sst xmlns="http://schemas.openxmlformats.org/spreadsheetml/2006/main" count="2625" uniqueCount="183">
  <si>
    <t>01  Dataset</t>
  </si>
  <si>
    <t>Dog-Wolf (10 objects, 6 quantitative features, 2 classes)</t>
  </si>
  <si>
    <t>Experiment settings</t>
  </si>
  <si>
    <t>Object</t>
  </si>
  <si>
    <t>x1</t>
  </si>
  <si>
    <t>x2</t>
  </si>
  <si>
    <t>x3</t>
  </si>
  <si>
    <t>x4</t>
  </si>
  <si>
    <t>x5</t>
  </si>
  <si>
    <t>x6</t>
  </si>
  <si>
    <t>Class</t>
  </si>
  <si>
    <t>Setting</t>
  </si>
  <si>
    <t>Value</t>
  </si>
  <si>
    <t>S1</t>
  </si>
  <si>
    <t>Objects</t>
  </si>
  <si>
    <t>S2</t>
  </si>
  <si>
    <t>Features</t>
  </si>
  <si>
    <t>S3</t>
  </si>
  <si>
    <t>Class K1</t>
  </si>
  <si>
    <t>S4</t>
  </si>
  <si>
    <t>Class K2</t>
  </si>
  <si>
    <t>S5</t>
  </si>
  <si>
    <t>k max</t>
  </si>
  <si>
    <t>S6</t>
  </si>
  <si>
    <t>Full k</t>
  </si>
  <si>
    <t>1, 2, 3, 4, 5</t>
  </si>
  <si>
    <t>S7</t>
  </si>
  <si>
    <t>Reduced k</t>
  </si>
  <si>
    <t>3, 5</t>
  </si>
  <si>
    <t>S8</t>
  </si>
  <si>
    <t>Normalization</t>
  </si>
  <si>
    <t>None and MinMax</t>
  </si>
  <si>
    <t>S9</t>
  </si>
  <si>
    <t>S10</t>
  </si>
  <si>
    <t>Min-max normalized dataset</t>
  </si>
  <si>
    <t>Source: original Codex experiment workbook, Dataset!B3:H12. All recorded measurements and class assignments are preserved.</t>
  </si>
  <si>
    <t>Workflow follows the project’s 11 result tabs, with all four metrics and paired None / MinMax analysis.</t>
  </si>
  <si>
    <t>Neighbor order, observed groups and PCA coordinates are project outputs for this recorded experiment. Formula-linked calculations show the remaining steps.</t>
  </si>
  <si>
    <t>Neighbors exclude the target and resolve equal distances by original index. b(k) = 1 only when a(k) / k &gt; 0.5. Distances retain full precision.</t>
  </si>
  <si>
    <t>02  Distances</t>
  </si>
  <si>
    <t>Euclidean (None)</t>
  </si>
  <si>
    <t>Chebyshev (None)</t>
  </si>
  <si>
    <t>Canberra (None)</t>
  </si>
  <si>
    <t>Manhattan (None)</t>
  </si>
  <si>
    <t>Euclidean (MinMax)</t>
  </si>
  <si>
    <t>Chebyshev (MinMax)</t>
  </si>
  <si>
    <t>Canberra (MinMax)</t>
  </si>
  <si>
    <t>Manhattan (MinMax)</t>
  </si>
  <si>
    <t>03  Neighbors</t>
  </si>
  <si>
    <t>NN1</t>
  </si>
  <si>
    <t>d1</t>
  </si>
  <si>
    <t>NN2</t>
  </si>
  <si>
    <t>d2</t>
  </si>
  <si>
    <t>NN3</t>
  </si>
  <si>
    <t>d3</t>
  </si>
  <si>
    <t>NN4</t>
  </si>
  <si>
    <t>d4</t>
  </si>
  <si>
    <t>NN5</t>
  </si>
  <si>
    <t>d5</t>
  </si>
  <si>
    <t>NN6</t>
  </si>
  <si>
    <t>d6</t>
  </si>
  <si>
    <t>NN7</t>
  </si>
  <si>
    <t>d7</t>
  </si>
  <si>
    <t>NN8</t>
  </si>
  <si>
    <t>d8</t>
  </si>
  <si>
    <t>NN9</t>
  </si>
  <si>
    <t>d9</t>
  </si>
  <si>
    <t>04  Majority A/B</t>
  </si>
  <si>
    <t>Euclidean (None): same-class indicators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</si>
  <si>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</si>
  <si>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</si>
  <si>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</si>
  <si>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</si>
  <si>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</si>
  <si>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</si>
  <si>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</si>
  <si>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</si>
  <si>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</si>
  <si>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A Full: k = 1, 2, 3, 4, 5</t>
  </si>
  <si>
    <t>A Reduced: k = 3, 5</t>
  </si>
  <si>
    <t>a1</t>
  </si>
  <si>
    <t>a2</t>
  </si>
  <si>
    <t>a3</t>
  </si>
  <si>
    <t>a4</t>
  </si>
  <si>
    <t>a5</t>
  </si>
  <si>
    <t>B Full: strict majority</t>
  </si>
  <si>
    <t>B Reduced: k = 3, 5</t>
  </si>
  <si>
    <t>b1</t>
  </si>
  <si>
    <t>b2</t>
  </si>
  <si>
    <t>b3</t>
  </si>
  <si>
    <t>b4</t>
  </si>
  <si>
    <t>b5</t>
  </si>
  <si>
    <t>Chebyshev (None): same-class indicators</t>
  </si>
  <si>
    <t>Canberra (None): same-class indicators</t>
  </si>
  <si>
    <t>Manhattan (None): same-class indicators</t>
  </si>
  <si>
    <t>Euclidean (MinMax): same-class indicators</t>
  </si>
  <si>
    <t>Chebyshev (MinMax): same-class indicators</t>
  </si>
  <si>
    <t>Canberra (MinMax): same-class indicators</t>
  </si>
  <si>
    <t>Manhattan (MinMax): same-class indicators</t>
  </si>
  <si>
    <t>05  Statistics</t>
  </si>
  <si>
    <t>Metric</t>
  </si>
  <si>
    <t>Binary sequence</t>
  </si>
  <si>
    <t>Decimal</t>
  </si>
  <si>
    <t>Count K1</t>
  </si>
  <si>
    <t>Count K2</t>
  </si>
  <si>
    <t>Frequency</t>
  </si>
  <si>
    <t>Winner class</t>
  </si>
  <si>
    <t>Purity</t>
  </si>
  <si>
    <t>Status</t>
  </si>
  <si>
    <t>Winner rank</t>
  </si>
  <si>
    <t>euclidean</t>
  </si>
  <si>
    <t>chebyshev</t>
  </si>
  <si>
    <t>canberra</t>
  </si>
  <si>
    <t>manhattan</t>
  </si>
  <si>
    <t>06  Membership</t>
  </si>
  <si>
    <t>Representation</t>
  </si>
  <si>
    <t>k values</t>
  </si>
  <si>
    <t>Membership K1</t>
  </si>
  <si>
    <t>b3, b5</t>
  </si>
  <si>
    <t>07  Stability</t>
  </si>
  <si>
    <t>Unique values</t>
  </si>
  <si>
    <t>Object count</t>
  </si>
  <si>
    <t>Stability</t>
  </si>
  <si>
    <t>Interpretation</t>
  </si>
  <si>
    <t>08  Stability Plot</t>
  </si>
  <si>
    <t>None: stability by representation</t>
  </si>
  <si>
    <t>Euclidean</t>
  </si>
  <si>
    <t>Chebyshev</t>
  </si>
  <si>
    <t>Canberra</t>
  </si>
  <si>
    <t>Manhattan</t>
  </si>
  <si>
    <t>MinMax: stability by representation</t>
  </si>
  <si>
    <t>g &lt;= 0.50: not distinguishable. 0.50 &lt; g &lt;= 0.60: poor. 0.60 &lt; g &lt;= 0.80: satisfactory. g &gt; 0.80: high.</t>
  </si>
  <si>
    <t>09  Synthetic Features Space</t>
  </si>
  <si>
    <t>Euclidean (None): binary prefixes</t>
  </si>
  <si>
    <t>Euclidean (None): decimal prefixes</t>
  </si>
  <si>
    <t>Chebyshev (None): binary prefixes</t>
  </si>
  <si>
    <t>Chebyshev (None): decimal prefixes</t>
  </si>
  <si>
    <t>Canberra (None): binary prefixes</t>
  </si>
  <si>
    <t>Canberra (None): decimal prefixes</t>
  </si>
  <si>
    <t>Manhattan (None): binary prefixes</t>
  </si>
  <si>
    <t>Manhattan (None): decimal prefixes</t>
  </si>
  <si>
    <t>Euclidean (MinMax): binary prefixes</t>
  </si>
  <si>
    <t>Euclidean (MinMax): decimal prefixes</t>
  </si>
  <si>
    <t>Chebyshev (MinMax): binary prefixes</t>
  </si>
  <si>
    <t>Chebyshev (MinMax): decimal prefixes</t>
  </si>
  <si>
    <t>Canberra (MinMax): binary prefixes</t>
  </si>
  <si>
    <t>Canberra (MinMax): decimal prefixes</t>
  </si>
  <si>
    <t>Manhattan (MinMax): binary prefixes</t>
  </si>
  <si>
    <t>Manhattan (MinMax): decimal prefixes</t>
  </si>
  <si>
    <t>10  Meta Objects</t>
  </si>
  <si>
    <t>Based on Stability: y1 = g(b3), y2 = g(b3, b5)</t>
  </si>
  <si>
    <t>y1</t>
  </si>
  <si>
    <t>y2</t>
  </si>
  <si>
    <t>None</t>
  </si>
  <si>
    <t>MinMax</t>
  </si>
  <si>
    <t>Classification complexity C(Q) = 1 - mean(g)</t>
  </si>
  <si>
    <t>Components</t>
  </si>
  <si>
    <t>Mean stability</t>
  </si>
  <si>
    <t>C(Q)</t>
  </si>
  <si>
    <t>None vs MinMax: classification complexity</t>
  </si>
  <si>
    <t>Mean g (None)</t>
  </si>
  <si>
    <t>C(Q) None</t>
  </si>
  <si>
    <t>Interpretation (None)</t>
  </si>
  <si>
    <t>Mean g (MinMax)</t>
  </si>
  <si>
    <t>C(Q) MinMax</t>
  </si>
  <si>
    <t>Interpretation (MinMax)</t>
  </si>
  <si>
    <t>Change in C(Q)</t>
  </si>
  <si>
    <t>Effect</t>
  </si>
  <si>
    <t>Applying PCA (2D): None</t>
  </si>
  <si>
    <t>PC1</t>
  </si>
  <si>
    <t>PC2</t>
  </si>
  <si>
    <t>Explained variance</t>
  </si>
  <si>
    <t>Explained variance: PC1 100.00%, PC2 0.00%. The PCA basis is fitted within this normalization branch.</t>
  </si>
  <si>
    <t>Applying PCA (2D): MinMax</t>
  </si>
  <si>
    <t>Applying PCA (2D): None vs MinMax: shared PCA</t>
  </si>
  <si>
    <t>Explained variance: PC1 87.80%, PC2 12.20%. A single PCA model is fitted to combined None and MinMax coordinates.</t>
  </si>
  <si>
    <t>PCA 3D is unavailable: this experiment has two stability coordinates (k = 3 and 5). No empty 3D tables or plots are included.</t>
  </si>
  <si>
    <t>PCA coordinates are computed by the project for the recorded dataset. Coincident points overlap. PCA is exploratory and does not measure predictive accuracy.</t>
  </si>
  <si>
    <t>11  Final Comparison</t>
  </si>
  <si>
    <t>Best binary sequence per metric, following the project ranking rule</t>
  </si>
  <si>
    <t>The winner is the observed sequence with highest purity, then highest frequency, then smallest decimal and binary sequence.</t>
  </si>
  <si>
    <t>Metric complexity and normalization effects are reported in Meta Objects, as in the project workflow. Purity and complexity measure different properties.</t>
  </si>
  <si>
    <t>Results describe the 10 recorded objects. No held-out predictive accuracy is estimated.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</si>
</sst>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"/>
    <numFmt numFmtId="166" formatCode="0.0%"/>
    <numFmt numFmtId="167" formatCode="00"/>
  </numFmts>
  <fonts count="8">
    <font>
      <sz val="11"/>
      <name val="Carlito"/>
    </font>
    <font>
      <b/>
      <sz val="17"/>
      <color rgb="FF20344B"/>
      <name val="Arial"/>
    </font>
    <font>
      <sz val="11"/>
      <color rgb="FF26384A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1"/>
      <color rgb="FF346A98"/>
      <name val="Arial"/>
    </font>
    <font>
      <sz val="10"/>
      <color rgb="FF627487"/>
      <name val="Arial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346A98"/>
      </patternFill>
    </fill>
    <fill>
      <patternFill patternType="solid">
        <fgColor rgb="FF20344B"/>
      </patternFill>
    </fill>
    <fill>
      <patternFill patternType="solid">
        <fgColor rgb="FFF0F5FA"/>
      </patternFill>
    </fill>
    <fill>
      <patternFill patternType="solid">
        <fgColor rgb="FFFFFFFF"/>
      </patternFill>
    </fill>
    <fill>
      <patternFill patternType="solid">
        <fgColor rgb="FFFFF9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346A98"/>
      </bottom>
      <diagonal/>
    </border>
    <border>
      <left/>
      <right/>
      <top/>
      <bottom style="thin">
        <color rgb="FFDCE5E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NumberFormat="1" applyFont="1" applyFill="1" applyBorder="1"/>
    <xf numFmtId="0" fontId="4" fillId="3" borderId="0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center" vertical="center"/>
    </xf>
    <xf numFmtId="0" fontId="2" fillId="5" borderId="2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164" fontId="5" fillId="6" borderId="0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5" borderId="0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4" borderId="0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 wrapText="1"/>
    </xf>
    <xf numFmtId="49" fontId="2" fillId="5" borderId="0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165" fontId="2" fillId="4" borderId="0" xfId="0" applyNumberFormat="1" applyFont="1" applyFill="1" applyBorder="1" applyAlignment="1">
      <alignment horizontal="center" vertical="center" wrapText="1"/>
    </xf>
    <xf numFmtId="165" fontId="2" fillId="5" borderId="0" xfId="0" applyNumberFormat="1" applyFont="1" applyFill="1" applyBorder="1" applyAlignment="1">
      <alignment horizontal="center" vertical="center" wrapText="1"/>
    </xf>
    <xf numFmtId="165" fontId="2" fillId="5" borderId="2" xfId="0" applyNumberFormat="1" applyFont="1" applyFill="1" applyBorder="1" applyAlignment="1">
      <alignment horizontal="center" vertical="center" wrapText="1"/>
    </xf>
    <xf numFmtId="166" fontId="2" fillId="5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/>
    <xf numFmtId="167" fontId="2" fillId="4" borderId="2" xfId="0" applyNumberFormat="1" applyFont="1" applyFill="1" applyBorder="1" applyAlignment="1">
      <alignment horizontal="center" vertical="center"/>
    </xf>
    <xf numFmtId="167" fontId="2" fillId="4" borderId="0" xfId="0" applyNumberFormat="1" applyFont="1" applyFill="1" applyBorder="1" applyAlignment="1">
      <alignment horizontal="center" vertical="center"/>
    </xf>
    <xf numFmtId="167" fontId="2" fillId="5" borderId="0" xfId="0" applyNumberFormat="1" applyFont="1" applyFill="1" applyBorder="1" applyAlignment="1">
      <alignment horizontal="center" vertical="center"/>
    </xf>
    <xf numFmtId="167" fontId="2" fillId="5" borderId="2" xfId="0" applyNumberFormat="1" applyFont="1" applyFill="1" applyBorder="1" applyAlignment="1">
      <alignment horizontal="center" vertical="center"/>
    </xf>
    <xf numFmtId="1" fontId="2" fillId="4" borderId="0" xfId="0" applyNumberFormat="1" applyFont="1" applyFill="1" applyBorder="1" applyAlignment="1">
      <alignment horizontal="center" vertical="center"/>
    </xf>
    <xf numFmtId="1" fontId="2" fillId="5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/>
    <xf numFmtId="0" fontId="3" fillId="2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4">
    <dxf>
      <font>
        <b/>
        <color rgb="FF99631C"/>
      </font>
      <fill>
        <patternFill patternType="solid">
          <bgColor rgb="FFFFF2D9"/>
        </patternFill>
      </fill>
    </dxf>
    <dxf>
      <font>
        <b/>
        <color rgb="FF346A98"/>
      </font>
      <fill>
        <patternFill patternType="solid">
          <bgColor rgb="FFE9F1F9"/>
        </patternFill>
      </fill>
    </dxf>
    <dxf>
      <font>
        <b/>
        <color rgb="FF99631C"/>
      </font>
      <fill>
        <patternFill patternType="solid">
          <bgColor rgb="FFFFF2D9"/>
        </patternFill>
      </fill>
    </dxf>
    <dxf>
      <font>
        <b/>
        <color rgb="FF346A98"/>
      </font>
      <fill>
        <patternFill patternType="solid">
          <bgColor rgb="FFE9F1F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Stability: None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Euclidean</c:v>
          </c:tx>
          <c:spPr>
            <a:ln w="19050">
              <a:solidFill>
                <a:srgbClr val="346A98"/>
              </a:solidFill>
              <a:prstDash val="solid"/>
            </a:ln>
          </c:spPr>
          <c:marker>
            <c:symbol val="none"/>
          </c:marker>
          <c:cat>
            <c:strRef>
              <c:f>'Stability Plot'!$A$6:$A$7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Plot'!$B$6:$B$7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B-4D13-89F7-A0851A7A6669}"/>
            </c:ext>
          </c:extLst>
        </c:ser>
        <c:ser>
          <c:idx val="1"/>
          <c:order val="1"/>
          <c:tx>
            <c:v>Chebyshev</c:v>
          </c:tx>
          <c:spPr>
            <a:ln w="19050">
              <a:solidFill>
                <a:srgbClr val="D49B47"/>
              </a:solidFill>
              <a:prstDash val="solid"/>
            </a:ln>
          </c:spPr>
          <c:marker>
            <c:symbol val="none"/>
          </c:marker>
          <c:cat>
            <c:strRef>
              <c:f>'Stability Plot'!$A$6:$A$7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Plot'!$C$6:$C$7</c:f>
              <c:numCache>
                <c:formatCode>0.000000</c:formatCode>
                <c:ptCount val="2"/>
                <c:pt idx="0">
                  <c:v>0.61428571428571421</c:v>
                </c:pt>
                <c:pt idx="1">
                  <c:v>0.61428571428571421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B-4D13-89F7-A0851A7A6669}"/>
            </c:ext>
          </c:extLst>
        </c:ser>
        <c:ser>
          <c:idx val="2"/>
          <c:order val="2"/>
          <c:tx>
            <c:v>Canberra</c:v>
          </c:tx>
          <c:spPr>
            <a:ln w="19050">
              <a:solidFill>
                <a:srgbClr val="63A2A4"/>
              </a:solidFill>
              <a:prstDash val="solid"/>
            </a:ln>
          </c:spPr>
          <c:marker>
            <c:symbol val="none"/>
          </c:marker>
          <c:cat>
            <c:strRef>
              <c:f>'Stability Plot'!$A$6:$A$7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Plot'!$D$6:$D$7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B-4D13-89F7-A0851A7A6669}"/>
            </c:ext>
          </c:extLst>
        </c:ser>
        <c:ser>
          <c:idx val="3"/>
          <c:order val="3"/>
          <c:tx>
            <c:v>Manhattan</c:v>
          </c:tx>
          <c:spPr>
            <a:ln w="19050">
              <a:solidFill>
                <a:srgbClr val="8C78AB"/>
              </a:solidFill>
              <a:prstDash val="solid"/>
            </a:ln>
          </c:spPr>
          <c:marker>
            <c:symbol val="none"/>
          </c:marker>
          <c:cat>
            <c:strRef>
              <c:f>'Stability Plot'!$A$6:$A$7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Plot'!$E$6:$E$7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DB-4D13-89F7-A0851A7A6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Reduced-prefix representation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Stability g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Stability: MinMax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Euclidean</c:v>
          </c:tx>
          <c:spPr>
            <a:ln w="19050">
              <a:solidFill>
                <a:srgbClr val="346A98"/>
              </a:solidFill>
              <a:prstDash val="solid"/>
            </a:ln>
          </c:spPr>
          <c:marker>
            <c:symbol val="none"/>
          </c:marker>
          <c:cat>
            <c:strRef>
              <c:f>'Stability Plot'!$A$33:$A$34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Plot'!$B$33:$B$34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6-41D3-93C2-4C9C6FB514F8}"/>
            </c:ext>
          </c:extLst>
        </c:ser>
        <c:ser>
          <c:idx val="1"/>
          <c:order val="1"/>
          <c:tx>
            <c:v>Chebyshev</c:v>
          </c:tx>
          <c:spPr>
            <a:ln w="19050">
              <a:solidFill>
                <a:srgbClr val="D49B47"/>
              </a:solidFill>
              <a:prstDash val="solid"/>
            </a:ln>
          </c:spPr>
          <c:marker>
            <c:symbol val="none"/>
          </c:marker>
          <c:cat>
            <c:strRef>
              <c:f>'Stability Plot'!$A$33:$A$34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Plot'!$C$33:$C$34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56-41D3-93C2-4C9C6FB514F8}"/>
            </c:ext>
          </c:extLst>
        </c:ser>
        <c:ser>
          <c:idx val="2"/>
          <c:order val="2"/>
          <c:tx>
            <c:v>Canberra</c:v>
          </c:tx>
          <c:spPr>
            <a:ln w="19050">
              <a:solidFill>
                <a:srgbClr val="63A2A4"/>
              </a:solidFill>
              <a:prstDash val="solid"/>
            </a:ln>
          </c:spPr>
          <c:marker>
            <c:symbol val="none"/>
          </c:marker>
          <c:cat>
            <c:strRef>
              <c:f>'Stability Plot'!$A$33:$A$34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Plot'!$D$33:$D$34</c:f>
              <c:numCache>
                <c:formatCode>0.000000</c:formatCode>
                <c:ptCount val="2"/>
                <c:pt idx="0">
                  <c:v>0.5</c:v>
                </c:pt>
                <c:pt idx="1">
                  <c:v>0.59090909090909083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56-41D3-93C2-4C9C6FB514F8}"/>
            </c:ext>
          </c:extLst>
        </c:ser>
        <c:ser>
          <c:idx val="3"/>
          <c:order val="3"/>
          <c:tx>
            <c:v>Manhattan</c:v>
          </c:tx>
          <c:spPr>
            <a:ln w="19050">
              <a:solidFill>
                <a:srgbClr val="8C78AB"/>
              </a:solidFill>
              <a:prstDash val="solid"/>
            </a:ln>
          </c:spPr>
          <c:marker>
            <c:symbol val="none"/>
          </c:marker>
          <c:cat>
            <c:strRef>
              <c:f>'Stability Plot'!$A$33:$A$34</c:f>
              <c:strCache>
                <c:ptCount val="2"/>
                <c:pt idx="0">
                  <c:v>b3</c:v>
                </c:pt>
                <c:pt idx="1">
                  <c:v>b3, b5</c:v>
                </c:pt>
              </c:strCache>
            </c:strRef>
          </c:cat>
          <c:val>
            <c:numRef>
              <c:f>'Stability Plot'!$E$33:$E$34</c:f>
              <c:numCache>
                <c:formatCode>0.000000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56-41D3-93C2-4C9C6FB51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Reduced-prefix representation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Stability g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PCA 2D: None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PC2</c:v>
          </c:tx>
          <c:xVal>
            <c:numRef>
              <c:f>'Meta Objects'!$B$42:$B$45</c:f>
              <c:numCache>
                <c:formatCode>0.000000</c:formatCode>
                <c:ptCount val="4"/>
                <c:pt idx="0">
                  <c:v>-4.0406101782087998E-2</c:v>
                </c:pt>
                <c:pt idx="1">
                  <c:v>0.121218305346265</c:v>
                </c:pt>
                <c:pt idx="2">
                  <c:v>-4.0406101782087998E-2</c:v>
                </c:pt>
                <c:pt idx="3">
                  <c:v>-4.0406101782087998E-2</c:v>
                </c:pt>
              </c:numCache>
            </c:numRef>
          </c:xVal>
          <c:yVal>
            <c:numRef>
              <c:f>'Meta Objects'!$C$42:$C$45</c:f>
              <c:numCache>
                <c:formatCode>0.000000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B8-4C75-AE61-77EB70015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PC2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PC1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PCA 2D: MinMax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PC2</c:v>
          </c:tx>
          <c:xVal>
            <c:numRef>
              <c:f>'Meta Objects'!$B$68:$B$71</c:f>
              <c:numCache>
                <c:formatCode>0.000000</c:formatCode>
                <c:ptCount val="4"/>
                <c:pt idx="0">
                  <c:v>-2.2727272727272999E-2</c:v>
                </c:pt>
                <c:pt idx="1">
                  <c:v>-2.2727272727272999E-2</c:v>
                </c:pt>
                <c:pt idx="2">
                  <c:v>6.8181818181817996E-2</c:v>
                </c:pt>
                <c:pt idx="3">
                  <c:v>-2.2727272727272999E-2</c:v>
                </c:pt>
              </c:numCache>
            </c:numRef>
          </c:xVal>
          <c:yVal>
            <c:numRef>
              <c:f>'Meta Objects'!$C$68:$C$71</c:f>
              <c:numCache>
                <c:formatCode>0.000000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99-4154-87CA-E798B8341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PC2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PC1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PCA 2D: None vs MinMax: shared PCA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PC2</c:v>
          </c:tx>
          <c:xVal>
            <c:numRef>
              <c:f>'Meta Objects'!$C$94:$C$101</c:f>
              <c:numCache>
                <c:formatCode>0.000000</c:formatCode>
                <c:ptCount val="8"/>
                <c:pt idx="0">
                  <c:v>-2.8961580395578002E-2</c:v>
                </c:pt>
                <c:pt idx="1">
                  <c:v>-2.8961580395578002E-2</c:v>
                </c:pt>
                <c:pt idx="2">
                  <c:v>0.131642381792031</c:v>
                </c:pt>
                <c:pt idx="3">
                  <c:v>-2.8961580395578002E-2</c:v>
                </c:pt>
                <c:pt idx="4">
                  <c:v>-2.8961580395578002E-2</c:v>
                </c:pt>
                <c:pt idx="5">
                  <c:v>4.2127100581439002E-2</c:v>
                </c:pt>
                <c:pt idx="6">
                  <c:v>-2.8961580395578002E-2</c:v>
                </c:pt>
                <c:pt idx="7">
                  <c:v>-2.8961580395578002E-2</c:v>
                </c:pt>
              </c:numCache>
            </c:numRef>
          </c:xVal>
          <c:yVal>
            <c:numRef>
              <c:f>'Meta Objects'!$D$94:$D$101</c:f>
              <c:numCache>
                <c:formatCode>0.000000</c:formatCode>
                <c:ptCount val="8"/>
                <c:pt idx="0">
                  <c:v>4.8163972403510004E-3</c:v>
                </c:pt>
                <c:pt idx="1">
                  <c:v>4.8163972403510004E-3</c:v>
                </c:pt>
                <c:pt idx="2">
                  <c:v>2.2949690080671999E-2</c:v>
                </c:pt>
                <c:pt idx="3">
                  <c:v>4.8163972403510004E-3</c:v>
                </c:pt>
                <c:pt idx="4">
                  <c:v>4.8163972403510004E-3</c:v>
                </c:pt>
                <c:pt idx="5">
                  <c:v>-5.1848073522774998E-2</c:v>
                </c:pt>
                <c:pt idx="6">
                  <c:v>4.8163972403510004E-3</c:v>
                </c:pt>
                <c:pt idx="7">
                  <c:v>4.8163972403510004E-3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C4-449C-89C9-CE3B0522D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PC2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PC1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11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39</xdr:row>
      <xdr:rowOff>0</xdr:rowOff>
    </xdr:from>
    <xdr:to>
      <xdr:col>11</xdr:col>
      <xdr:colOff>0</xdr:colOff>
      <xdr:row>60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65</xdr:row>
      <xdr:rowOff>0</xdr:rowOff>
    </xdr:from>
    <xdr:to>
      <xdr:col>11</xdr:col>
      <xdr:colOff>0</xdr:colOff>
      <xdr:row>86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91</xdr:row>
      <xdr:rowOff>0</xdr:rowOff>
    </xdr:from>
    <xdr:to>
      <xdr:col>11</xdr:col>
      <xdr:colOff>0</xdr:colOff>
      <xdr:row>112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FC6DB"/>
  </sheetPr>
  <dimension ref="A2:K35"/>
  <sheetViews>
    <sheetView showGridLines="0" workbookViewId="0">
      <pane ySplit="5" topLeftCell="A18" activePane="bottomLeft" state="frozen"/>
      <selection pane="bottomLeft"/>
    </sheetView>
  </sheetViews>
  <sheetFormatPr defaultRowHeight="13.8"/>
  <cols>
    <col min="1" max="9" width="16" customWidth="1"/>
    <col min="10" max="11" width="22" customWidth="1"/>
  </cols>
  <sheetData>
    <row r="2" spans="1:11" ht="36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</v>
      </c>
      <c r="B4" s="35"/>
      <c r="C4" s="35"/>
      <c r="D4" s="35"/>
      <c r="E4" s="35"/>
      <c r="F4" s="35"/>
      <c r="G4" s="35"/>
      <c r="H4" s="35"/>
      <c r="I4" s="27"/>
      <c r="J4" s="35" t="s">
        <v>2</v>
      </c>
      <c r="K4" s="35"/>
    </row>
    <row r="5" spans="1:11" ht="43.95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7"/>
      <c r="J5" s="2" t="s">
        <v>11</v>
      </c>
      <c r="K5" s="2" t="s">
        <v>12</v>
      </c>
    </row>
    <row r="6" spans="1:11" ht="25.05" customHeight="1">
      <c r="A6" s="6" t="s">
        <v>13</v>
      </c>
      <c r="B6" s="9">
        <v>129</v>
      </c>
      <c r="C6" s="9">
        <v>64</v>
      </c>
      <c r="D6" s="9">
        <v>95</v>
      </c>
      <c r="E6" s="9">
        <v>17.5</v>
      </c>
      <c r="F6" s="9">
        <v>11.2</v>
      </c>
      <c r="G6" s="9">
        <v>13.8</v>
      </c>
      <c r="H6" s="3">
        <v>1</v>
      </c>
      <c r="I6" s="27"/>
      <c r="J6" s="6" t="s">
        <v>14</v>
      </c>
      <c r="K6" s="3">
        <f>COUNT(H6:H15)</f>
        <v>10</v>
      </c>
    </row>
    <row r="7" spans="1:11" ht="25.05" customHeight="1">
      <c r="A7" s="7" t="s">
        <v>15</v>
      </c>
      <c r="B7" s="9">
        <v>154</v>
      </c>
      <c r="C7" s="9">
        <v>74</v>
      </c>
      <c r="D7" s="9">
        <v>76</v>
      </c>
      <c r="E7" s="9">
        <v>20</v>
      </c>
      <c r="F7" s="9">
        <v>14.2</v>
      </c>
      <c r="G7" s="9">
        <v>16.5</v>
      </c>
      <c r="H7" s="4">
        <v>1</v>
      </c>
      <c r="I7" s="27"/>
      <c r="J7" s="7" t="s">
        <v>16</v>
      </c>
      <c r="K7" s="4">
        <v>6</v>
      </c>
    </row>
    <row r="8" spans="1:11" ht="25.05" customHeight="1">
      <c r="A8" s="6" t="s">
        <v>17</v>
      </c>
      <c r="B8" s="9">
        <v>199</v>
      </c>
      <c r="C8" s="9">
        <v>105</v>
      </c>
      <c r="D8" s="9">
        <v>73</v>
      </c>
      <c r="E8" s="9">
        <v>23.4</v>
      </c>
      <c r="F8" s="9">
        <v>15</v>
      </c>
      <c r="G8" s="9">
        <v>19.100000000000001</v>
      </c>
      <c r="H8" s="3">
        <v>2</v>
      </c>
      <c r="I8" s="27"/>
      <c r="J8" s="6" t="s">
        <v>18</v>
      </c>
      <c r="K8" s="3">
        <f>COUNTIFS(H6:H15,1)</f>
        <v>6</v>
      </c>
    </row>
    <row r="9" spans="1:11" ht="25.05" customHeight="1">
      <c r="A9" s="7" t="s">
        <v>19</v>
      </c>
      <c r="B9" s="9">
        <v>170</v>
      </c>
      <c r="C9" s="9">
        <v>87</v>
      </c>
      <c r="D9" s="9">
        <v>71</v>
      </c>
      <c r="E9" s="9">
        <v>17.899999999999999</v>
      </c>
      <c r="F9" s="9">
        <v>12.3</v>
      </c>
      <c r="G9" s="9">
        <v>15.9</v>
      </c>
      <c r="H9" s="4">
        <v>1</v>
      </c>
      <c r="I9" s="27"/>
      <c r="J9" s="7" t="s">
        <v>20</v>
      </c>
      <c r="K9" s="4">
        <f>COUNTIFS(H6:H15,2)</f>
        <v>4</v>
      </c>
    </row>
    <row r="10" spans="1:11" ht="25.05" customHeight="1">
      <c r="A10" s="6" t="s">
        <v>21</v>
      </c>
      <c r="B10" s="9">
        <v>227</v>
      </c>
      <c r="C10" s="9">
        <v>117</v>
      </c>
      <c r="D10" s="9">
        <v>77</v>
      </c>
      <c r="E10" s="9">
        <v>25</v>
      </c>
      <c r="F10" s="9">
        <v>15.3</v>
      </c>
      <c r="G10" s="9">
        <v>18.600000000000001</v>
      </c>
      <c r="H10" s="3">
        <v>2</v>
      </c>
      <c r="I10" s="27"/>
      <c r="J10" s="6" t="s">
        <v>22</v>
      </c>
      <c r="K10" s="3">
        <f>MIN(K6-1,2*MIN(K8,K9)-3)</f>
        <v>5</v>
      </c>
    </row>
    <row r="11" spans="1:11" ht="25.05" customHeight="1">
      <c r="A11" s="7" t="s">
        <v>23</v>
      </c>
      <c r="B11" s="9">
        <v>188</v>
      </c>
      <c r="C11" s="9">
        <v>94</v>
      </c>
      <c r="D11" s="9">
        <v>73</v>
      </c>
      <c r="E11" s="9">
        <v>19.5</v>
      </c>
      <c r="F11" s="9">
        <v>13.3</v>
      </c>
      <c r="G11" s="9">
        <v>14.8</v>
      </c>
      <c r="H11" s="4">
        <v>1</v>
      </c>
      <c r="I11" s="27"/>
      <c r="J11" s="7" t="s">
        <v>24</v>
      </c>
      <c r="K11" s="4" t="s">
        <v>25</v>
      </c>
    </row>
    <row r="12" spans="1:11" ht="25.05" customHeight="1">
      <c r="A12" s="6" t="s">
        <v>26</v>
      </c>
      <c r="B12" s="9">
        <v>161</v>
      </c>
      <c r="C12" s="9">
        <v>81</v>
      </c>
      <c r="D12" s="9">
        <v>55</v>
      </c>
      <c r="E12" s="9">
        <v>17.100000000000001</v>
      </c>
      <c r="F12" s="9">
        <v>12.1</v>
      </c>
      <c r="G12" s="9">
        <v>13</v>
      </c>
      <c r="H12" s="3">
        <v>1</v>
      </c>
      <c r="I12" s="27"/>
      <c r="J12" s="6" t="s">
        <v>27</v>
      </c>
      <c r="K12" s="3" t="s">
        <v>28</v>
      </c>
    </row>
    <row r="13" spans="1:11" ht="25.05" customHeight="1">
      <c r="A13" s="7" t="s">
        <v>29</v>
      </c>
      <c r="B13" s="9">
        <v>164</v>
      </c>
      <c r="C13" s="9">
        <v>90</v>
      </c>
      <c r="D13" s="9">
        <v>58</v>
      </c>
      <c r="E13" s="9">
        <v>17.5</v>
      </c>
      <c r="F13" s="9">
        <v>12.7</v>
      </c>
      <c r="G13" s="9">
        <v>14.7</v>
      </c>
      <c r="H13" s="4">
        <v>1</v>
      </c>
      <c r="I13" s="27"/>
      <c r="J13" s="8" t="s">
        <v>30</v>
      </c>
      <c r="K13" s="5" t="s">
        <v>31</v>
      </c>
    </row>
    <row r="14" spans="1:11" ht="25.05" customHeight="1">
      <c r="A14" s="6" t="s">
        <v>32</v>
      </c>
      <c r="B14" s="9">
        <v>228</v>
      </c>
      <c r="C14" s="9">
        <v>122</v>
      </c>
      <c r="D14" s="9">
        <v>82</v>
      </c>
      <c r="E14" s="9">
        <v>24.7</v>
      </c>
      <c r="F14" s="9">
        <v>15</v>
      </c>
      <c r="G14" s="9">
        <v>18.5</v>
      </c>
      <c r="H14" s="3">
        <v>2</v>
      </c>
      <c r="I14" s="27"/>
      <c r="J14" s="27"/>
      <c r="K14" s="27"/>
    </row>
    <row r="15" spans="1:11" ht="25.05" customHeight="1">
      <c r="A15" s="8" t="s">
        <v>33</v>
      </c>
      <c r="B15" s="10">
        <v>232</v>
      </c>
      <c r="C15" s="10">
        <v>123</v>
      </c>
      <c r="D15" s="10">
        <v>83</v>
      </c>
      <c r="E15" s="10">
        <v>25.3</v>
      </c>
      <c r="F15" s="10">
        <v>16.8</v>
      </c>
      <c r="G15" s="10">
        <v>15.5</v>
      </c>
      <c r="H15" s="5">
        <v>2</v>
      </c>
      <c r="I15" s="27"/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30" customHeight="1">
      <c r="A18" s="35" t="s">
        <v>34</v>
      </c>
      <c r="B18" s="35"/>
      <c r="C18" s="35"/>
      <c r="D18" s="35"/>
      <c r="E18" s="35"/>
      <c r="F18" s="35"/>
      <c r="G18" s="35"/>
      <c r="H18" s="35"/>
      <c r="I18" s="27"/>
      <c r="J18" s="27"/>
      <c r="K18" s="27"/>
    </row>
    <row r="19" spans="1:11" ht="43.95" customHeight="1">
      <c r="A19" s="2" t="s">
        <v>3</v>
      </c>
      <c r="B19" s="2" t="s">
        <v>4</v>
      </c>
      <c r="C19" s="2" t="s">
        <v>5</v>
      </c>
      <c r="D19" s="2" t="s">
        <v>6</v>
      </c>
      <c r="E19" s="2" t="s">
        <v>7</v>
      </c>
      <c r="F19" s="2" t="s">
        <v>8</v>
      </c>
      <c r="G19" s="2" t="s">
        <v>9</v>
      </c>
      <c r="H19" s="2" t="s">
        <v>10</v>
      </c>
      <c r="I19" s="27"/>
      <c r="J19" s="27"/>
      <c r="K19" s="27"/>
    </row>
    <row r="20" spans="1:11" ht="25.05" customHeight="1">
      <c r="A20" s="6" t="s">
        <v>13</v>
      </c>
      <c r="B20" s="11">
        <f t="shared" ref="B20:G29" si="0">IF(MAX(B$6:B$15)=MIN(B$6:B$15),0,(B6-MIN(B$6:B$15))/(MAX(B$6:B$15)-MIN(B$6:B$15)))</f>
        <v>0</v>
      </c>
      <c r="C20" s="11">
        <f t="shared" si="0"/>
        <v>0</v>
      </c>
      <c r="D20" s="11">
        <f t="shared" si="0"/>
        <v>1</v>
      </c>
      <c r="E20" s="11">
        <f t="shared" si="0"/>
        <v>4.8780487804877877E-2</v>
      </c>
      <c r="F20" s="11">
        <f t="shared" si="0"/>
        <v>0</v>
      </c>
      <c r="G20" s="11">
        <f t="shared" si="0"/>
        <v>0.13114754098360665</v>
      </c>
      <c r="H20" s="3">
        <v>1</v>
      </c>
      <c r="I20" s="27"/>
      <c r="J20" s="27"/>
      <c r="K20" s="27"/>
    </row>
    <row r="21" spans="1:11" ht="25.05" customHeight="1">
      <c r="A21" s="7" t="s">
        <v>15</v>
      </c>
      <c r="B21" s="12">
        <f t="shared" si="0"/>
        <v>0.24271844660194175</v>
      </c>
      <c r="C21" s="12">
        <f t="shared" si="0"/>
        <v>0.16949152542372881</v>
      </c>
      <c r="D21" s="12">
        <f t="shared" si="0"/>
        <v>0.52500000000000002</v>
      </c>
      <c r="E21" s="12">
        <f t="shared" si="0"/>
        <v>0.35365853658536572</v>
      </c>
      <c r="F21" s="12">
        <f t="shared" si="0"/>
        <v>0.53571428571428559</v>
      </c>
      <c r="G21" s="12">
        <f t="shared" si="0"/>
        <v>0.57377049180327855</v>
      </c>
      <c r="H21" s="4">
        <v>1</v>
      </c>
      <c r="I21" s="27"/>
      <c r="J21" s="27"/>
      <c r="K21" s="27"/>
    </row>
    <row r="22" spans="1:11" ht="25.05" customHeight="1">
      <c r="A22" s="6" t="s">
        <v>17</v>
      </c>
      <c r="B22" s="11">
        <f t="shared" si="0"/>
        <v>0.67961165048543692</v>
      </c>
      <c r="C22" s="11">
        <f t="shared" si="0"/>
        <v>0.69491525423728817</v>
      </c>
      <c r="D22" s="11">
        <f t="shared" si="0"/>
        <v>0.45</v>
      </c>
      <c r="E22" s="11">
        <f t="shared" si="0"/>
        <v>0.76829268292682895</v>
      </c>
      <c r="F22" s="11">
        <f t="shared" si="0"/>
        <v>0.67857142857142849</v>
      </c>
      <c r="G22" s="11">
        <f t="shared" si="0"/>
        <v>1</v>
      </c>
      <c r="H22" s="3">
        <v>2</v>
      </c>
      <c r="I22" s="27"/>
      <c r="J22" s="27"/>
      <c r="K22" s="27"/>
    </row>
    <row r="23" spans="1:11" ht="25.05" customHeight="1">
      <c r="A23" s="7" t="s">
        <v>19</v>
      </c>
      <c r="B23" s="12">
        <f t="shared" si="0"/>
        <v>0.39805825242718446</v>
      </c>
      <c r="C23" s="12">
        <f t="shared" si="0"/>
        <v>0.38983050847457629</v>
      </c>
      <c r="D23" s="12">
        <f t="shared" si="0"/>
        <v>0.4</v>
      </c>
      <c r="E23" s="12">
        <f t="shared" si="0"/>
        <v>9.7560975609755754E-2</v>
      </c>
      <c r="F23" s="12">
        <f t="shared" si="0"/>
        <v>0.19642857142857162</v>
      </c>
      <c r="G23" s="12">
        <f t="shared" si="0"/>
        <v>0.47540983606557374</v>
      </c>
      <c r="H23" s="4">
        <v>1</v>
      </c>
      <c r="I23" s="27"/>
      <c r="J23" s="27"/>
      <c r="K23" s="27"/>
    </row>
    <row r="24" spans="1:11" ht="25.05" customHeight="1">
      <c r="A24" s="6" t="s">
        <v>21</v>
      </c>
      <c r="B24" s="11">
        <f t="shared" si="0"/>
        <v>0.95145631067961167</v>
      </c>
      <c r="C24" s="11">
        <f t="shared" si="0"/>
        <v>0.89830508474576276</v>
      </c>
      <c r="D24" s="11">
        <f t="shared" si="0"/>
        <v>0.55000000000000004</v>
      </c>
      <c r="E24" s="11">
        <f t="shared" si="0"/>
        <v>0.96341463414634132</v>
      </c>
      <c r="F24" s="11">
        <f t="shared" si="0"/>
        <v>0.73214285714285721</v>
      </c>
      <c r="G24" s="11">
        <f t="shared" si="0"/>
        <v>0.91803278688524592</v>
      </c>
      <c r="H24" s="3">
        <v>2</v>
      </c>
      <c r="I24" s="27"/>
      <c r="J24" s="27"/>
      <c r="K24" s="27"/>
    </row>
    <row r="25" spans="1:11" ht="25.05" customHeight="1">
      <c r="A25" s="7" t="s">
        <v>23</v>
      </c>
      <c r="B25" s="12">
        <f t="shared" si="0"/>
        <v>0.57281553398058249</v>
      </c>
      <c r="C25" s="12">
        <f t="shared" si="0"/>
        <v>0.50847457627118642</v>
      </c>
      <c r="D25" s="12">
        <f t="shared" si="0"/>
        <v>0.45</v>
      </c>
      <c r="E25" s="12">
        <f t="shared" si="0"/>
        <v>0.29268292682926816</v>
      </c>
      <c r="F25" s="12">
        <f t="shared" si="0"/>
        <v>0.37500000000000017</v>
      </c>
      <c r="G25" s="12">
        <f t="shared" si="0"/>
        <v>0.2950819672131148</v>
      </c>
      <c r="H25" s="4">
        <v>1</v>
      </c>
      <c r="I25" s="27"/>
      <c r="J25" s="27"/>
      <c r="K25" s="27"/>
    </row>
    <row r="26" spans="1:11" ht="25.05" customHeight="1">
      <c r="A26" s="6" t="s">
        <v>26</v>
      </c>
      <c r="B26" s="11">
        <f t="shared" si="0"/>
        <v>0.31067961165048541</v>
      </c>
      <c r="C26" s="11">
        <f t="shared" si="0"/>
        <v>0.28813559322033899</v>
      </c>
      <c r="D26" s="11">
        <f t="shared" si="0"/>
        <v>0</v>
      </c>
      <c r="E26" s="11">
        <f t="shared" si="0"/>
        <v>0</v>
      </c>
      <c r="F26" s="11">
        <f t="shared" si="0"/>
        <v>0.16071428571428573</v>
      </c>
      <c r="G26" s="11">
        <f t="shared" si="0"/>
        <v>0</v>
      </c>
      <c r="H26" s="3">
        <v>1</v>
      </c>
      <c r="I26" s="27"/>
      <c r="J26" s="27"/>
      <c r="K26" s="27"/>
    </row>
    <row r="27" spans="1:11" ht="25.05" customHeight="1">
      <c r="A27" s="7" t="s">
        <v>29</v>
      </c>
      <c r="B27" s="12">
        <f t="shared" si="0"/>
        <v>0.33980582524271846</v>
      </c>
      <c r="C27" s="12">
        <f t="shared" si="0"/>
        <v>0.44067796610169491</v>
      </c>
      <c r="D27" s="12">
        <f t="shared" si="0"/>
        <v>7.4999999999999997E-2</v>
      </c>
      <c r="E27" s="12">
        <f t="shared" si="0"/>
        <v>4.8780487804877877E-2</v>
      </c>
      <c r="F27" s="12">
        <f t="shared" si="0"/>
        <v>0.26785714285714279</v>
      </c>
      <c r="G27" s="12">
        <f t="shared" si="0"/>
        <v>0.27868852459016374</v>
      </c>
      <c r="H27" s="4">
        <v>1</v>
      </c>
      <c r="I27" s="27"/>
      <c r="J27" s="27"/>
      <c r="K27" s="27"/>
    </row>
    <row r="28" spans="1:11" ht="25.05" customHeight="1">
      <c r="A28" s="6" t="s">
        <v>32</v>
      </c>
      <c r="B28" s="11">
        <f t="shared" si="0"/>
        <v>0.96116504854368934</v>
      </c>
      <c r="C28" s="11">
        <f t="shared" si="0"/>
        <v>0.98305084745762716</v>
      </c>
      <c r="D28" s="11">
        <f t="shared" si="0"/>
        <v>0.67500000000000004</v>
      </c>
      <c r="E28" s="11">
        <f t="shared" si="0"/>
        <v>0.92682926829268275</v>
      </c>
      <c r="F28" s="11">
        <f t="shared" si="0"/>
        <v>0.67857142857142849</v>
      </c>
      <c r="G28" s="11">
        <f t="shared" si="0"/>
        <v>0.90163934426229486</v>
      </c>
      <c r="H28" s="3">
        <v>2</v>
      </c>
      <c r="I28" s="27"/>
      <c r="J28" s="27"/>
      <c r="K28" s="27"/>
    </row>
    <row r="29" spans="1:11" ht="25.05" customHeight="1">
      <c r="A29" s="8" t="s">
        <v>33</v>
      </c>
      <c r="B29" s="13">
        <f t="shared" si="0"/>
        <v>1</v>
      </c>
      <c r="C29" s="13">
        <f t="shared" si="0"/>
        <v>1</v>
      </c>
      <c r="D29" s="13">
        <f t="shared" si="0"/>
        <v>0.7</v>
      </c>
      <c r="E29" s="13">
        <f t="shared" si="0"/>
        <v>1</v>
      </c>
      <c r="F29" s="13">
        <f t="shared" si="0"/>
        <v>1</v>
      </c>
      <c r="G29" s="13">
        <f t="shared" si="0"/>
        <v>0.40983606557377039</v>
      </c>
      <c r="H29" s="5">
        <v>2</v>
      </c>
      <c r="I29" s="27"/>
      <c r="J29" s="27"/>
      <c r="K29" s="27"/>
    </row>
    <row r="30" spans="1:1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 ht="31.95" customHeight="1">
      <c r="A32" s="36" t="s">
        <v>35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1:11" ht="31.95" customHeight="1">
      <c r="A33" s="36" t="s">
        <v>36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1:11" ht="31.95" customHeight="1">
      <c r="A34" s="36" t="s">
        <v>37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spans="1:11" ht="31.95" customHeight="1">
      <c r="A35" s="36" t="s">
        <v>38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</row>
  </sheetData>
  <mergeCells count="8">
    <mergeCell ref="A33:K33"/>
    <mergeCell ref="A34:K34"/>
    <mergeCell ref="A35:K35"/>
    <mergeCell ref="A2:K2"/>
    <mergeCell ref="A4:H4"/>
    <mergeCell ref="A18:H18"/>
    <mergeCell ref="J4:K4"/>
    <mergeCell ref="A32:K32"/>
  </mergeCells>
  <conditionalFormatting sqref="H6:H15">
    <cfRule type="cellIs" dxfId="3" priority="1" operator="equal">
      <formula>1</formula>
    </cfRule>
    <cfRule type="cellIs" dxfId="2" priority="2" operator="equal">
      <formula>2</formula>
    </cfRule>
  </conditionalFormatting>
  <conditionalFormatting sqref="H20:H29">
    <cfRule type="cellIs" dxfId="1" priority="3" operator="equal">
      <formula>1</formula>
    </cfRule>
    <cfRule type="cellIs" dxfId="0" priority="4" operator="equal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46A98"/>
  </sheetPr>
  <dimension ref="A2:K120"/>
  <sheetViews>
    <sheetView showGridLines="0" workbookViewId="0">
      <pane ySplit="5" topLeftCell="A63" activePane="bottomLeft" state="frozen"/>
      <selection pane="bottomLeft" activeCell="A4" sqref="A4:K4"/>
    </sheetView>
  </sheetViews>
  <sheetFormatPr defaultRowHeight="13.8"/>
  <cols>
    <col min="1" max="1" width="13" customWidth="1"/>
    <col min="2" max="11" width="16" customWidth="1"/>
  </cols>
  <sheetData>
    <row r="2" spans="1:11" ht="36" customHeight="1">
      <c r="A2" s="34" t="s">
        <v>39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ht="43.95" customHeight="1">
      <c r="A5" s="2" t="s">
        <v>3</v>
      </c>
      <c r="B5" s="2" t="s">
        <v>13</v>
      </c>
      <c r="C5" s="2" t="s">
        <v>15</v>
      </c>
      <c r="D5" s="2" t="s">
        <v>17</v>
      </c>
      <c r="E5" s="2" t="s">
        <v>19</v>
      </c>
      <c r="F5" s="2" t="s">
        <v>21</v>
      </c>
      <c r="G5" s="2" t="s">
        <v>23</v>
      </c>
      <c r="H5" s="2" t="s">
        <v>26</v>
      </c>
      <c r="I5" s="2" t="s">
        <v>29</v>
      </c>
      <c r="J5" s="2" t="s">
        <v>32</v>
      </c>
      <c r="K5" s="2" t="s">
        <v>33</v>
      </c>
    </row>
    <row r="6" spans="1:11" ht="25.05" customHeight="1">
      <c r="A6" s="6" t="s">
        <v>13</v>
      </c>
      <c r="B6" s="11">
        <f>SQRT(SUM((Dataset!B6-Dataset!B6)^2,(Dataset!C6-Dataset!C6)^2,(Dataset!D6-Dataset!D6)^2,(Dataset!E6-Dataset!E6)^2,(Dataset!F6-Dataset!F6)^2,(Dataset!G6-Dataset!G6)^2))</f>
        <v>0</v>
      </c>
      <c r="C6" s="11">
        <f>SQRT(SUM((Dataset!B6-Dataset!B7)^2,(Dataset!C6-Dataset!C7)^2,(Dataset!D6-Dataset!D7)^2,(Dataset!E6-Dataset!E7)^2,(Dataset!F6-Dataset!F7)^2,(Dataset!G6-Dataset!G7)^2))</f>
        <v>33.294744329998991</v>
      </c>
      <c r="D6" s="11">
        <f>SQRT(SUM((Dataset!B6-Dataset!B8)^2,(Dataset!C6-Dataset!C8)^2,(Dataset!D6-Dataset!D8)^2,(Dataset!E6-Dataset!E8)^2,(Dataset!F6-Dataset!F8)^2,(Dataset!G6-Dataset!G8)^2))</f>
        <v>84.512365959071346</v>
      </c>
      <c r="E6" s="11">
        <f>SQRT(SUM((Dataset!B6-Dataset!B9)^2,(Dataset!C6-Dataset!C9)^2,(Dataset!D6-Dataset!D9)^2,(Dataset!E6-Dataset!E9)^2,(Dataset!F6-Dataset!F9)^2,(Dataset!G6-Dataset!G9)^2))</f>
        <v>52.83729743277943</v>
      </c>
      <c r="F6" s="11">
        <f>SQRT(SUM((Dataset!B6-Dataset!B10)^2,(Dataset!C6-Dataset!C10)^2,(Dataset!D6-Dataset!D10)^2,(Dataset!E6-Dataset!E10)^2,(Dataset!F6-Dataset!F10)^2,(Dataset!G6-Dataset!G10)^2))</f>
        <v>113.28327325779389</v>
      </c>
      <c r="G6" s="11">
        <f>SQRT(SUM((Dataset!B6-Dataset!B11)^2,(Dataset!C6-Dataset!C11)^2,(Dataset!D6-Dataset!D11)^2,(Dataset!E6-Dataset!E11)^2,(Dataset!F6-Dataset!F11)^2,(Dataset!G6-Dataset!G11)^2))</f>
        <v>69.816975013244445</v>
      </c>
      <c r="H6" s="11">
        <f>SQRT(SUM((Dataset!B6-Dataset!B12)^2,(Dataset!C6-Dataset!C12)^2,(Dataset!D6-Dataset!D12)^2,(Dataset!E6-Dataset!E12)^2,(Dataset!F6-Dataset!F12)^2,(Dataset!G6-Dataset!G12)^2))</f>
        <v>53.987128095500687</v>
      </c>
      <c r="I6" s="11">
        <f>SQRT(SUM((Dataset!B6-Dataset!B13)^2,(Dataset!C6-Dataset!C13)^2,(Dataset!D6-Dataset!D13)^2,(Dataset!E6-Dataset!E13)^2,(Dataset!F6-Dataset!F13)^2,(Dataset!G6-Dataset!G13)^2))</f>
        <v>57.210663341723283</v>
      </c>
      <c r="J6" s="11">
        <f>SQRT(SUM((Dataset!B6-Dataset!B14)^2,(Dataset!C6-Dataset!C14)^2,(Dataset!D6-Dataset!D14)^2,(Dataset!E6-Dataset!E14)^2,(Dataset!F6-Dataset!F14)^2,(Dataset!G6-Dataset!G14)^2))</f>
        <v>115.85495241896223</v>
      </c>
      <c r="K6" s="11">
        <f>SQRT(SUM((Dataset!B6-Dataset!B15)^2,(Dataset!C6-Dataset!C15)^2,(Dataset!D6-Dataset!D15)^2,(Dataset!E6-Dataset!E15)^2,(Dataset!F6-Dataset!F15)^2,(Dataset!G6-Dataset!G15)^2))</f>
        <v>119.70417703655959</v>
      </c>
    </row>
    <row r="7" spans="1:11" ht="25.05" customHeight="1">
      <c r="A7" s="7" t="s">
        <v>15</v>
      </c>
      <c r="B7" s="12">
        <f>SQRT(SUM((Dataset!B7-Dataset!B6)^2,(Dataset!C7-Dataset!C6)^2,(Dataset!D7-Dataset!D6)^2,(Dataset!E7-Dataset!E6)^2,(Dataset!F7-Dataset!F6)^2,(Dataset!G7-Dataset!G6)^2))</f>
        <v>33.294744329998991</v>
      </c>
      <c r="C7" s="12">
        <f>SQRT(SUM((Dataset!B7-Dataset!B7)^2,(Dataset!C7-Dataset!C7)^2,(Dataset!D7-Dataset!D7)^2,(Dataset!E7-Dataset!E7)^2,(Dataset!F7-Dataset!F7)^2,(Dataset!G7-Dataset!G7)^2))</f>
        <v>0</v>
      </c>
      <c r="D7" s="12">
        <f>SQRT(SUM((Dataset!B7-Dataset!B8)^2,(Dataset!C7-Dataset!C8)^2,(Dataset!D7-Dataset!D8)^2,(Dataset!E7-Dataset!E8)^2,(Dataset!F7-Dataset!F8)^2,(Dataset!G7-Dataset!G8)^2))</f>
        <v>54.899544624705221</v>
      </c>
      <c r="E7" s="12">
        <f>SQRT(SUM((Dataset!B7-Dataset!B9)^2,(Dataset!C7-Dataset!C9)^2,(Dataset!D7-Dataset!D9)^2,(Dataset!E7-Dataset!E9)^2,(Dataset!F7-Dataset!F9)^2,(Dataset!G7-Dataset!G9)^2))</f>
        <v>21.409810835222249</v>
      </c>
      <c r="F7" s="12">
        <f>SQRT(SUM((Dataset!B7-Dataset!B10)^2,(Dataset!C7-Dataset!C10)^2,(Dataset!D7-Dataset!D10)^2,(Dataset!E7-Dataset!E10)^2,(Dataset!F7-Dataset!F10)^2,(Dataset!G7-Dataset!G10)^2))</f>
        <v>84.909481213819703</v>
      </c>
      <c r="G7" s="12">
        <f>SQRT(SUM((Dataset!B7-Dataset!B11)^2,(Dataset!C7-Dataset!C11)^2,(Dataset!D7-Dataset!D11)^2,(Dataset!E7-Dataset!E11)^2,(Dataset!F7-Dataset!F11)^2,(Dataset!G7-Dataset!G11)^2))</f>
        <v>39.609973491533673</v>
      </c>
      <c r="H7" s="12">
        <f>SQRT(SUM((Dataset!B7-Dataset!B12)^2,(Dataset!C7-Dataset!C12)^2,(Dataset!D7-Dataset!D12)^2,(Dataset!E7-Dataset!E12)^2,(Dataset!F7-Dataset!F12)^2,(Dataset!G7-Dataset!G12)^2))</f>
        <v>23.750157894211988</v>
      </c>
      <c r="I7" s="12">
        <f>SQRT(SUM((Dataset!B7-Dataset!B13)^2,(Dataset!C7-Dataset!C13)^2,(Dataset!D7-Dataset!D13)^2,(Dataset!E7-Dataset!E13)^2,(Dataset!F7-Dataset!F13)^2,(Dataset!G7-Dataset!G13)^2))</f>
        <v>26.300950553164423</v>
      </c>
      <c r="J7" s="12">
        <f>SQRT(SUM((Dataset!B7-Dataset!B14)^2,(Dataset!C7-Dataset!C14)^2,(Dataset!D7-Dataset!D14)^2,(Dataset!E7-Dataset!E14)^2,(Dataset!F7-Dataset!F14)^2,(Dataset!G7-Dataset!G14)^2))</f>
        <v>88.559189246514677</v>
      </c>
      <c r="K7" s="12">
        <f>SQRT(SUM((Dataset!B7-Dataset!B15)^2,(Dataset!C7-Dataset!C15)^2,(Dataset!D7-Dataset!D15)^2,(Dataset!E7-Dataset!E15)^2,(Dataset!F7-Dataset!F15)^2,(Dataset!G7-Dataset!G15)^2))</f>
        <v>92.573484324616416</v>
      </c>
    </row>
    <row r="8" spans="1:11" ht="25.05" customHeight="1">
      <c r="A8" s="6" t="s">
        <v>17</v>
      </c>
      <c r="B8" s="11">
        <f>SQRT(SUM((Dataset!B8-Dataset!B6)^2,(Dataset!C8-Dataset!C6)^2,(Dataset!D8-Dataset!D6)^2,(Dataset!E8-Dataset!E6)^2,(Dataset!F8-Dataset!F6)^2,(Dataset!G8-Dataset!G6)^2))</f>
        <v>84.512365959071346</v>
      </c>
      <c r="C8" s="11">
        <f>SQRT(SUM((Dataset!B8-Dataset!B7)^2,(Dataset!C8-Dataset!C7)^2,(Dataset!D8-Dataset!D7)^2,(Dataset!E8-Dataset!E7)^2,(Dataset!F8-Dataset!F7)^2,(Dataset!G8-Dataset!G7)^2))</f>
        <v>54.899544624705221</v>
      </c>
      <c r="D8" s="11">
        <f>SQRT(SUM((Dataset!B8-Dataset!B8)^2,(Dataset!C8-Dataset!C8)^2,(Dataset!D8-Dataset!D8)^2,(Dataset!E8-Dataset!E8)^2,(Dataset!F8-Dataset!F8)^2,(Dataset!G8-Dataset!G8)^2))</f>
        <v>0</v>
      </c>
      <c r="E8" s="11">
        <f>SQRT(SUM((Dataset!B8-Dataset!B9)^2,(Dataset!C8-Dataset!C9)^2,(Dataset!D8-Dataset!D9)^2,(Dataset!E8-Dataset!E9)^2,(Dataset!F8-Dataset!F9)^2,(Dataset!G8-Dataset!G9)^2))</f>
        <v>34.882373772436992</v>
      </c>
      <c r="F8" s="11">
        <f>SQRT(SUM((Dataset!B8-Dataset!B10)^2,(Dataset!C8-Dataset!C10)^2,(Dataset!D8-Dataset!D10)^2,(Dataset!E8-Dataset!E10)^2,(Dataset!F8-Dataset!F10)^2,(Dataset!G8-Dataset!G10)^2))</f>
        <v>30.771740282278479</v>
      </c>
      <c r="G8" s="11">
        <f>SQRT(SUM((Dataset!B8-Dataset!B11)^2,(Dataset!C8-Dataset!C11)^2,(Dataset!D8-Dataset!D11)^2,(Dataset!E8-Dataset!E11)^2,(Dataset!F8-Dataset!F11)^2,(Dataset!G8-Dataset!G11)^2))</f>
        <v>16.691015547293699</v>
      </c>
      <c r="H8" s="11">
        <f>SQRT(SUM((Dataset!B8-Dataset!B12)^2,(Dataset!C8-Dataset!C12)^2,(Dataset!D8-Dataset!D12)^2,(Dataset!E8-Dataset!E12)^2,(Dataset!F8-Dataset!F12)^2,(Dataset!G8-Dataset!G12)^2))</f>
        <v>49.288031001451053</v>
      </c>
      <c r="I8" s="11">
        <f>SQRT(SUM((Dataset!B8-Dataset!B13)^2,(Dataset!C8-Dataset!C13)^2,(Dataset!D8-Dataset!D13)^2,(Dataset!E8-Dataset!E13)^2,(Dataset!F8-Dataset!F13)^2,(Dataset!G8-Dataset!G13)^2))</f>
        <v>41.646848620273779</v>
      </c>
      <c r="J8" s="11">
        <f>SQRT(SUM((Dataset!B8-Dataset!B14)^2,(Dataset!C8-Dataset!C14)^2,(Dataset!D8-Dataset!D14)^2,(Dataset!E8-Dataset!E14)^2,(Dataset!F8-Dataset!F14)^2,(Dataset!G8-Dataset!G14)^2))</f>
        <v>34.828867337310868</v>
      </c>
      <c r="K8" s="11">
        <f>SQRT(SUM((Dataset!B8-Dataset!B15)^2,(Dataset!C8-Dataset!C15)^2,(Dataset!D8-Dataset!D15)^2,(Dataset!E8-Dataset!E15)^2,(Dataset!F8-Dataset!F15)^2,(Dataset!G8-Dataset!G15)^2))</f>
        <v>39.151117480858701</v>
      </c>
    </row>
    <row r="9" spans="1:11" ht="25.05" customHeight="1">
      <c r="A9" s="7" t="s">
        <v>19</v>
      </c>
      <c r="B9" s="12">
        <f>SQRT(SUM((Dataset!B9-Dataset!B6)^2,(Dataset!C9-Dataset!C6)^2,(Dataset!D9-Dataset!D6)^2,(Dataset!E9-Dataset!E6)^2,(Dataset!F9-Dataset!F6)^2,(Dataset!G9-Dataset!G6)^2))</f>
        <v>52.83729743277943</v>
      </c>
      <c r="C9" s="12">
        <f>SQRT(SUM((Dataset!B9-Dataset!B7)^2,(Dataset!C9-Dataset!C7)^2,(Dataset!D9-Dataset!D7)^2,(Dataset!E9-Dataset!E7)^2,(Dataset!F9-Dataset!F7)^2,(Dataset!G9-Dataset!G7)^2))</f>
        <v>21.409810835222249</v>
      </c>
      <c r="D9" s="12">
        <f>SQRT(SUM((Dataset!B9-Dataset!B8)^2,(Dataset!C9-Dataset!C8)^2,(Dataset!D9-Dataset!D8)^2,(Dataset!E9-Dataset!E8)^2,(Dataset!F9-Dataset!F8)^2,(Dataset!G9-Dataset!G8)^2))</f>
        <v>34.882373772436992</v>
      </c>
      <c r="E9" s="12">
        <f>SQRT(SUM((Dataset!B9-Dataset!B9)^2,(Dataset!C9-Dataset!C9)^2,(Dataset!D9-Dataset!D9)^2,(Dataset!E9-Dataset!E9)^2,(Dataset!F9-Dataset!F9)^2,(Dataset!G9-Dataset!G9)^2))</f>
        <v>0</v>
      </c>
      <c r="F9" s="12">
        <f>SQRT(SUM((Dataset!B9-Dataset!B10)^2,(Dataset!C9-Dataset!C10)^2,(Dataset!D9-Dataset!D10)^2,(Dataset!E9-Dataset!E10)^2,(Dataset!F9-Dataset!F10)^2,(Dataset!G9-Dataset!G10)^2))</f>
        <v>65.20506115325712</v>
      </c>
      <c r="G9" s="12">
        <f>SQRT(SUM((Dataset!B9-Dataset!B11)^2,(Dataset!C9-Dataset!C11)^2,(Dataset!D9-Dataset!D11)^2,(Dataset!E9-Dataset!E11)^2,(Dataset!F9-Dataset!F11)^2,(Dataset!G9-Dataset!G11)^2))</f>
        <v>19.538935487891862</v>
      </c>
      <c r="H9" s="12">
        <f>SQRT(SUM((Dataset!B9-Dataset!B12)^2,(Dataset!C9-Dataset!C12)^2,(Dataset!D9-Dataset!D12)^2,(Dataset!E9-Dataset!E12)^2,(Dataset!F9-Dataset!F12)^2,(Dataset!G9-Dataset!G12)^2))</f>
        <v>19.547122550390888</v>
      </c>
      <c r="I9" s="12">
        <f>SQRT(SUM((Dataset!B9-Dataset!B13)^2,(Dataset!C9-Dataset!C13)^2,(Dataset!D9-Dataset!D13)^2,(Dataset!E9-Dataset!E13)^2,(Dataset!F9-Dataset!F13)^2,(Dataset!G9-Dataset!G13)^2))</f>
        <v>14.688771221582831</v>
      </c>
      <c r="J9" s="12">
        <f>SQRT(SUM((Dataset!B9-Dataset!B14)^2,(Dataset!C9-Dataset!C14)^2,(Dataset!D9-Dataset!D14)^2,(Dataset!E9-Dataset!E14)^2,(Dataset!F9-Dataset!F14)^2,(Dataset!G9-Dataset!G14)^2))</f>
        <v>69.067286033258895</v>
      </c>
      <c r="K9" s="12">
        <f>SQRT(SUM((Dataset!B9-Dataset!B15)^2,(Dataset!C9-Dataset!C15)^2,(Dataset!D9-Dataset!D15)^2,(Dataset!E9-Dataset!E15)^2,(Dataset!F9-Dataset!F15)^2,(Dataset!G9-Dataset!G15)^2))</f>
        <v>73.206352183400043</v>
      </c>
    </row>
    <row r="10" spans="1:11" ht="25.05" customHeight="1">
      <c r="A10" s="6" t="s">
        <v>21</v>
      </c>
      <c r="B10" s="11">
        <f>SQRT(SUM((Dataset!B10-Dataset!B6)^2,(Dataset!C10-Dataset!C6)^2,(Dataset!D10-Dataset!D6)^2,(Dataset!E10-Dataset!E6)^2,(Dataset!F10-Dataset!F6)^2,(Dataset!G10-Dataset!G6)^2))</f>
        <v>113.28327325779389</v>
      </c>
      <c r="C10" s="11">
        <f>SQRT(SUM((Dataset!B10-Dataset!B7)^2,(Dataset!C10-Dataset!C7)^2,(Dataset!D10-Dataset!D7)^2,(Dataset!E10-Dataset!E7)^2,(Dataset!F10-Dataset!F7)^2,(Dataset!G10-Dataset!G7)^2))</f>
        <v>84.909481213819703</v>
      </c>
      <c r="D10" s="11">
        <f>SQRT(SUM((Dataset!B10-Dataset!B8)^2,(Dataset!C10-Dataset!C8)^2,(Dataset!D10-Dataset!D8)^2,(Dataset!E10-Dataset!E8)^2,(Dataset!F10-Dataset!F8)^2,(Dataset!G10-Dataset!G8)^2))</f>
        <v>30.771740282278479</v>
      </c>
      <c r="E10" s="11">
        <f>SQRT(SUM((Dataset!B10-Dataset!B9)^2,(Dataset!C10-Dataset!C9)^2,(Dataset!D10-Dataset!D9)^2,(Dataset!E10-Dataset!E9)^2,(Dataset!F10-Dataset!F9)^2,(Dataset!G10-Dataset!G9)^2))</f>
        <v>65.20506115325712</v>
      </c>
      <c r="F10" s="11">
        <f>SQRT(SUM((Dataset!B10-Dataset!B10)^2,(Dataset!C10-Dataset!C10)^2,(Dataset!D10-Dataset!D10)^2,(Dataset!E10-Dataset!E10)^2,(Dataset!F10-Dataset!F10)^2,(Dataset!G10-Dataset!G10)^2))</f>
        <v>0</v>
      </c>
      <c r="G10" s="11">
        <f>SQRT(SUM((Dataset!B10-Dataset!B11)^2,(Dataset!C10-Dataset!C11)^2,(Dataset!D10-Dataset!D11)^2,(Dataset!E10-Dataset!E11)^2,(Dataset!F10-Dataset!F11)^2,(Dataset!G10-Dataset!G11)^2))</f>
        <v>45.985758665047598</v>
      </c>
      <c r="H10" s="11">
        <f>SQRT(SUM((Dataset!B10-Dataset!B12)^2,(Dataset!C10-Dataset!C12)^2,(Dataset!D10-Dataset!D12)^2,(Dataset!E10-Dataset!E12)^2,(Dataset!F10-Dataset!F12)^2,(Dataset!G10-Dataset!G12)^2))</f>
        <v>78.99373392871108</v>
      </c>
      <c r="I10" s="11">
        <f>SQRT(SUM((Dataset!B10-Dataset!B13)^2,(Dataset!C10-Dataset!C13)^2,(Dataset!D10-Dataset!D13)^2,(Dataset!E10-Dataset!E13)^2,(Dataset!F10-Dataset!F13)^2,(Dataset!G10-Dataset!G13)^2))</f>
        <v>71.67440268324529</v>
      </c>
      <c r="J10" s="11">
        <f>SQRT(SUM((Dataset!B10-Dataset!B14)^2,(Dataset!C10-Dataset!C14)^2,(Dataset!D10-Dataset!D14)^2,(Dataset!E10-Dataset!E14)^2,(Dataset!F10-Dataset!F14)^2,(Dataset!G10-Dataset!G14)^2))</f>
        <v>7.1547187226333371</v>
      </c>
      <c r="K10" s="11">
        <f>SQRT(SUM((Dataset!B10-Dataset!B15)^2,(Dataset!C10-Dataset!C15)^2,(Dataset!D10-Dataset!D15)^2,(Dataset!E10-Dataset!E15)^2,(Dataset!F10-Dataset!F15)^2,(Dataset!G10-Dataset!G15)^2))</f>
        <v>10.437911668528336</v>
      </c>
    </row>
    <row r="11" spans="1:11" ht="25.05" customHeight="1">
      <c r="A11" s="7" t="s">
        <v>23</v>
      </c>
      <c r="B11" s="12">
        <f>SQRT(SUM((Dataset!B11-Dataset!B6)^2,(Dataset!C11-Dataset!C6)^2,(Dataset!D11-Dataset!D6)^2,(Dataset!E11-Dataset!E6)^2,(Dataset!F11-Dataset!F6)^2,(Dataset!G11-Dataset!G6)^2))</f>
        <v>69.816975013244445</v>
      </c>
      <c r="C11" s="12">
        <f>SQRT(SUM((Dataset!B11-Dataset!B7)^2,(Dataset!C11-Dataset!C7)^2,(Dataset!D11-Dataset!D7)^2,(Dataset!E11-Dataset!E7)^2,(Dataset!F11-Dataset!F7)^2,(Dataset!G11-Dataset!G7)^2))</f>
        <v>39.609973491533673</v>
      </c>
      <c r="D11" s="12">
        <f>SQRT(SUM((Dataset!B11-Dataset!B8)^2,(Dataset!C11-Dataset!C8)^2,(Dataset!D11-Dataset!D8)^2,(Dataset!E11-Dataset!E8)^2,(Dataset!F11-Dataset!F8)^2,(Dataset!G11-Dataset!G8)^2))</f>
        <v>16.691015547293699</v>
      </c>
      <c r="E11" s="12">
        <f>SQRT(SUM((Dataset!B11-Dataset!B9)^2,(Dataset!C11-Dataset!C9)^2,(Dataset!D11-Dataset!D9)^2,(Dataset!E11-Dataset!E9)^2,(Dataset!F11-Dataset!F9)^2,(Dataset!G11-Dataset!G9)^2))</f>
        <v>19.538935487891862</v>
      </c>
      <c r="F11" s="12">
        <f>SQRT(SUM((Dataset!B11-Dataset!B10)^2,(Dataset!C11-Dataset!C10)^2,(Dataset!D11-Dataset!D10)^2,(Dataset!E11-Dataset!E10)^2,(Dataset!F11-Dataset!F10)^2,(Dataset!G11-Dataset!G10)^2))</f>
        <v>45.985758665047598</v>
      </c>
      <c r="G11" s="12">
        <f>SQRT(SUM((Dataset!B11-Dataset!B11)^2,(Dataset!C11-Dataset!C11)^2,(Dataset!D11-Dataset!D11)^2,(Dataset!E11-Dataset!E11)^2,(Dataset!F11-Dataset!F11)^2,(Dataset!G11-Dataset!G11)^2))</f>
        <v>0</v>
      </c>
      <c r="H11" s="12">
        <f>SQRT(SUM((Dataset!B11-Dataset!B12)^2,(Dataset!C11-Dataset!C12)^2,(Dataset!D11-Dataset!D12)^2,(Dataset!E11-Dataset!E12)^2,(Dataset!F11-Dataset!F12)^2,(Dataset!G11-Dataset!G12)^2))</f>
        <v>35.106124821745851</v>
      </c>
      <c r="I11" s="12">
        <f>SQRT(SUM((Dataset!B11-Dataset!B13)^2,(Dataset!C11-Dataset!C13)^2,(Dataset!D11-Dataset!D13)^2,(Dataset!E11-Dataset!E13)^2,(Dataset!F11-Dataset!F13)^2,(Dataset!G11-Dataset!G13)^2))</f>
        <v>28.659553381028115</v>
      </c>
      <c r="J11" s="12">
        <f>SQRT(SUM((Dataset!B11-Dataset!B14)^2,(Dataset!C11-Dataset!C14)^2,(Dataset!D11-Dataset!D14)^2,(Dataset!E11-Dataset!E14)^2,(Dataset!F11-Dataset!F14)^2,(Dataset!G11-Dataset!G14)^2))</f>
        <v>50.086125823425391</v>
      </c>
      <c r="K11" s="12">
        <f>SQRT(SUM((Dataset!B11-Dataset!B15)^2,(Dataset!C11-Dataset!C15)^2,(Dataset!D11-Dataset!D15)^2,(Dataset!E11-Dataset!E15)^2,(Dataset!F11-Dataset!F15)^2,(Dataset!G11-Dataset!G15)^2))</f>
        <v>54.068290152361946</v>
      </c>
    </row>
    <row r="12" spans="1:11" ht="25.05" customHeight="1">
      <c r="A12" s="6" t="s">
        <v>26</v>
      </c>
      <c r="B12" s="11">
        <f>SQRT(SUM((Dataset!B12-Dataset!B6)^2,(Dataset!C12-Dataset!C6)^2,(Dataset!D12-Dataset!D6)^2,(Dataset!E12-Dataset!E6)^2,(Dataset!F12-Dataset!F6)^2,(Dataset!G12-Dataset!G6)^2))</f>
        <v>53.987128095500687</v>
      </c>
      <c r="C12" s="11">
        <f>SQRT(SUM((Dataset!B12-Dataset!B7)^2,(Dataset!C12-Dataset!C7)^2,(Dataset!D12-Dataset!D7)^2,(Dataset!E12-Dataset!E7)^2,(Dataset!F12-Dataset!F7)^2,(Dataset!G12-Dataset!G7)^2))</f>
        <v>23.750157894211988</v>
      </c>
      <c r="D12" s="11">
        <f>SQRT(SUM((Dataset!B12-Dataset!B8)^2,(Dataset!C12-Dataset!C8)^2,(Dataset!D12-Dataset!D8)^2,(Dataset!E12-Dataset!E8)^2,(Dataset!F12-Dataset!F8)^2,(Dataset!G12-Dataset!G8)^2))</f>
        <v>49.288031001451053</v>
      </c>
      <c r="E12" s="11">
        <f>SQRT(SUM((Dataset!B12-Dataset!B9)^2,(Dataset!C12-Dataset!C9)^2,(Dataset!D12-Dataset!D9)^2,(Dataset!E12-Dataset!E9)^2,(Dataset!F12-Dataset!F9)^2,(Dataset!G12-Dataset!G9)^2))</f>
        <v>19.547122550390888</v>
      </c>
      <c r="F12" s="11">
        <f>SQRT(SUM((Dataset!B12-Dataset!B10)^2,(Dataset!C12-Dataset!C10)^2,(Dataset!D12-Dataset!D10)^2,(Dataset!E12-Dataset!E10)^2,(Dataset!F12-Dataset!F10)^2,(Dataset!G12-Dataset!G10)^2))</f>
        <v>78.99373392871108</v>
      </c>
      <c r="G12" s="11">
        <f>SQRT(SUM((Dataset!B12-Dataset!B11)^2,(Dataset!C12-Dataset!C11)^2,(Dataset!D12-Dataset!D11)^2,(Dataset!E12-Dataset!E11)^2,(Dataset!F12-Dataset!F11)^2,(Dataset!G12-Dataset!G11)^2))</f>
        <v>35.106124821745851</v>
      </c>
      <c r="H12" s="11">
        <f>SQRT(SUM((Dataset!B12-Dataset!B12)^2,(Dataset!C12-Dataset!C12)^2,(Dataset!D12-Dataset!D12)^2,(Dataset!E12-Dataset!E12)^2,(Dataset!F12-Dataset!F12)^2,(Dataset!G12-Dataset!G12)^2))</f>
        <v>0</v>
      </c>
      <c r="I12" s="11">
        <f>SQRT(SUM((Dataset!B12-Dataset!B13)^2,(Dataset!C12-Dataset!C13)^2,(Dataset!D12-Dataset!D13)^2,(Dataset!E12-Dataset!E13)^2,(Dataset!F12-Dataset!F13)^2,(Dataset!G12-Dataset!G13)^2))</f>
        <v>10.119782606360673</v>
      </c>
      <c r="J12" s="11">
        <f>SQRT(SUM((Dataset!B12-Dataset!B14)^2,(Dataset!C12-Dataset!C14)^2,(Dataset!D12-Dataset!D14)^2,(Dataset!E12-Dataset!E14)^2,(Dataset!F12-Dataset!F14)^2,(Dataset!G12-Dataset!G14)^2))</f>
        <v>83.638627439718306</v>
      </c>
      <c r="K12" s="11">
        <f>SQRT(SUM((Dataset!B12-Dataset!B15)^2,(Dataset!C12-Dataset!C15)^2,(Dataset!D12-Dataset!D15)^2,(Dataset!E12-Dataset!E15)^2,(Dataset!F12-Dataset!F15)^2,(Dataset!G12-Dataset!G15)^2))</f>
        <v>87.661736236513136</v>
      </c>
    </row>
    <row r="13" spans="1:11" ht="25.05" customHeight="1">
      <c r="A13" s="7" t="s">
        <v>29</v>
      </c>
      <c r="B13" s="12">
        <f>SQRT(SUM((Dataset!B13-Dataset!B6)^2,(Dataset!C13-Dataset!C6)^2,(Dataset!D13-Dataset!D6)^2,(Dataset!E13-Dataset!E6)^2,(Dataset!F13-Dataset!F6)^2,(Dataset!G13-Dataset!G6)^2))</f>
        <v>57.210663341723283</v>
      </c>
      <c r="C13" s="12">
        <f>SQRT(SUM((Dataset!B13-Dataset!B7)^2,(Dataset!C13-Dataset!C7)^2,(Dataset!D13-Dataset!D7)^2,(Dataset!E13-Dataset!E7)^2,(Dataset!F13-Dataset!F7)^2,(Dataset!G13-Dataset!G7)^2))</f>
        <v>26.300950553164423</v>
      </c>
      <c r="D13" s="12">
        <f>SQRT(SUM((Dataset!B13-Dataset!B8)^2,(Dataset!C13-Dataset!C8)^2,(Dataset!D13-Dataset!D8)^2,(Dataset!E13-Dataset!E8)^2,(Dataset!F13-Dataset!F8)^2,(Dataset!G13-Dataset!G8)^2))</f>
        <v>41.646848620273779</v>
      </c>
      <c r="E13" s="12">
        <f>SQRT(SUM((Dataset!B13-Dataset!B9)^2,(Dataset!C13-Dataset!C9)^2,(Dataset!D13-Dataset!D9)^2,(Dataset!E13-Dataset!E9)^2,(Dataset!F13-Dataset!F9)^2,(Dataset!G13-Dataset!G9)^2))</f>
        <v>14.688771221582831</v>
      </c>
      <c r="F13" s="12">
        <f>SQRT(SUM((Dataset!B13-Dataset!B10)^2,(Dataset!C13-Dataset!C10)^2,(Dataset!D13-Dataset!D10)^2,(Dataset!E13-Dataset!E10)^2,(Dataset!F13-Dataset!F10)^2,(Dataset!G13-Dataset!G10)^2))</f>
        <v>71.67440268324529</v>
      </c>
      <c r="G13" s="12">
        <f>SQRT(SUM((Dataset!B13-Dataset!B11)^2,(Dataset!C13-Dataset!C11)^2,(Dataset!D13-Dataset!D11)^2,(Dataset!E13-Dataset!E11)^2,(Dataset!F13-Dataset!F11)^2,(Dataset!G13-Dataset!G11)^2))</f>
        <v>28.659553381028115</v>
      </c>
      <c r="H13" s="12">
        <f>SQRT(SUM((Dataset!B13-Dataset!B12)^2,(Dataset!C13-Dataset!C12)^2,(Dataset!D13-Dataset!D12)^2,(Dataset!E13-Dataset!E12)^2,(Dataset!F13-Dataset!F12)^2,(Dataset!G13-Dataset!G12)^2))</f>
        <v>10.119782606360673</v>
      </c>
      <c r="I13" s="12">
        <f>SQRT(SUM((Dataset!B13-Dataset!B13)^2,(Dataset!C13-Dataset!C13)^2,(Dataset!D13-Dataset!D13)^2,(Dataset!E13-Dataset!E13)^2,(Dataset!F13-Dataset!F13)^2,(Dataset!G13-Dataset!G13)^2))</f>
        <v>0</v>
      </c>
      <c r="J13" s="12">
        <f>SQRT(SUM((Dataset!B13-Dataset!B14)^2,(Dataset!C13-Dataset!C14)^2,(Dataset!D13-Dataset!D14)^2,(Dataset!E13-Dataset!E14)^2,(Dataset!F13-Dataset!F14)^2,(Dataset!G13-Dataset!G14)^2))</f>
        <v>75.944519222916938</v>
      </c>
      <c r="K13" s="12">
        <f>SQRT(SUM((Dataset!B13-Dataset!B15)^2,(Dataset!C13-Dataset!C15)^2,(Dataset!D13-Dataset!D15)^2,(Dataset!E13-Dataset!E15)^2,(Dataset!F13-Dataset!F15)^2,(Dataset!G13-Dataset!G15)^2))</f>
        <v>80.101747796162357</v>
      </c>
    </row>
    <row r="14" spans="1:11" ht="25.05" customHeight="1">
      <c r="A14" s="6" t="s">
        <v>32</v>
      </c>
      <c r="B14" s="11">
        <f>SQRT(SUM((Dataset!B14-Dataset!B6)^2,(Dataset!C14-Dataset!C6)^2,(Dataset!D14-Dataset!D6)^2,(Dataset!E14-Dataset!E6)^2,(Dataset!F14-Dataset!F6)^2,(Dataset!G14-Dataset!G6)^2))</f>
        <v>115.85495241896223</v>
      </c>
      <c r="C14" s="11">
        <f>SQRT(SUM((Dataset!B14-Dataset!B7)^2,(Dataset!C14-Dataset!C7)^2,(Dataset!D14-Dataset!D7)^2,(Dataset!E14-Dataset!E7)^2,(Dataset!F14-Dataset!F7)^2,(Dataset!G14-Dataset!G7)^2))</f>
        <v>88.559189246514677</v>
      </c>
      <c r="D14" s="11">
        <f>SQRT(SUM((Dataset!B14-Dataset!B8)^2,(Dataset!C14-Dataset!C8)^2,(Dataset!D14-Dataset!D8)^2,(Dataset!E14-Dataset!E8)^2,(Dataset!F14-Dataset!F8)^2,(Dataset!G14-Dataset!G8)^2))</f>
        <v>34.828867337310868</v>
      </c>
      <c r="E14" s="11">
        <f>SQRT(SUM((Dataset!B14-Dataset!B9)^2,(Dataset!C14-Dataset!C9)^2,(Dataset!D14-Dataset!D9)^2,(Dataset!E14-Dataset!E9)^2,(Dataset!F14-Dataset!F9)^2,(Dataset!G14-Dataset!G9)^2))</f>
        <v>69.067286033258895</v>
      </c>
      <c r="F14" s="11">
        <f>SQRT(SUM((Dataset!B14-Dataset!B10)^2,(Dataset!C14-Dataset!C10)^2,(Dataset!D14-Dataset!D10)^2,(Dataset!E14-Dataset!E10)^2,(Dataset!F14-Dataset!F10)^2,(Dataset!G14-Dataset!G10)^2))</f>
        <v>7.1547187226333371</v>
      </c>
      <c r="G14" s="11">
        <f>SQRT(SUM((Dataset!B14-Dataset!B11)^2,(Dataset!C14-Dataset!C11)^2,(Dataset!D14-Dataset!D11)^2,(Dataset!E14-Dataset!E11)^2,(Dataset!F14-Dataset!F11)^2,(Dataset!G14-Dataset!G11)^2))</f>
        <v>50.086125823425391</v>
      </c>
      <c r="H14" s="11">
        <f>SQRT(SUM((Dataset!B14-Dataset!B12)^2,(Dataset!C14-Dataset!C12)^2,(Dataset!D14-Dataset!D12)^2,(Dataset!E14-Dataset!E12)^2,(Dataset!F14-Dataset!F12)^2,(Dataset!G14-Dataset!G12)^2))</f>
        <v>83.638627439718306</v>
      </c>
      <c r="I14" s="11">
        <f>SQRT(SUM((Dataset!B14-Dataset!B13)^2,(Dataset!C14-Dataset!C13)^2,(Dataset!D14-Dataset!D13)^2,(Dataset!E14-Dataset!E13)^2,(Dataset!F14-Dataset!F13)^2,(Dataset!G14-Dataset!G13)^2))</f>
        <v>75.944519222916938</v>
      </c>
      <c r="J14" s="11">
        <f>SQRT(SUM((Dataset!B14-Dataset!B14)^2,(Dataset!C14-Dataset!C14)^2,(Dataset!D14-Dataset!D14)^2,(Dataset!E14-Dataset!E14)^2,(Dataset!F14-Dataset!F14)^2,(Dataset!G14-Dataset!G14)^2))</f>
        <v>0</v>
      </c>
      <c r="K14" s="11">
        <f>SQRT(SUM((Dataset!B14-Dataset!B15)^2,(Dataset!C14-Dataset!C15)^2,(Dataset!D14-Dataset!D15)^2,(Dataset!E14-Dataset!E15)^2,(Dataset!F14-Dataset!F15)^2,(Dataset!G14-Dataset!G15)^2))</f>
        <v>5.531726674375733</v>
      </c>
    </row>
    <row r="15" spans="1:11" ht="25.05" customHeight="1">
      <c r="A15" s="8" t="s">
        <v>33</v>
      </c>
      <c r="B15" s="13">
        <f>SQRT(SUM((Dataset!B15-Dataset!B6)^2,(Dataset!C15-Dataset!C6)^2,(Dataset!D15-Dataset!D6)^2,(Dataset!E15-Dataset!E6)^2,(Dataset!F15-Dataset!F6)^2,(Dataset!G15-Dataset!G6)^2))</f>
        <v>119.70417703655959</v>
      </c>
      <c r="C15" s="13">
        <f>SQRT(SUM((Dataset!B15-Dataset!B7)^2,(Dataset!C15-Dataset!C7)^2,(Dataset!D15-Dataset!D7)^2,(Dataset!E15-Dataset!E7)^2,(Dataset!F15-Dataset!F7)^2,(Dataset!G15-Dataset!G7)^2))</f>
        <v>92.573484324616416</v>
      </c>
      <c r="D15" s="13">
        <f>SQRT(SUM((Dataset!B15-Dataset!B8)^2,(Dataset!C15-Dataset!C8)^2,(Dataset!D15-Dataset!D8)^2,(Dataset!E15-Dataset!E8)^2,(Dataset!F15-Dataset!F8)^2,(Dataset!G15-Dataset!G8)^2))</f>
        <v>39.151117480858701</v>
      </c>
      <c r="E15" s="13">
        <f>SQRT(SUM((Dataset!B15-Dataset!B9)^2,(Dataset!C15-Dataset!C9)^2,(Dataset!D15-Dataset!D9)^2,(Dataset!E15-Dataset!E9)^2,(Dataset!F15-Dataset!F9)^2,(Dataset!G15-Dataset!G9)^2))</f>
        <v>73.206352183400043</v>
      </c>
      <c r="F15" s="13">
        <f>SQRT(SUM((Dataset!B15-Dataset!B10)^2,(Dataset!C15-Dataset!C10)^2,(Dataset!D15-Dataset!D10)^2,(Dataset!E15-Dataset!E10)^2,(Dataset!F15-Dataset!F10)^2,(Dataset!G15-Dataset!G10)^2))</f>
        <v>10.437911668528336</v>
      </c>
      <c r="G15" s="13">
        <f>SQRT(SUM((Dataset!B15-Dataset!B11)^2,(Dataset!C15-Dataset!C11)^2,(Dataset!D15-Dataset!D11)^2,(Dataset!E15-Dataset!E11)^2,(Dataset!F15-Dataset!F11)^2,(Dataset!G15-Dataset!G11)^2))</f>
        <v>54.068290152361946</v>
      </c>
      <c r="H15" s="13">
        <f>SQRT(SUM((Dataset!B15-Dataset!B12)^2,(Dataset!C15-Dataset!C12)^2,(Dataset!D15-Dataset!D12)^2,(Dataset!E15-Dataset!E12)^2,(Dataset!F15-Dataset!F12)^2,(Dataset!G15-Dataset!G12)^2))</f>
        <v>87.661736236513136</v>
      </c>
      <c r="I15" s="13">
        <f>SQRT(SUM((Dataset!B15-Dataset!B13)^2,(Dataset!C15-Dataset!C13)^2,(Dataset!D15-Dataset!D13)^2,(Dataset!E15-Dataset!E13)^2,(Dataset!F15-Dataset!F13)^2,(Dataset!G15-Dataset!G13)^2))</f>
        <v>80.101747796162357</v>
      </c>
      <c r="J15" s="13">
        <f>SQRT(SUM((Dataset!B15-Dataset!B14)^2,(Dataset!C15-Dataset!C14)^2,(Dataset!D15-Dataset!D14)^2,(Dataset!E15-Dataset!E14)^2,(Dataset!F15-Dataset!F14)^2,(Dataset!G15-Dataset!G14)^2))</f>
        <v>5.531726674375733</v>
      </c>
      <c r="K15" s="13">
        <f>SQRT(SUM((Dataset!B15-Dataset!B15)^2,(Dataset!C15-Dataset!C15)^2,(Dataset!D15-Dataset!D15)^2,(Dataset!E15-Dataset!E15)^2,(Dataset!F15-Dataset!F15)^2,(Dataset!G15-Dataset!G15)^2))</f>
        <v>0</v>
      </c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30" customHeight="1">
      <c r="A19" s="35" t="s">
        <v>41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1" ht="43.95" customHeight="1">
      <c r="A20" s="2" t="s">
        <v>3</v>
      </c>
      <c r="B20" s="2" t="s">
        <v>13</v>
      </c>
      <c r="C20" s="2" t="s">
        <v>15</v>
      </c>
      <c r="D20" s="2" t="s">
        <v>17</v>
      </c>
      <c r="E20" s="2" t="s">
        <v>19</v>
      </c>
      <c r="F20" s="2" t="s">
        <v>21</v>
      </c>
      <c r="G20" s="2" t="s">
        <v>23</v>
      </c>
      <c r="H20" s="2" t="s">
        <v>26</v>
      </c>
      <c r="I20" s="2" t="s">
        <v>29</v>
      </c>
      <c r="J20" s="2" t="s">
        <v>32</v>
      </c>
      <c r="K20" s="2" t="s">
        <v>33</v>
      </c>
    </row>
    <row r="21" spans="1:11" ht="25.05" customHeight="1">
      <c r="A21" s="6" t="s">
        <v>13</v>
      </c>
      <c r="B21" s="11">
        <f>MAX(ABS(Dataset!B6-Dataset!B6),ABS(Dataset!C6-Dataset!C6),ABS(Dataset!D6-Dataset!D6),ABS(Dataset!E6-Dataset!E6),ABS(Dataset!F6-Dataset!F6),ABS(Dataset!G6-Dataset!G6))</f>
        <v>0</v>
      </c>
      <c r="C21" s="11">
        <f>MAX(ABS(Dataset!B6-Dataset!B7),ABS(Dataset!C6-Dataset!C7),ABS(Dataset!D6-Dataset!D7),ABS(Dataset!E6-Dataset!E7),ABS(Dataset!F6-Dataset!F7),ABS(Dataset!G6-Dataset!G7))</f>
        <v>25</v>
      </c>
      <c r="D21" s="11">
        <f>MAX(ABS(Dataset!B6-Dataset!B8),ABS(Dataset!C6-Dataset!C8),ABS(Dataset!D6-Dataset!D8),ABS(Dataset!E6-Dataset!E8),ABS(Dataset!F6-Dataset!F8),ABS(Dataset!G6-Dataset!G8))</f>
        <v>70</v>
      </c>
      <c r="E21" s="11">
        <f>MAX(ABS(Dataset!B6-Dataset!B9),ABS(Dataset!C6-Dataset!C9),ABS(Dataset!D6-Dataset!D9),ABS(Dataset!E6-Dataset!E9),ABS(Dataset!F6-Dataset!F9),ABS(Dataset!G6-Dataset!G9))</f>
        <v>41</v>
      </c>
      <c r="F21" s="11">
        <f>MAX(ABS(Dataset!B6-Dataset!B10),ABS(Dataset!C6-Dataset!C10),ABS(Dataset!D6-Dataset!D10),ABS(Dataset!E6-Dataset!E10),ABS(Dataset!F6-Dataset!F10),ABS(Dataset!G6-Dataset!G10))</f>
        <v>98</v>
      </c>
      <c r="G21" s="11">
        <f>MAX(ABS(Dataset!B6-Dataset!B11),ABS(Dataset!C6-Dataset!C11),ABS(Dataset!D6-Dataset!D11),ABS(Dataset!E6-Dataset!E11),ABS(Dataset!F6-Dataset!F11),ABS(Dataset!G6-Dataset!G11))</f>
        <v>59</v>
      </c>
      <c r="H21" s="11">
        <f>MAX(ABS(Dataset!B6-Dataset!B12),ABS(Dataset!C6-Dataset!C12),ABS(Dataset!D6-Dataset!D12),ABS(Dataset!E6-Dataset!E12),ABS(Dataset!F6-Dataset!F12),ABS(Dataset!G6-Dataset!G12))</f>
        <v>40</v>
      </c>
      <c r="I21" s="11">
        <f>MAX(ABS(Dataset!B6-Dataset!B13),ABS(Dataset!C6-Dataset!C13),ABS(Dataset!D6-Dataset!D13),ABS(Dataset!E6-Dataset!E13),ABS(Dataset!F6-Dataset!F13),ABS(Dataset!G6-Dataset!G13))</f>
        <v>37</v>
      </c>
      <c r="J21" s="11">
        <f>MAX(ABS(Dataset!B6-Dataset!B14),ABS(Dataset!C6-Dataset!C14),ABS(Dataset!D6-Dataset!D14),ABS(Dataset!E6-Dataset!E14),ABS(Dataset!F6-Dataset!F14),ABS(Dataset!G6-Dataset!G14))</f>
        <v>99</v>
      </c>
      <c r="K21" s="11">
        <f>MAX(ABS(Dataset!B6-Dataset!B15),ABS(Dataset!C6-Dataset!C15),ABS(Dataset!D6-Dataset!D15),ABS(Dataset!E6-Dataset!E15),ABS(Dataset!F6-Dataset!F15),ABS(Dataset!G6-Dataset!G15))</f>
        <v>103</v>
      </c>
    </row>
    <row r="22" spans="1:11" ht="25.05" customHeight="1">
      <c r="A22" s="7" t="s">
        <v>15</v>
      </c>
      <c r="B22" s="12">
        <f>MAX(ABS(Dataset!B7-Dataset!B6),ABS(Dataset!C7-Dataset!C6),ABS(Dataset!D7-Dataset!D6),ABS(Dataset!E7-Dataset!E6),ABS(Dataset!F7-Dataset!F6),ABS(Dataset!G7-Dataset!G6))</f>
        <v>25</v>
      </c>
      <c r="C22" s="12">
        <f>MAX(ABS(Dataset!B7-Dataset!B7),ABS(Dataset!C7-Dataset!C7),ABS(Dataset!D7-Dataset!D7),ABS(Dataset!E7-Dataset!E7),ABS(Dataset!F7-Dataset!F7),ABS(Dataset!G7-Dataset!G7))</f>
        <v>0</v>
      </c>
      <c r="D22" s="12">
        <f>MAX(ABS(Dataset!B7-Dataset!B8),ABS(Dataset!C7-Dataset!C8),ABS(Dataset!D7-Dataset!D8),ABS(Dataset!E7-Dataset!E8),ABS(Dataset!F7-Dataset!F8),ABS(Dataset!G7-Dataset!G8))</f>
        <v>45</v>
      </c>
      <c r="E22" s="12">
        <f>MAX(ABS(Dataset!B7-Dataset!B9),ABS(Dataset!C7-Dataset!C9),ABS(Dataset!D7-Dataset!D9),ABS(Dataset!E7-Dataset!E9),ABS(Dataset!F7-Dataset!F9),ABS(Dataset!G7-Dataset!G9))</f>
        <v>16</v>
      </c>
      <c r="F22" s="12">
        <f>MAX(ABS(Dataset!B7-Dataset!B10),ABS(Dataset!C7-Dataset!C10),ABS(Dataset!D7-Dataset!D10),ABS(Dataset!E7-Dataset!E10),ABS(Dataset!F7-Dataset!F10),ABS(Dataset!G7-Dataset!G10))</f>
        <v>73</v>
      </c>
      <c r="G22" s="12">
        <f>MAX(ABS(Dataset!B7-Dataset!B11),ABS(Dataset!C7-Dataset!C11),ABS(Dataset!D7-Dataset!D11),ABS(Dataset!E7-Dataset!E11),ABS(Dataset!F7-Dataset!F11),ABS(Dataset!G7-Dataset!G11))</f>
        <v>34</v>
      </c>
      <c r="H22" s="12">
        <f>MAX(ABS(Dataset!B7-Dataset!B12),ABS(Dataset!C7-Dataset!C12),ABS(Dataset!D7-Dataset!D12),ABS(Dataset!E7-Dataset!E12),ABS(Dataset!F7-Dataset!F12),ABS(Dataset!G7-Dataset!G12))</f>
        <v>21</v>
      </c>
      <c r="I22" s="12">
        <f>MAX(ABS(Dataset!B7-Dataset!B13),ABS(Dataset!C7-Dataset!C13),ABS(Dataset!D7-Dataset!D13),ABS(Dataset!E7-Dataset!E13),ABS(Dataset!F7-Dataset!F13),ABS(Dataset!G7-Dataset!G13))</f>
        <v>18</v>
      </c>
      <c r="J22" s="12">
        <f>MAX(ABS(Dataset!B7-Dataset!B14),ABS(Dataset!C7-Dataset!C14),ABS(Dataset!D7-Dataset!D14),ABS(Dataset!E7-Dataset!E14),ABS(Dataset!F7-Dataset!F14),ABS(Dataset!G7-Dataset!G14))</f>
        <v>74</v>
      </c>
      <c r="K22" s="12">
        <f>MAX(ABS(Dataset!B7-Dataset!B15),ABS(Dataset!C7-Dataset!C15),ABS(Dataset!D7-Dataset!D15),ABS(Dataset!E7-Dataset!E15),ABS(Dataset!F7-Dataset!F15),ABS(Dataset!G7-Dataset!G15))</f>
        <v>78</v>
      </c>
    </row>
    <row r="23" spans="1:11" ht="25.05" customHeight="1">
      <c r="A23" s="6" t="s">
        <v>17</v>
      </c>
      <c r="B23" s="11">
        <f>MAX(ABS(Dataset!B8-Dataset!B6),ABS(Dataset!C8-Dataset!C6),ABS(Dataset!D8-Dataset!D6),ABS(Dataset!E8-Dataset!E6),ABS(Dataset!F8-Dataset!F6),ABS(Dataset!G8-Dataset!G6))</f>
        <v>70</v>
      </c>
      <c r="C23" s="11">
        <f>MAX(ABS(Dataset!B8-Dataset!B7),ABS(Dataset!C8-Dataset!C7),ABS(Dataset!D8-Dataset!D7),ABS(Dataset!E8-Dataset!E7),ABS(Dataset!F8-Dataset!F7),ABS(Dataset!G8-Dataset!G7))</f>
        <v>45</v>
      </c>
      <c r="D23" s="11">
        <f>MAX(ABS(Dataset!B8-Dataset!B8),ABS(Dataset!C8-Dataset!C8),ABS(Dataset!D8-Dataset!D8),ABS(Dataset!E8-Dataset!E8),ABS(Dataset!F8-Dataset!F8),ABS(Dataset!G8-Dataset!G8))</f>
        <v>0</v>
      </c>
      <c r="E23" s="11">
        <f>MAX(ABS(Dataset!B8-Dataset!B9),ABS(Dataset!C8-Dataset!C9),ABS(Dataset!D8-Dataset!D9),ABS(Dataset!E8-Dataset!E9),ABS(Dataset!F8-Dataset!F9),ABS(Dataset!G8-Dataset!G9))</f>
        <v>29</v>
      </c>
      <c r="F23" s="11">
        <f>MAX(ABS(Dataset!B8-Dataset!B10),ABS(Dataset!C8-Dataset!C10),ABS(Dataset!D8-Dataset!D10),ABS(Dataset!E8-Dataset!E10),ABS(Dataset!F8-Dataset!F10),ABS(Dataset!G8-Dataset!G10))</f>
        <v>28</v>
      </c>
      <c r="G23" s="11">
        <f>MAX(ABS(Dataset!B8-Dataset!B11),ABS(Dataset!C8-Dataset!C11),ABS(Dataset!D8-Dataset!D11),ABS(Dataset!E8-Dataset!E11),ABS(Dataset!F8-Dataset!F11),ABS(Dataset!G8-Dataset!G11))</f>
        <v>11</v>
      </c>
      <c r="H23" s="11">
        <f>MAX(ABS(Dataset!B8-Dataset!B12),ABS(Dataset!C8-Dataset!C12),ABS(Dataset!D8-Dataset!D12),ABS(Dataset!E8-Dataset!E12),ABS(Dataset!F8-Dataset!F12),ABS(Dataset!G8-Dataset!G12))</f>
        <v>38</v>
      </c>
      <c r="I23" s="11">
        <f>MAX(ABS(Dataset!B8-Dataset!B13),ABS(Dataset!C8-Dataset!C13),ABS(Dataset!D8-Dataset!D13),ABS(Dataset!E8-Dataset!E13),ABS(Dataset!F8-Dataset!F13),ABS(Dataset!G8-Dataset!G13))</f>
        <v>35</v>
      </c>
      <c r="J23" s="11">
        <f>MAX(ABS(Dataset!B8-Dataset!B14),ABS(Dataset!C8-Dataset!C14),ABS(Dataset!D8-Dataset!D14),ABS(Dataset!E8-Dataset!E14),ABS(Dataset!F8-Dataset!F14),ABS(Dataset!G8-Dataset!G14))</f>
        <v>29</v>
      </c>
      <c r="K23" s="11">
        <f>MAX(ABS(Dataset!B8-Dataset!B15),ABS(Dataset!C8-Dataset!C15),ABS(Dataset!D8-Dataset!D15),ABS(Dataset!E8-Dataset!E15),ABS(Dataset!F8-Dataset!F15),ABS(Dataset!G8-Dataset!G15))</f>
        <v>33</v>
      </c>
    </row>
    <row r="24" spans="1:11" ht="25.05" customHeight="1">
      <c r="A24" s="7" t="s">
        <v>19</v>
      </c>
      <c r="B24" s="12">
        <f>MAX(ABS(Dataset!B9-Dataset!B6),ABS(Dataset!C9-Dataset!C6),ABS(Dataset!D9-Dataset!D6),ABS(Dataset!E9-Dataset!E6),ABS(Dataset!F9-Dataset!F6),ABS(Dataset!G9-Dataset!G6))</f>
        <v>41</v>
      </c>
      <c r="C24" s="12">
        <f>MAX(ABS(Dataset!B9-Dataset!B7),ABS(Dataset!C9-Dataset!C7),ABS(Dataset!D9-Dataset!D7),ABS(Dataset!E9-Dataset!E7),ABS(Dataset!F9-Dataset!F7),ABS(Dataset!G9-Dataset!G7))</f>
        <v>16</v>
      </c>
      <c r="D24" s="12">
        <f>MAX(ABS(Dataset!B9-Dataset!B8),ABS(Dataset!C9-Dataset!C8),ABS(Dataset!D9-Dataset!D8),ABS(Dataset!E9-Dataset!E8),ABS(Dataset!F9-Dataset!F8),ABS(Dataset!G9-Dataset!G8))</f>
        <v>29</v>
      </c>
      <c r="E24" s="12">
        <f>MAX(ABS(Dataset!B9-Dataset!B9),ABS(Dataset!C9-Dataset!C9),ABS(Dataset!D9-Dataset!D9),ABS(Dataset!E9-Dataset!E9),ABS(Dataset!F9-Dataset!F9),ABS(Dataset!G9-Dataset!G9))</f>
        <v>0</v>
      </c>
      <c r="F24" s="12">
        <f>MAX(ABS(Dataset!B9-Dataset!B10),ABS(Dataset!C9-Dataset!C10),ABS(Dataset!D9-Dataset!D10),ABS(Dataset!E9-Dataset!E10),ABS(Dataset!F9-Dataset!F10),ABS(Dataset!G9-Dataset!G10))</f>
        <v>57</v>
      </c>
      <c r="G24" s="12">
        <f>MAX(ABS(Dataset!B9-Dataset!B11),ABS(Dataset!C9-Dataset!C11),ABS(Dataset!D9-Dataset!D11),ABS(Dataset!E9-Dataset!E11),ABS(Dataset!F9-Dataset!F11),ABS(Dataset!G9-Dataset!G11))</f>
        <v>18</v>
      </c>
      <c r="H24" s="12">
        <f>MAX(ABS(Dataset!B9-Dataset!B12),ABS(Dataset!C9-Dataset!C12),ABS(Dataset!D9-Dataset!D12),ABS(Dataset!E9-Dataset!E12),ABS(Dataset!F9-Dataset!F12),ABS(Dataset!G9-Dataset!G12))</f>
        <v>16</v>
      </c>
      <c r="I24" s="12">
        <f>MAX(ABS(Dataset!B9-Dataset!B13),ABS(Dataset!C9-Dataset!C13),ABS(Dataset!D9-Dataset!D13),ABS(Dataset!E9-Dataset!E13),ABS(Dataset!F9-Dataset!F13),ABS(Dataset!G9-Dataset!G13))</f>
        <v>13</v>
      </c>
      <c r="J24" s="12">
        <f>MAX(ABS(Dataset!B9-Dataset!B14),ABS(Dataset!C9-Dataset!C14),ABS(Dataset!D9-Dataset!D14),ABS(Dataset!E9-Dataset!E14),ABS(Dataset!F9-Dataset!F14),ABS(Dataset!G9-Dataset!G14))</f>
        <v>58</v>
      </c>
      <c r="K24" s="12">
        <f>MAX(ABS(Dataset!B9-Dataset!B15),ABS(Dataset!C9-Dataset!C15),ABS(Dataset!D9-Dataset!D15),ABS(Dataset!E9-Dataset!E15),ABS(Dataset!F9-Dataset!F15),ABS(Dataset!G9-Dataset!G15))</f>
        <v>62</v>
      </c>
    </row>
    <row r="25" spans="1:11" ht="25.05" customHeight="1">
      <c r="A25" s="6" t="s">
        <v>21</v>
      </c>
      <c r="B25" s="11">
        <f>MAX(ABS(Dataset!B10-Dataset!B6),ABS(Dataset!C10-Dataset!C6),ABS(Dataset!D10-Dataset!D6),ABS(Dataset!E10-Dataset!E6),ABS(Dataset!F10-Dataset!F6),ABS(Dataset!G10-Dataset!G6))</f>
        <v>98</v>
      </c>
      <c r="C25" s="11">
        <f>MAX(ABS(Dataset!B10-Dataset!B7),ABS(Dataset!C10-Dataset!C7),ABS(Dataset!D10-Dataset!D7),ABS(Dataset!E10-Dataset!E7),ABS(Dataset!F10-Dataset!F7),ABS(Dataset!G10-Dataset!G7))</f>
        <v>73</v>
      </c>
      <c r="D25" s="11">
        <f>MAX(ABS(Dataset!B10-Dataset!B8),ABS(Dataset!C10-Dataset!C8),ABS(Dataset!D10-Dataset!D8),ABS(Dataset!E10-Dataset!E8),ABS(Dataset!F10-Dataset!F8),ABS(Dataset!G10-Dataset!G8))</f>
        <v>28</v>
      </c>
      <c r="E25" s="11">
        <f>MAX(ABS(Dataset!B10-Dataset!B9),ABS(Dataset!C10-Dataset!C9),ABS(Dataset!D10-Dataset!D9),ABS(Dataset!E10-Dataset!E9),ABS(Dataset!F10-Dataset!F9),ABS(Dataset!G10-Dataset!G9))</f>
        <v>57</v>
      </c>
      <c r="F25" s="11">
        <f>MAX(ABS(Dataset!B10-Dataset!B10),ABS(Dataset!C10-Dataset!C10),ABS(Dataset!D10-Dataset!D10),ABS(Dataset!E10-Dataset!E10),ABS(Dataset!F10-Dataset!F10),ABS(Dataset!G10-Dataset!G10))</f>
        <v>0</v>
      </c>
      <c r="G25" s="11">
        <f>MAX(ABS(Dataset!B10-Dataset!B11),ABS(Dataset!C10-Dataset!C11),ABS(Dataset!D10-Dataset!D11),ABS(Dataset!E10-Dataset!E11),ABS(Dataset!F10-Dataset!F11),ABS(Dataset!G10-Dataset!G11))</f>
        <v>39</v>
      </c>
      <c r="H25" s="11">
        <f>MAX(ABS(Dataset!B10-Dataset!B12),ABS(Dataset!C10-Dataset!C12),ABS(Dataset!D10-Dataset!D12),ABS(Dataset!E10-Dataset!E12),ABS(Dataset!F10-Dataset!F12),ABS(Dataset!G10-Dataset!G12))</f>
        <v>66</v>
      </c>
      <c r="I25" s="11">
        <f>MAX(ABS(Dataset!B10-Dataset!B13),ABS(Dataset!C10-Dataset!C13),ABS(Dataset!D10-Dataset!D13),ABS(Dataset!E10-Dataset!E13),ABS(Dataset!F10-Dataset!F13),ABS(Dataset!G10-Dataset!G13))</f>
        <v>63</v>
      </c>
      <c r="J25" s="11">
        <f>MAX(ABS(Dataset!B10-Dataset!B14),ABS(Dataset!C10-Dataset!C14),ABS(Dataset!D10-Dataset!D14),ABS(Dataset!E10-Dataset!E14),ABS(Dataset!F10-Dataset!F14),ABS(Dataset!G10-Dataset!G14))</f>
        <v>5</v>
      </c>
      <c r="K25" s="11">
        <f>MAX(ABS(Dataset!B10-Dataset!B15),ABS(Dataset!C10-Dataset!C15),ABS(Dataset!D10-Dataset!D15),ABS(Dataset!E10-Dataset!E15),ABS(Dataset!F10-Dataset!F15),ABS(Dataset!G10-Dataset!G15))</f>
        <v>6</v>
      </c>
    </row>
    <row r="26" spans="1:11" ht="25.05" customHeight="1">
      <c r="A26" s="7" t="s">
        <v>23</v>
      </c>
      <c r="B26" s="12">
        <f>MAX(ABS(Dataset!B11-Dataset!B6),ABS(Dataset!C11-Dataset!C6),ABS(Dataset!D11-Dataset!D6),ABS(Dataset!E11-Dataset!E6),ABS(Dataset!F11-Dataset!F6),ABS(Dataset!G11-Dataset!G6))</f>
        <v>59</v>
      </c>
      <c r="C26" s="12">
        <f>MAX(ABS(Dataset!B11-Dataset!B7),ABS(Dataset!C11-Dataset!C7),ABS(Dataset!D11-Dataset!D7),ABS(Dataset!E11-Dataset!E7),ABS(Dataset!F11-Dataset!F7),ABS(Dataset!G11-Dataset!G7))</f>
        <v>34</v>
      </c>
      <c r="D26" s="12">
        <f>MAX(ABS(Dataset!B11-Dataset!B8),ABS(Dataset!C11-Dataset!C8),ABS(Dataset!D11-Dataset!D8),ABS(Dataset!E11-Dataset!E8),ABS(Dataset!F11-Dataset!F8),ABS(Dataset!G11-Dataset!G8))</f>
        <v>11</v>
      </c>
      <c r="E26" s="12">
        <f>MAX(ABS(Dataset!B11-Dataset!B9),ABS(Dataset!C11-Dataset!C9),ABS(Dataset!D11-Dataset!D9),ABS(Dataset!E11-Dataset!E9),ABS(Dataset!F11-Dataset!F9),ABS(Dataset!G11-Dataset!G9))</f>
        <v>18</v>
      </c>
      <c r="F26" s="12">
        <f>MAX(ABS(Dataset!B11-Dataset!B10),ABS(Dataset!C11-Dataset!C10),ABS(Dataset!D11-Dataset!D10),ABS(Dataset!E11-Dataset!E10),ABS(Dataset!F11-Dataset!F10),ABS(Dataset!G11-Dataset!G10))</f>
        <v>39</v>
      </c>
      <c r="G26" s="12">
        <f>MAX(ABS(Dataset!B11-Dataset!B11),ABS(Dataset!C11-Dataset!C11),ABS(Dataset!D11-Dataset!D11),ABS(Dataset!E11-Dataset!E11),ABS(Dataset!F11-Dataset!F11),ABS(Dataset!G11-Dataset!G11))</f>
        <v>0</v>
      </c>
      <c r="H26" s="12">
        <f>MAX(ABS(Dataset!B11-Dataset!B12),ABS(Dataset!C11-Dataset!C12),ABS(Dataset!D11-Dataset!D12),ABS(Dataset!E11-Dataset!E12),ABS(Dataset!F11-Dataset!F12),ABS(Dataset!G11-Dataset!G12))</f>
        <v>27</v>
      </c>
      <c r="I26" s="12">
        <f>MAX(ABS(Dataset!B11-Dataset!B13),ABS(Dataset!C11-Dataset!C13),ABS(Dataset!D11-Dataset!D13),ABS(Dataset!E11-Dataset!E13),ABS(Dataset!F11-Dataset!F13),ABS(Dataset!G11-Dataset!G13))</f>
        <v>24</v>
      </c>
      <c r="J26" s="12">
        <f>MAX(ABS(Dataset!B11-Dataset!B14),ABS(Dataset!C11-Dataset!C14),ABS(Dataset!D11-Dataset!D14),ABS(Dataset!E11-Dataset!E14),ABS(Dataset!F11-Dataset!F14),ABS(Dataset!G11-Dataset!G14))</f>
        <v>40</v>
      </c>
      <c r="K26" s="12">
        <f>MAX(ABS(Dataset!B11-Dataset!B15),ABS(Dataset!C11-Dataset!C15),ABS(Dataset!D11-Dataset!D15),ABS(Dataset!E11-Dataset!E15),ABS(Dataset!F11-Dataset!F15),ABS(Dataset!G11-Dataset!G15))</f>
        <v>44</v>
      </c>
    </row>
    <row r="27" spans="1:11" ht="25.05" customHeight="1">
      <c r="A27" s="6" t="s">
        <v>26</v>
      </c>
      <c r="B27" s="11">
        <f>MAX(ABS(Dataset!B12-Dataset!B6),ABS(Dataset!C12-Dataset!C6),ABS(Dataset!D12-Dataset!D6),ABS(Dataset!E12-Dataset!E6),ABS(Dataset!F12-Dataset!F6),ABS(Dataset!G12-Dataset!G6))</f>
        <v>40</v>
      </c>
      <c r="C27" s="11">
        <f>MAX(ABS(Dataset!B12-Dataset!B7),ABS(Dataset!C12-Dataset!C7),ABS(Dataset!D12-Dataset!D7),ABS(Dataset!E12-Dataset!E7),ABS(Dataset!F12-Dataset!F7),ABS(Dataset!G12-Dataset!G7))</f>
        <v>21</v>
      </c>
      <c r="D27" s="11">
        <f>MAX(ABS(Dataset!B12-Dataset!B8),ABS(Dataset!C12-Dataset!C8),ABS(Dataset!D12-Dataset!D8),ABS(Dataset!E12-Dataset!E8),ABS(Dataset!F12-Dataset!F8),ABS(Dataset!G12-Dataset!G8))</f>
        <v>38</v>
      </c>
      <c r="E27" s="11">
        <f>MAX(ABS(Dataset!B12-Dataset!B9),ABS(Dataset!C12-Dataset!C9),ABS(Dataset!D12-Dataset!D9),ABS(Dataset!E12-Dataset!E9),ABS(Dataset!F12-Dataset!F9),ABS(Dataset!G12-Dataset!G9))</f>
        <v>16</v>
      </c>
      <c r="F27" s="11">
        <f>MAX(ABS(Dataset!B12-Dataset!B10),ABS(Dataset!C12-Dataset!C10),ABS(Dataset!D12-Dataset!D10),ABS(Dataset!E12-Dataset!E10),ABS(Dataset!F12-Dataset!F10),ABS(Dataset!G12-Dataset!G10))</f>
        <v>66</v>
      </c>
      <c r="G27" s="11">
        <f>MAX(ABS(Dataset!B12-Dataset!B11),ABS(Dataset!C12-Dataset!C11),ABS(Dataset!D12-Dataset!D11),ABS(Dataset!E12-Dataset!E11),ABS(Dataset!F12-Dataset!F11),ABS(Dataset!G12-Dataset!G11))</f>
        <v>27</v>
      </c>
      <c r="H27" s="11">
        <f>MAX(ABS(Dataset!B12-Dataset!B12),ABS(Dataset!C12-Dataset!C12),ABS(Dataset!D12-Dataset!D12),ABS(Dataset!E12-Dataset!E12),ABS(Dataset!F12-Dataset!F12),ABS(Dataset!G12-Dataset!G12))</f>
        <v>0</v>
      </c>
      <c r="I27" s="11">
        <f>MAX(ABS(Dataset!B12-Dataset!B13),ABS(Dataset!C12-Dataset!C13),ABS(Dataset!D12-Dataset!D13),ABS(Dataset!E12-Dataset!E13),ABS(Dataset!F12-Dataset!F13),ABS(Dataset!G12-Dataset!G13))</f>
        <v>9</v>
      </c>
      <c r="J27" s="11">
        <f>MAX(ABS(Dataset!B12-Dataset!B14),ABS(Dataset!C12-Dataset!C14),ABS(Dataset!D12-Dataset!D14),ABS(Dataset!E12-Dataset!E14),ABS(Dataset!F12-Dataset!F14),ABS(Dataset!G12-Dataset!G14))</f>
        <v>67</v>
      </c>
      <c r="K27" s="11">
        <f>MAX(ABS(Dataset!B12-Dataset!B15),ABS(Dataset!C12-Dataset!C15),ABS(Dataset!D12-Dataset!D15),ABS(Dataset!E12-Dataset!E15),ABS(Dataset!F12-Dataset!F15),ABS(Dataset!G12-Dataset!G15))</f>
        <v>71</v>
      </c>
    </row>
    <row r="28" spans="1:11" ht="25.05" customHeight="1">
      <c r="A28" s="7" t="s">
        <v>29</v>
      </c>
      <c r="B28" s="12">
        <f>MAX(ABS(Dataset!B13-Dataset!B6),ABS(Dataset!C13-Dataset!C6),ABS(Dataset!D13-Dataset!D6),ABS(Dataset!E13-Dataset!E6),ABS(Dataset!F13-Dataset!F6),ABS(Dataset!G13-Dataset!G6))</f>
        <v>37</v>
      </c>
      <c r="C28" s="12">
        <f>MAX(ABS(Dataset!B13-Dataset!B7),ABS(Dataset!C13-Dataset!C7),ABS(Dataset!D13-Dataset!D7),ABS(Dataset!E13-Dataset!E7),ABS(Dataset!F13-Dataset!F7),ABS(Dataset!G13-Dataset!G7))</f>
        <v>18</v>
      </c>
      <c r="D28" s="12">
        <f>MAX(ABS(Dataset!B13-Dataset!B8),ABS(Dataset!C13-Dataset!C8),ABS(Dataset!D13-Dataset!D8),ABS(Dataset!E13-Dataset!E8),ABS(Dataset!F13-Dataset!F8),ABS(Dataset!G13-Dataset!G8))</f>
        <v>35</v>
      </c>
      <c r="E28" s="12">
        <f>MAX(ABS(Dataset!B13-Dataset!B9),ABS(Dataset!C13-Dataset!C9),ABS(Dataset!D13-Dataset!D9),ABS(Dataset!E13-Dataset!E9),ABS(Dataset!F13-Dataset!F9),ABS(Dataset!G13-Dataset!G9))</f>
        <v>13</v>
      </c>
      <c r="F28" s="12">
        <f>MAX(ABS(Dataset!B13-Dataset!B10),ABS(Dataset!C13-Dataset!C10),ABS(Dataset!D13-Dataset!D10),ABS(Dataset!E13-Dataset!E10),ABS(Dataset!F13-Dataset!F10),ABS(Dataset!G13-Dataset!G10))</f>
        <v>63</v>
      </c>
      <c r="G28" s="12">
        <f>MAX(ABS(Dataset!B13-Dataset!B11),ABS(Dataset!C13-Dataset!C11),ABS(Dataset!D13-Dataset!D11),ABS(Dataset!E13-Dataset!E11),ABS(Dataset!F13-Dataset!F11),ABS(Dataset!G13-Dataset!G11))</f>
        <v>24</v>
      </c>
      <c r="H28" s="12">
        <f>MAX(ABS(Dataset!B13-Dataset!B12),ABS(Dataset!C13-Dataset!C12),ABS(Dataset!D13-Dataset!D12),ABS(Dataset!E13-Dataset!E12),ABS(Dataset!F13-Dataset!F12),ABS(Dataset!G13-Dataset!G12))</f>
        <v>9</v>
      </c>
      <c r="I28" s="12">
        <f>MAX(ABS(Dataset!B13-Dataset!B13),ABS(Dataset!C13-Dataset!C13),ABS(Dataset!D13-Dataset!D13),ABS(Dataset!E13-Dataset!E13),ABS(Dataset!F13-Dataset!F13),ABS(Dataset!G13-Dataset!G13))</f>
        <v>0</v>
      </c>
      <c r="J28" s="12">
        <f>MAX(ABS(Dataset!B13-Dataset!B14),ABS(Dataset!C13-Dataset!C14),ABS(Dataset!D13-Dataset!D14),ABS(Dataset!E13-Dataset!E14),ABS(Dataset!F13-Dataset!F14),ABS(Dataset!G13-Dataset!G14))</f>
        <v>64</v>
      </c>
      <c r="K28" s="12">
        <f>MAX(ABS(Dataset!B13-Dataset!B15),ABS(Dataset!C13-Dataset!C15),ABS(Dataset!D13-Dataset!D15),ABS(Dataset!E13-Dataset!E15),ABS(Dataset!F13-Dataset!F15),ABS(Dataset!G13-Dataset!G15))</f>
        <v>68</v>
      </c>
    </row>
    <row r="29" spans="1:11" ht="25.05" customHeight="1">
      <c r="A29" s="6" t="s">
        <v>32</v>
      </c>
      <c r="B29" s="11">
        <f>MAX(ABS(Dataset!B14-Dataset!B6),ABS(Dataset!C14-Dataset!C6),ABS(Dataset!D14-Dataset!D6),ABS(Dataset!E14-Dataset!E6),ABS(Dataset!F14-Dataset!F6),ABS(Dataset!G14-Dataset!G6))</f>
        <v>99</v>
      </c>
      <c r="C29" s="11">
        <f>MAX(ABS(Dataset!B14-Dataset!B7),ABS(Dataset!C14-Dataset!C7),ABS(Dataset!D14-Dataset!D7),ABS(Dataset!E14-Dataset!E7),ABS(Dataset!F14-Dataset!F7),ABS(Dataset!G14-Dataset!G7))</f>
        <v>74</v>
      </c>
      <c r="D29" s="11">
        <f>MAX(ABS(Dataset!B14-Dataset!B8),ABS(Dataset!C14-Dataset!C8),ABS(Dataset!D14-Dataset!D8),ABS(Dataset!E14-Dataset!E8),ABS(Dataset!F14-Dataset!F8),ABS(Dataset!G14-Dataset!G8))</f>
        <v>29</v>
      </c>
      <c r="E29" s="11">
        <f>MAX(ABS(Dataset!B14-Dataset!B9),ABS(Dataset!C14-Dataset!C9),ABS(Dataset!D14-Dataset!D9),ABS(Dataset!E14-Dataset!E9),ABS(Dataset!F14-Dataset!F9),ABS(Dataset!G14-Dataset!G9))</f>
        <v>58</v>
      </c>
      <c r="F29" s="11">
        <f>MAX(ABS(Dataset!B14-Dataset!B10),ABS(Dataset!C14-Dataset!C10),ABS(Dataset!D14-Dataset!D10),ABS(Dataset!E14-Dataset!E10),ABS(Dataset!F14-Dataset!F10),ABS(Dataset!G14-Dataset!G10))</f>
        <v>5</v>
      </c>
      <c r="G29" s="11">
        <f>MAX(ABS(Dataset!B14-Dataset!B11),ABS(Dataset!C14-Dataset!C11),ABS(Dataset!D14-Dataset!D11),ABS(Dataset!E14-Dataset!E11),ABS(Dataset!F14-Dataset!F11),ABS(Dataset!G14-Dataset!G11))</f>
        <v>40</v>
      </c>
      <c r="H29" s="11">
        <f>MAX(ABS(Dataset!B14-Dataset!B12),ABS(Dataset!C14-Dataset!C12),ABS(Dataset!D14-Dataset!D12),ABS(Dataset!E14-Dataset!E12),ABS(Dataset!F14-Dataset!F12),ABS(Dataset!G14-Dataset!G12))</f>
        <v>67</v>
      </c>
      <c r="I29" s="11">
        <f>MAX(ABS(Dataset!B14-Dataset!B13),ABS(Dataset!C14-Dataset!C13),ABS(Dataset!D14-Dataset!D13),ABS(Dataset!E14-Dataset!E13),ABS(Dataset!F14-Dataset!F13),ABS(Dataset!G14-Dataset!G13))</f>
        <v>64</v>
      </c>
      <c r="J29" s="11">
        <f>MAX(ABS(Dataset!B14-Dataset!B14),ABS(Dataset!C14-Dataset!C14),ABS(Dataset!D14-Dataset!D14),ABS(Dataset!E14-Dataset!E14),ABS(Dataset!F14-Dataset!F14),ABS(Dataset!G14-Dataset!G14))</f>
        <v>0</v>
      </c>
      <c r="K29" s="11">
        <f>MAX(ABS(Dataset!B14-Dataset!B15),ABS(Dataset!C14-Dataset!C15),ABS(Dataset!D14-Dataset!D15),ABS(Dataset!E14-Dataset!E15),ABS(Dataset!F14-Dataset!F15),ABS(Dataset!G14-Dataset!G15))</f>
        <v>4</v>
      </c>
    </row>
    <row r="30" spans="1:11" ht="25.05" customHeight="1">
      <c r="A30" s="8" t="s">
        <v>33</v>
      </c>
      <c r="B30" s="13">
        <f>MAX(ABS(Dataset!B15-Dataset!B6),ABS(Dataset!C15-Dataset!C6),ABS(Dataset!D15-Dataset!D6),ABS(Dataset!E15-Dataset!E6),ABS(Dataset!F15-Dataset!F6),ABS(Dataset!G15-Dataset!G6))</f>
        <v>103</v>
      </c>
      <c r="C30" s="13">
        <f>MAX(ABS(Dataset!B15-Dataset!B7),ABS(Dataset!C15-Dataset!C7),ABS(Dataset!D15-Dataset!D7),ABS(Dataset!E15-Dataset!E7),ABS(Dataset!F15-Dataset!F7),ABS(Dataset!G15-Dataset!G7))</f>
        <v>78</v>
      </c>
      <c r="D30" s="13">
        <f>MAX(ABS(Dataset!B15-Dataset!B8),ABS(Dataset!C15-Dataset!C8),ABS(Dataset!D15-Dataset!D8),ABS(Dataset!E15-Dataset!E8),ABS(Dataset!F15-Dataset!F8),ABS(Dataset!G15-Dataset!G8))</f>
        <v>33</v>
      </c>
      <c r="E30" s="13">
        <f>MAX(ABS(Dataset!B15-Dataset!B9),ABS(Dataset!C15-Dataset!C9),ABS(Dataset!D15-Dataset!D9),ABS(Dataset!E15-Dataset!E9),ABS(Dataset!F15-Dataset!F9),ABS(Dataset!G15-Dataset!G9))</f>
        <v>62</v>
      </c>
      <c r="F30" s="13">
        <f>MAX(ABS(Dataset!B15-Dataset!B10),ABS(Dataset!C15-Dataset!C10),ABS(Dataset!D15-Dataset!D10),ABS(Dataset!E15-Dataset!E10),ABS(Dataset!F15-Dataset!F10),ABS(Dataset!G15-Dataset!G10))</f>
        <v>6</v>
      </c>
      <c r="G30" s="13">
        <f>MAX(ABS(Dataset!B15-Dataset!B11),ABS(Dataset!C15-Dataset!C11),ABS(Dataset!D15-Dataset!D11),ABS(Dataset!E15-Dataset!E11),ABS(Dataset!F15-Dataset!F11),ABS(Dataset!G15-Dataset!G11))</f>
        <v>44</v>
      </c>
      <c r="H30" s="13">
        <f>MAX(ABS(Dataset!B15-Dataset!B12),ABS(Dataset!C15-Dataset!C12),ABS(Dataset!D15-Dataset!D12),ABS(Dataset!E15-Dataset!E12),ABS(Dataset!F15-Dataset!F12),ABS(Dataset!G15-Dataset!G12))</f>
        <v>71</v>
      </c>
      <c r="I30" s="13">
        <f>MAX(ABS(Dataset!B15-Dataset!B13),ABS(Dataset!C15-Dataset!C13),ABS(Dataset!D15-Dataset!D13),ABS(Dataset!E15-Dataset!E13),ABS(Dataset!F15-Dataset!F13),ABS(Dataset!G15-Dataset!G13))</f>
        <v>68</v>
      </c>
      <c r="J30" s="13">
        <f>MAX(ABS(Dataset!B15-Dataset!B14),ABS(Dataset!C15-Dataset!C14),ABS(Dataset!D15-Dataset!D14),ABS(Dataset!E15-Dataset!E14),ABS(Dataset!F15-Dataset!F14),ABS(Dataset!G15-Dataset!G14))</f>
        <v>4</v>
      </c>
      <c r="K30" s="13">
        <f>MAX(ABS(Dataset!B15-Dataset!B15),ABS(Dataset!C15-Dataset!C15),ABS(Dataset!D15-Dataset!D15),ABS(Dataset!E15-Dataset!E15),ABS(Dataset!F15-Dataset!F15),ABS(Dataset!G15-Dataset!G15))</f>
        <v>0</v>
      </c>
    </row>
    <row r="31" spans="1:1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30" customHeight="1">
      <c r="A34" s="35" t="s">
        <v>42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</row>
    <row r="35" spans="1:11" ht="43.95" customHeight="1">
      <c r="A35" s="2" t="s">
        <v>3</v>
      </c>
      <c r="B35" s="2" t="s">
        <v>13</v>
      </c>
      <c r="C35" s="2" t="s">
        <v>15</v>
      </c>
      <c r="D35" s="2" t="s">
        <v>17</v>
      </c>
      <c r="E35" s="2" t="s">
        <v>19</v>
      </c>
      <c r="F35" s="2" t="s">
        <v>21</v>
      </c>
      <c r="G35" s="2" t="s">
        <v>23</v>
      </c>
      <c r="H35" s="2" t="s">
        <v>26</v>
      </c>
      <c r="I35" s="2" t="s">
        <v>29</v>
      </c>
      <c r="J35" s="2" t="s">
        <v>32</v>
      </c>
      <c r="K35" s="2" t="s">
        <v>33</v>
      </c>
    </row>
    <row r="36" spans="1:11" ht="25.05" customHeight="1">
      <c r="A36" s="6" t="s">
        <v>13</v>
      </c>
      <c r="B36" s="11">
        <f>SUM(IF(ABS(Dataset!B6)+ABS(Dataset!B6)=0,0,ABS(Dataset!B6-Dataset!B6)/(ABS(Dataset!B6)+ABS(Dataset!B6))),IF(ABS(Dataset!C6)+ABS(Dataset!C6)=0,0,ABS(Dataset!C6-Dataset!C6)/(ABS(Dataset!C6)+ABS(Dataset!C6))),IF(ABS(Dataset!D6)+ABS(Dataset!D6)=0,0,ABS(Dataset!D6-Dataset!D6)/(ABS(Dataset!D6)+ABS(Dataset!D6))),IF(ABS(Dataset!E6)+ABS(Dataset!E6)=0,0,ABS(Dataset!E6-Dataset!E6)/(ABS(Dataset!E6)+ABS(Dataset!E6))),IF(ABS(Dataset!F6)+ABS(Dataset!F6)=0,0,ABS(Dataset!F6-Dataset!F6)/(ABS(Dataset!F6)+ABS(Dataset!F6))),IF(ABS(Dataset!G6)+ABS(Dataset!G6)=0,0,ABS(Dataset!G6-Dataset!G6)/(ABS(Dataset!G6)+ABS(Dataset!G6))))</f>
        <v>0</v>
      </c>
      <c r="C36" s="11">
        <f>SUM(IF(ABS(Dataset!B6)+ABS(Dataset!B7)=0,0,ABS(Dataset!B6-Dataset!B7)/(ABS(Dataset!B6)+ABS(Dataset!B7))),IF(ABS(Dataset!C6)+ABS(Dataset!C7)=0,0,ABS(Dataset!C6-Dataset!C7)/(ABS(Dataset!C6)+ABS(Dataset!C7))),IF(ABS(Dataset!D6)+ABS(Dataset!D7)=0,0,ABS(Dataset!D6-Dataset!D7)/(ABS(Dataset!D6)+ABS(Dataset!D7))),IF(ABS(Dataset!E6)+ABS(Dataset!E7)=0,0,ABS(Dataset!E6-Dataset!E7)/(ABS(Dataset!E6)+ABS(Dataset!E7))),IF(ABS(Dataset!F6)+ABS(Dataset!F7)=0,0,ABS(Dataset!F6-Dataset!F7)/(ABS(Dataset!F6)+ABS(Dataset!F7))),IF(ABS(Dataset!G6)+ABS(Dataset!G7)=0,0,ABS(Dataset!G6-Dataset!G7)/(ABS(Dataset!G6)+ABS(Dataset!G7))))</f>
        <v>0.54579991562012231</v>
      </c>
      <c r="D36" s="11">
        <f>SUM(IF(ABS(Dataset!B6)+ABS(Dataset!B8)=0,0,ABS(Dataset!B6-Dataset!B8)/(ABS(Dataset!B6)+ABS(Dataset!B8))),IF(ABS(Dataset!C6)+ABS(Dataset!C8)=0,0,ABS(Dataset!C6-Dataset!C8)/(ABS(Dataset!C6)+ABS(Dataset!C8))),IF(ABS(Dataset!D6)+ABS(Dataset!D8)=0,0,ABS(Dataset!D6-Dataset!D8)/(ABS(Dataset!D6)+ABS(Dataset!D8))),IF(ABS(Dataset!E6)+ABS(Dataset!E8)=0,0,ABS(Dataset!E6-Dataset!E8)/(ABS(Dataset!E6)+ABS(Dataset!E8))),IF(ABS(Dataset!F6)+ABS(Dataset!F8)=0,0,ABS(Dataset!F6-Dataset!F8)/(ABS(Dataset!F6)+ABS(Dataset!F8))),IF(ABS(Dataset!G6)+ABS(Dataset!G8)=0,0,ABS(Dataset!G6-Dataset!G8)/(ABS(Dataset!G6)+ABS(Dataset!G8))))</f>
        <v>1.0373572369861301</v>
      </c>
      <c r="E36" s="11">
        <f>SUM(IF(ABS(Dataset!B6)+ABS(Dataset!B9)=0,0,ABS(Dataset!B6-Dataset!B9)/(ABS(Dataset!B6)+ABS(Dataset!B9))),IF(ABS(Dataset!C6)+ABS(Dataset!C9)=0,0,ABS(Dataset!C6-Dataset!C9)/(ABS(Dataset!C6)+ABS(Dataset!C9))),IF(ABS(Dataset!D6)+ABS(Dataset!D9)=0,0,ABS(Dataset!D6-Dataset!D9)/(ABS(Dataset!D6)+ABS(Dataset!D9))),IF(ABS(Dataset!E6)+ABS(Dataset!E9)=0,0,ABS(Dataset!E6-Dataset!E9)/(ABS(Dataset!E6)+ABS(Dataset!E9))),IF(ABS(Dataset!F6)+ABS(Dataset!F9)=0,0,ABS(Dataset!F6-Dataset!F9)/(ABS(Dataset!F6)+ABS(Dataset!F9))),IF(ABS(Dataset!G6)+ABS(Dataset!G9)=0,0,ABS(Dataset!G6-Dataset!G9)/(ABS(Dataset!G6)+ABS(Dataset!G9))))</f>
        <v>0.56283495624072921</v>
      </c>
      <c r="F36" s="11">
        <f>SUM(IF(ABS(Dataset!B6)+ABS(Dataset!B10)=0,0,ABS(Dataset!B6-Dataset!B10)/(ABS(Dataset!B6)+ABS(Dataset!B10))),IF(ABS(Dataset!C6)+ABS(Dataset!C10)=0,0,ABS(Dataset!C6-Dataset!C10)/(ABS(Dataset!C6)+ABS(Dataset!C10))),IF(ABS(Dataset!D6)+ABS(Dataset!D10)=0,0,ABS(Dataset!D6-Dataset!D10)/(ABS(Dataset!D6)+ABS(Dataset!D10))),IF(ABS(Dataset!E6)+ABS(Dataset!E10)=0,0,ABS(Dataset!E6-Dataset!E10)/(ABS(Dataset!E6)+ABS(Dataset!E10))),IF(ABS(Dataset!F6)+ABS(Dataset!F10)=0,0,ABS(Dataset!F6-Dataset!F10)/(ABS(Dataset!F6)+ABS(Dataset!F10))),IF(ABS(Dataset!G6)+ABS(Dataset!G10)=0,0,ABS(Dataset!G6-Dataset!G10)/(ABS(Dataset!G6)+ABS(Dataset!G10))))</f>
        <v>1.1520854587406308</v>
      </c>
      <c r="G36" s="11">
        <f>SUM(IF(ABS(Dataset!B6)+ABS(Dataset!B11)=0,0,ABS(Dataset!B6-Dataset!B11)/(ABS(Dataset!B6)+ABS(Dataset!B11))),IF(ABS(Dataset!C6)+ABS(Dataset!C11)=0,0,ABS(Dataset!C6-Dataset!C11)/(ABS(Dataset!C6)+ABS(Dataset!C11))),IF(ABS(Dataset!D6)+ABS(Dataset!D11)=0,0,ABS(Dataset!D6-Dataset!D11)/(ABS(Dataset!D6)+ABS(Dataset!D11))),IF(ABS(Dataset!E6)+ABS(Dataset!E11)=0,0,ABS(Dataset!E6-Dataset!E11)/(ABS(Dataset!E6)+ABS(Dataset!E11))),IF(ABS(Dataset!F6)+ABS(Dataset!F11)=0,0,ABS(Dataset!F6-Dataset!F11)/(ABS(Dataset!F6)+ABS(Dataset!F11))),IF(ABS(Dataset!G6)+ABS(Dataset!G11)=0,0,ABS(Dataset!G6-Dataset!G11)/(ABS(Dataset!G6)+ABS(Dataset!G11))))</f>
        <v>0.6816790472243095</v>
      </c>
      <c r="H36" s="11">
        <f>SUM(IF(ABS(Dataset!B6)+ABS(Dataset!B12)=0,0,ABS(Dataset!B6-Dataset!B12)/(ABS(Dataset!B6)+ABS(Dataset!B12))),IF(ABS(Dataset!C6)+ABS(Dataset!C12)=0,0,ABS(Dataset!C6-Dataset!C12)/(ABS(Dataset!C6)+ABS(Dataset!C12))),IF(ABS(Dataset!D6)+ABS(Dataset!D12)=0,0,ABS(Dataset!D6-Dataset!D12)/(ABS(Dataset!D6)+ABS(Dataset!D12))),IF(ABS(Dataset!E6)+ABS(Dataset!E12)=0,0,ABS(Dataset!E6-Dataset!E12)/(ABS(Dataset!E6)+ABS(Dataset!E12))),IF(ABS(Dataset!F6)+ABS(Dataset!F12)=0,0,ABS(Dataset!F6-Dataset!F12)/(ABS(Dataset!F6)+ABS(Dataset!F12))),IF(ABS(Dataset!G6)+ABS(Dataset!G12)=0,0,ABS(Dataset!G6-Dataset!G12)/(ABS(Dataset!G6)+ABS(Dataset!G12))))</f>
        <v>0.57429092291555361</v>
      </c>
      <c r="I36" s="11">
        <f>SUM(IF(ABS(Dataset!B6)+ABS(Dataset!B13)=0,0,ABS(Dataset!B6-Dataset!B13)/(ABS(Dataset!B6)+ABS(Dataset!B13))),IF(ABS(Dataset!C6)+ABS(Dataset!C13)=0,0,ABS(Dataset!C6-Dataset!C13)/(ABS(Dataset!C6)+ABS(Dataset!C13))),IF(ABS(Dataset!D6)+ABS(Dataset!D13)=0,0,ABS(Dataset!D6-Dataset!D13)/(ABS(Dataset!D6)+ABS(Dataset!D13))),IF(ABS(Dataset!E6)+ABS(Dataset!E13)=0,0,ABS(Dataset!E6-Dataset!E13)/(ABS(Dataset!E6)+ABS(Dataset!E13))),IF(ABS(Dataset!F6)+ABS(Dataset!F13)=0,0,ABS(Dataset!F6-Dataset!F13)/(ABS(Dataset!F6)+ABS(Dataset!F13))),IF(ABS(Dataset!G6)+ABS(Dataset!G13)=0,0,ABS(Dataset!G6-Dataset!G13)/(ABS(Dataset!G6)+ABS(Dataset!G13))))</f>
        <v>0.62445561274989336</v>
      </c>
      <c r="J36" s="11">
        <f>SUM(IF(ABS(Dataset!B6)+ABS(Dataset!B14)=0,0,ABS(Dataset!B6-Dataset!B14)/(ABS(Dataset!B6)+ABS(Dataset!B14))),IF(ABS(Dataset!C6)+ABS(Dataset!C14)=0,0,ABS(Dataset!C6-Dataset!C14)/(ABS(Dataset!C6)+ABS(Dataset!C14))),IF(ABS(Dataset!D6)+ABS(Dataset!D14)=0,0,ABS(Dataset!D6-Dataset!D14)/(ABS(Dataset!D6)+ABS(Dataset!D14))),IF(ABS(Dataset!E6)+ABS(Dataset!E14)=0,0,ABS(Dataset!E6-Dataset!E14)/(ABS(Dataset!E6)+ABS(Dataset!E14))),IF(ABS(Dataset!F6)+ABS(Dataset!F14)=0,0,ABS(Dataset!F6-Dataset!F14)/(ABS(Dataset!F6)+ABS(Dataset!F14))),IF(ABS(Dataset!G6)+ABS(Dataset!G14)=0,0,ABS(Dataset!G6-Dataset!G14)/(ABS(Dataset!G6)+ABS(Dataset!G14))))</f>
        <v>1.1237503266389308</v>
      </c>
      <c r="K36" s="11">
        <f>SUM(IF(ABS(Dataset!B6)+ABS(Dataset!B15)=0,0,ABS(Dataset!B6-Dataset!B15)/(ABS(Dataset!B6)+ABS(Dataset!B15))),IF(ABS(Dataset!C6)+ABS(Dataset!C15)=0,0,ABS(Dataset!C6-Dataset!C15)/(ABS(Dataset!C6)+ABS(Dataset!C15))),IF(ABS(Dataset!D6)+ABS(Dataset!D15)=0,0,ABS(Dataset!D6-Dataset!D15)/(ABS(Dataset!D6)+ABS(Dataset!D15))),IF(ABS(Dataset!E6)+ABS(Dataset!E15)=0,0,ABS(Dataset!E6-Dataset!E15)/(ABS(Dataset!E6)+ABS(Dataset!E15))),IF(ABS(Dataset!F6)+ABS(Dataset!F15)=0,0,ABS(Dataset!F6-Dataset!F15)/(ABS(Dataset!F6)+ABS(Dataset!F15))),IF(ABS(Dataset!G6)+ABS(Dataset!G15)=0,0,ABS(Dataset!G6-Dataset!G15)/(ABS(Dataset!G6)+ABS(Dataset!G15))))</f>
        <v>1.1085057797541449</v>
      </c>
    </row>
    <row r="37" spans="1:11" ht="25.05" customHeight="1">
      <c r="A37" s="7" t="s">
        <v>15</v>
      </c>
      <c r="B37" s="12">
        <f>SUM(IF(ABS(Dataset!B7)+ABS(Dataset!B6)=0,0,ABS(Dataset!B7-Dataset!B6)/(ABS(Dataset!B7)+ABS(Dataset!B6))),IF(ABS(Dataset!C7)+ABS(Dataset!C6)=0,0,ABS(Dataset!C7-Dataset!C6)/(ABS(Dataset!C7)+ABS(Dataset!C6))),IF(ABS(Dataset!D7)+ABS(Dataset!D6)=0,0,ABS(Dataset!D7-Dataset!D6)/(ABS(Dataset!D7)+ABS(Dataset!D6))),IF(ABS(Dataset!E7)+ABS(Dataset!E6)=0,0,ABS(Dataset!E7-Dataset!E6)/(ABS(Dataset!E7)+ABS(Dataset!E6))),IF(ABS(Dataset!F7)+ABS(Dataset!F6)=0,0,ABS(Dataset!F7-Dataset!F6)/(ABS(Dataset!F7)+ABS(Dataset!F6))),IF(ABS(Dataset!G7)+ABS(Dataset!G6)=0,0,ABS(Dataset!G7-Dataset!G6)/(ABS(Dataset!G7)+ABS(Dataset!G6))))</f>
        <v>0.54579991562012231</v>
      </c>
      <c r="C37" s="12">
        <f>SUM(IF(ABS(Dataset!B7)+ABS(Dataset!B7)=0,0,ABS(Dataset!B7-Dataset!B7)/(ABS(Dataset!B7)+ABS(Dataset!B7))),IF(ABS(Dataset!C7)+ABS(Dataset!C7)=0,0,ABS(Dataset!C7-Dataset!C7)/(ABS(Dataset!C7)+ABS(Dataset!C7))),IF(ABS(Dataset!D7)+ABS(Dataset!D7)=0,0,ABS(Dataset!D7-Dataset!D7)/(ABS(Dataset!D7)+ABS(Dataset!D7))),IF(ABS(Dataset!E7)+ABS(Dataset!E7)=0,0,ABS(Dataset!E7-Dataset!E7)/(ABS(Dataset!E7)+ABS(Dataset!E7))),IF(ABS(Dataset!F7)+ABS(Dataset!F7)=0,0,ABS(Dataset!F7-Dataset!F7)/(ABS(Dataset!F7)+ABS(Dataset!F7))),IF(ABS(Dataset!G7)+ABS(Dataset!G7)=0,0,ABS(Dataset!G7-Dataset!G7)/(ABS(Dataset!G7)+ABS(Dataset!G7))))</f>
        <v>0</v>
      </c>
      <c r="D37" s="12">
        <f>SUM(IF(ABS(Dataset!B7)+ABS(Dataset!B8)=0,0,ABS(Dataset!B7-Dataset!B8)/(ABS(Dataset!B7)+ABS(Dataset!B8))),IF(ABS(Dataset!C7)+ABS(Dataset!C8)=0,0,ABS(Dataset!C7-Dataset!C8)/(ABS(Dataset!C7)+ABS(Dataset!C8))),IF(ABS(Dataset!D7)+ABS(Dataset!D8)=0,0,ABS(Dataset!D7-Dataset!D8)/(ABS(Dataset!D7)+ABS(Dataset!D8))),IF(ABS(Dataset!E7)+ABS(Dataset!E8)=0,0,ABS(Dataset!E7-Dataset!E8)/(ABS(Dataset!E7)+ABS(Dataset!E8))),IF(ABS(Dataset!F7)+ABS(Dataset!F8)=0,0,ABS(Dataset!F7-Dataset!F8)/(ABS(Dataset!F7)+ABS(Dataset!F8))),IF(ABS(Dataset!G7)+ABS(Dataset!G8)=0,0,ABS(Dataset!G7-Dataset!G8)/(ABS(Dataset!G7)+ABS(Dataset!G8))))</f>
        <v>0.49956932123492137</v>
      </c>
      <c r="E37" s="12">
        <f>SUM(IF(ABS(Dataset!B7)+ABS(Dataset!B9)=0,0,ABS(Dataset!B7-Dataset!B9)/(ABS(Dataset!B7)+ABS(Dataset!B9))),IF(ABS(Dataset!C7)+ABS(Dataset!C9)=0,0,ABS(Dataset!C7-Dataset!C9)/(ABS(Dataset!C7)+ABS(Dataset!C9))),IF(ABS(Dataset!D7)+ABS(Dataset!D9)=0,0,ABS(Dataset!D7-Dataset!D9)/(ABS(Dataset!D7)+ABS(Dataset!D9))),IF(ABS(Dataset!E7)+ABS(Dataset!E9)=0,0,ABS(Dataset!E7-Dataset!E9)/(ABS(Dataset!E7)+ABS(Dataset!E9))),IF(ABS(Dataset!F7)+ABS(Dataset!F9)=0,0,ABS(Dataset!F7-Dataset!F9)/(ABS(Dataset!F7)+ABS(Dataset!F9))),IF(ABS(Dataset!G7)+ABS(Dataset!G9)=0,0,ABS(Dataset!G7-Dataset!G9)/(ABS(Dataset!G7)+ABS(Dataset!G9))))</f>
        <v>0.30976726580878533</v>
      </c>
      <c r="F37" s="12">
        <f>SUM(IF(ABS(Dataset!B7)+ABS(Dataset!B10)=0,0,ABS(Dataset!B7-Dataset!B10)/(ABS(Dataset!B7)+ABS(Dataset!B10))),IF(ABS(Dataset!C7)+ABS(Dataset!C10)=0,0,ABS(Dataset!C7-Dataset!C10)/(ABS(Dataset!C7)+ABS(Dataset!C10))),IF(ABS(Dataset!D7)+ABS(Dataset!D10)=0,0,ABS(Dataset!D7-Dataset!D10)/(ABS(Dataset!D7)+ABS(Dataset!D10))),IF(ABS(Dataset!E7)+ABS(Dataset!E10)=0,0,ABS(Dataset!E7-Dataset!E10)/(ABS(Dataset!E7)+ABS(Dataset!E10))),IF(ABS(Dataset!F7)+ABS(Dataset!F10)=0,0,ABS(Dataset!F7-Dataset!F10)/(ABS(Dataset!F7)+ABS(Dataset!F10))),IF(ABS(Dataset!G7)+ABS(Dataset!G10)=0,0,ABS(Dataset!G7-Dataset!G10)/(ABS(Dataset!G7)+ABS(Dataset!G10))))</f>
        <v>0.63149619416693215</v>
      </c>
      <c r="G37" s="12">
        <f>SUM(IF(ABS(Dataset!B7)+ABS(Dataset!B11)=0,0,ABS(Dataset!B7-Dataset!B11)/(ABS(Dataset!B7)+ABS(Dataset!B11))),IF(ABS(Dataset!C7)+ABS(Dataset!C11)=0,0,ABS(Dataset!C7-Dataset!C11)/(ABS(Dataset!C7)+ABS(Dataset!C11))),IF(ABS(Dataset!D7)+ABS(Dataset!D11)=0,0,ABS(Dataset!D7-Dataset!D11)/(ABS(Dataset!D7)+ABS(Dataset!D11))),IF(ABS(Dataset!E7)+ABS(Dataset!E11)=0,0,ABS(Dataset!E7-Dataset!E11)/(ABS(Dataset!E7)+ABS(Dataset!E11))),IF(ABS(Dataset!F7)+ABS(Dataset!F11)=0,0,ABS(Dataset!F7-Dataset!F11)/(ABS(Dataset!F7)+ABS(Dataset!F11))),IF(ABS(Dataset!G7)+ABS(Dataset!G11)=0,0,ABS(Dataset!G7-Dataset!G11)/(ABS(Dataset!G7)+ABS(Dataset!G11))))</f>
        <v>0.33829565153080854</v>
      </c>
      <c r="H37" s="12">
        <f>SUM(IF(ABS(Dataset!B7)+ABS(Dataset!B12)=0,0,ABS(Dataset!B7-Dataset!B12)/(ABS(Dataset!B7)+ABS(Dataset!B12))),IF(ABS(Dataset!C7)+ABS(Dataset!C12)=0,0,ABS(Dataset!C7-Dataset!C12)/(ABS(Dataset!C7)+ABS(Dataset!C12))),IF(ABS(Dataset!D7)+ABS(Dataset!D12)=0,0,ABS(Dataset!D7-Dataset!D12)/(ABS(Dataset!D7)+ABS(Dataset!D12))),IF(ABS(Dataset!E7)+ABS(Dataset!E12)=0,0,ABS(Dataset!E7-Dataset!E12)/(ABS(Dataset!E7)+ABS(Dataset!E12))),IF(ABS(Dataset!F7)+ABS(Dataset!F12)=0,0,ABS(Dataset!F7-Dataset!F12)/(ABS(Dataset!F7)+ABS(Dataset!F12))),IF(ABS(Dataset!G7)+ABS(Dataset!G12)=0,0,ABS(Dataset!G7-Dataset!G12)/(ABS(Dataset!G7)+ABS(Dataset!G12))))</f>
        <v>0.50434794850107545</v>
      </c>
      <c r="I37" s="12">
        <f>SUM(IF(ABS(Dataset!B7)+ABS(Dataset!B13)=0,0,ABS(Dataset!B7-Dataset!B13)/(ABS(Dataset!B7)+ABS(Dataset!B13))),IF(ABS(Dataset!C7)+ABS(Dataset!C13)=0,0,ABS(Dataset!C7-Dataset!C13)/(ABS(Dataset!C7)+ABS(Dataset!C13))),IF(ABS(Dataset!D7)+ABS(Dataset!D13)=0,0,ABS(Dataset!D7-Dataset!D13)/(ABS(Dataset!D7)+ABS(Dataset!D13))),IF(ABS(Dataset!E7)+ABS(Dataset!E13)=0,0,ABS(Dataset!E7-Dataset!E13)/(ABS(Dataset!E7)+ABS(Dataset!E13))),IF(ABS(Dataset!F7)+ABS(Dataset!F13)=0,0,ABS(Dataset!F7-Dataset!F13)/(ABS(Dataset!F7)+ABS(Dataset!F13))),IF(ABS(Dataset!G7)+ABS(Dataset!G13)=0,0,ABS(Dataset!G7-Dataset!G13)/(ABS(Dataset!G7)+ABS(Dataset!G13))))</f>
        <v>0.44345693084257548</v>
      </c>
      <c r="J37" s="12">
        <f>SUM(IF(ABS(Dataset!B7)+ABS(Dataset!B14)=0,0,ABS(Dataset!B7-Dataset!B14)/(ABS(Dataset!B7)+ABS(Dataset!B14))),IF(ABS(Dataset!C7)+ABS(Dataset!C14)=0,0,ABS(Dataset!C7-Dataset!C14)/(ABS(Dataset!C7)+ABS(Dataset!C14))),IF(ABS(Dataset!D7)+ABS(Dataset!D14)=0,0,ABS(Dataset!D7-Dataset!D14)/(ABS(Dataset!D7)+ABS(Dataset!D14))),IF(ABS(Dataset!E7)+ABS(Dataset!E14)=0,0,ABS(Dataset!E7-Dataset!E14)/(ABS(Dataset!E7)+ABS(Dataset!E14))),IF(ABS(Dataset!F7)+ABS(Dataset!F14)=0,0,ABS(Dataset!F7-Dataset!F14)/(ABS(Dataset!F7)+ABS(Dataset!F14))),IF(ABS(Dataset!G7)+ABS(Dataset!G14)=0,0,ABS(Dataset!G7-Dataset!G14)/(ABS(Dataset!G7)+ABS(Dataset!G14))))</f>
        <v>0.6662754515019641</v>
      </c>
      <c r="K37" s="12">
        <f>SUM(IF(ABS(Dataset!B7)+ABS(Dataset!B15)=0,0,ABS(Dataset!B7-Dataset!B15)/(ABS(Dataset!B7)+ABS(Dataset!B15))),IF(ABS(Dataset!C7)+ABS(Dataset!C15)=0,0,ABS(Dataset!C7-Dataset!C15)/(ABS(Dataset!C7)+ABS(Dataset!C15))),IF(ABS(Dataset!D7)+ABS(Dataset!D15)=0,0,ABS(Dataset!D7-Dataset!D15)/(ABS(Dataset!D7)+ABS(Dataset!D15))),IF(ABS(Dataset!E7)+ABS(Dataset!E15)=0,0,ABS(Dataset!E7-Dataset!E15)/(ABS(Dataset!E7)+ABS(Dataset!E15))),IF(ABS(Dataset!F7)+ABS(Dataset!F15)=0,0,ABS(Dataset!F7-Dataset!F15)/(ABS(Dataset!F7)+ABS(Dataset!F15))),IF(ABS(Dataset!G7)+ABS(Dataset!G15)=0,0,ABS(Dataset!G7-Dataset!G15)/(ABS(Dataset!G7)+ABS(Dataset!G15))))</f>
        <v>0.72694742079622987</v>
      </c>
    </row>
    <row r="38" spans="1:11" ht="25.05" customHeight="1">
      <c r="A38" s="6" t="s">
        <v>17</v>
      </c>
      <c r="B38" s="11">
        <f>SUM(IF(ABS(Dataset!B8)+ABS(Dataset!B6)=0,0,ABS(Dataset!B8-Dataset!B6)/(ABS(Dataset!B8)+ABS(Dataset!B6))),IF(ABS(Dataset!C8)+ABS(Dataset!C6)=0,0,ABS(Dataset!C8-Dataset!C6)/(ABS(Dataset!C8)+ABS(Dataset!C6))),IF(ABS(Dataset!D8)+ABS(Dataset!D6)=0,0,ABS(Dataset!D8-Dataset!D6)/(ABS(Dataset!D8)+ABS(Dataset!D6))),IF(ABS(Dataset!E8)+ABS(Dataset!E6)=0,0,ABS(Dataset!E8-Dataset!E6)/(ABS(Dataset!E8)+ABS(Dataset!E6))),IF(ABS(Dataset!F8)+ABS(Dataset!F6)=0,0,ABS(Dataset!F8-Dataset!F6)/(ABS(Dataset!F8)+ABS(Dataset!F6))),IF(ABS(Dataset!G8)+ABS(Dataset!G6)=0,0,ABS(Dataset!G8-Dataset!G6)/(ABS(Dataset!G8)+ABS(Dataset!G6))))</f>
        <v>1.0373572369861301</v>
      </c>
      <c r="C38" s="11">
        <f>SUM(IF(ABS(Dataset!B8)+ABS(Dataset!B7)=0,0,ABS(Dataset!B8-Dataset!B7)/(ABS(Dataset!B8)+ABS(Dataset!B7))),IF(ABS(Dataset!C8)+ABS(Dataset!C7)=0,0,ABS(Dataset!C8-Dataset!C7)/(ABS(Dataset!C8)+ABS(Dataset!C7))),IF(ABS(Dataset!D8)+ABS(Dataset!D7)=0,0,ABS(Dataset!D8-Dataset!D7)/(ABS(Dataset!D8)+ABS(Dataset!D7))),IF(ABS(Dataset!E8)+ABS(Dataset!E7)=0,0,ABS(Dataset!E8-Dataset!E7)/(ABS(Dataset!E8)+ABS(Dataset!E7))),IF(ABS(Dataset!F8)+ABS(Dataset!F7)=0,0,ABS(Dataset!F8-Dataset!F7)/(ABS(Dataset!F8)+ABS(Dataset!F7))),IF(ABS(Dataset!G8)+ABS(Dataset!G7)=0,0,ABS(Dataset!G8-Dataset!G7)/(ABS(Dataset!G8)+ABS(Dataset!G7))))</f>
        <v>0.49956932123492137</v>
      </c>
      <c r="D38" s="11">
        <f>SUM(IF(ABS(Dataset!B8)+ABS(Dataset!B8)=0,0,ABS(Dataset!B8-Dataset!B8)/(ABS(Dataset!B8)+ABS(Dataset!B8))),IF(ABS(Dataset!C8)+ABS(Dataset!C8)=0,0,ABS(Dataset!C8-Dataset!C8)/(ABS(Dataset!C8)+ABS(Dataset!C8))),IF(ABS(Dataset!D8)+ABS(Dataset!D8)=0,0,ABS(Dataset!D8-Dataset!D8)/(ABS(Dataset!D8)+ABS(Dataset!D8))),IF(ABS(Dataset!E8)+ABS(Dataset!E8)=0,0,ABS(Dataset!E8-Dataset!E8)/(ABS(Dataset!E8)+ABS(Dataset!E8))),IF(ABS(Dataset!F8)+ABS(Dataset!F8)=0,0,ABS(Dataset!F8-Dataset!F8)/(ABS(Dataset!F8)+ABS(Dataset!F8))),IF(ABS(Dataset!G8)+ABS(Dataset!G8)=0,0,ABS(Dataset!G8-Dataset!G8)/(ABS(Dataset!G8)+ABS(Dataset!G8))))</f>
        <v>0</v>
      </c>
      <c r="E38" s="11">
        <f>SUM(IF(ABS(Dataset!B8)+ABS(Dataset!B9)=0,0,ABS(Dataset!B8-Dataset!B9)/(ABS(Dataset!B8)+ABS(Dataset!B9))),IF(ABS(Dataset!C8)+ABS(Dataset!C9)=0,0,ABS(Dataset!C8-Dataset!C9)/(ABS(Dataset!C8)+ABS(Dataset!C9))),IF(ABS(Dataset!D8)+ABS(Dataset!D9)=0,0,ABS(Dataset!D8-Dataset!D9)/(ABS(Dataset!D8)+ABS(Dataset!D9))),IF(ABS(Dataset!E8)+ABS(Dataset!E9)=0,0,ABS(Dataset!E8-Dataset!E9)/(ABS(Dataset!E8)+ABS(Dataset!E9))),IF(ABS(Dataset!F8)+ABS(Dataset!F9)=0,0,ABS(Dataset!F8-Dataset!F9)/(ABS(Dataset!F8)+ABS(Dataset!F9))),IF(ABS(Dataset!G8)+ABS(Dataset!G9)=0,0,ABS(Dataset!G8-Dataset!G9)/(ABS(Dataset!G8)+ABS(Dataset!G9))))</f>
        <v>0.50973125795934804</v>
      </c>
      <c r="F38" s="11">
        <f>SUM(IF(ABS(Dataset!B8)+ABS(Dataset!B10)=0,0,ABS(Dataset!B8-Dataset!B10)/(ABS(Dataset!B8)+ABS(Dataset!B10))),IF(ABS(Dataset!C8)+ABS(Dataset!C10)=0,0,ABS(Dataset!C8-Dataset!C10)/(ABS(Dataset!C8)+ABS(Dataset!C10))),IF(ABS(Dataset!D8)+ABS(Dataset!D10)=0,0,ABS(Dataset!D8-Dataset!D10)/(ABS(Dataset!D8)+ABS(Dataset!D10))),IF(ABS(Dataset!E8)+ABS(Dataset!E10)=0,0,ABS(Dataset!E8-Dataset!E10)/(ABS(Dataset!E8)+ABS(Dataset!E10))),IF(ABS(Dataset!F8)+ABS(Dataset!F10)=0,0,ABS(Dataset!F8-Dataset!F10)/(ABS(Dataset!F8)+ABS(Dataset!F10))),IF(ABS(Dataset!G8)+ABS(Dataset!G10)=0,0,ABS(Dataset!G8-Dataset!G10)/(ABS(Dataset!G8)+ABS(Dataset!G10))))</f>
        <v>0.20266986105941256</v>
      </c>
      <c r="G38" s="11">
        <f>SUM(IF(ABS(Dataset!B8)+ABS(Dataset!B11)=0,0,ABS(Dataset!B8-Dataset!B11)/(ABS(Dataset!B8)+ABS(Dataset!B11))),IF(ABS(Dataset!C8)+ABS(Dataset!C11)=0,0,ABS(Dataset!C8-Dataset!C11)/(ABS(Dataset!C8)+ABS(Dataset!C11))),IF(ABS(Dataset!D8)+ABS(Dataset!D11)=0,0,ABS(Dataset!D8-Dataset!D11)/(ABS(Dataset!D8)+ABS(Dataset!D11))),IF(ABS(Dataset!E8)+ABS(Dataset!E11)=0,0,ABS(Dataset!E8-Dataset!E11)/(ABS(Dataset!E8)+ABS(Dataset!E11))),IF(ABS(Dataset!F8)+ABS(Dataset!F11)=0,0,ABS(Dataset!F8-Dataset!F11)/(ABS(Dataset!F8)+ABS(Dataset!F11))),IF(ABS(Dataset!G8)+ABS(Dataset!G11)=0,0,ABS(Dataset!G8-Dataset!G11)/(ABS(Dataset!G8)+ABS(Dataset!G11))))</f>
        <v>0.36152357462365875</v>
      </c>
      <c r="H38" s="11">
        <f>SUM(IF(ABS(Dataset!B8)+ABS(Dataset!B12)=0,0,ABS(Dataset!B8-Dataset!B12)/(ABS(Dataset!B8)+ABS(Dataset!B12))),IF(ABS(Dataset!C8)+ABS(Dataset!C12)=0,0,ABS(Dataset!C8-Dataset!C12)/(ABS(Dataset!C8)+ABS(Dataset!C12))),IF(ABS(Dataset!D8)+ABS(Dataset!D12)=0,0,ABS(Dataset!D8-Dataset!D12)/(ABS(Dataset!D8)+ABS(Dataset!D12))),IF(ABS(Dataset!E8)+ABS(Dataset!E12)=0,0,ABS(Dataset!E8-Dataset!E12)/(ABS(Dataset!E8)+ABS(Dataset!E12))),IF(ABS(Dataset!F8)+ABS(Dataset!F12)=0,0,ABS(Dataset!F8-Dataset!F12)/(ABS(Dataset!F8)+ABS(Dataset!F12))),IF(ABS(Dataset!G8)+ABS(Dataset!G12)=0,0,ABS(Dataset!G8-Dataset!G12)/(ABS(Dataset!G8)+ABS(Dataset!G12))))</f>
        <v>0.8278105919343034</v>
      </c>
      <c r="I38" s="11">
        <f>SUM(IF(ABS(Dataset!B8)+ABS(Dataset!B13)=0,0,ABS(Dataset!B8-Dataset!B13)/(ABS(Dataset!B8)+ABS(Dataset!B13))),IF(ABS(Dataset!C8)+ABS(Dataset!C13)=0,0,ABS(Dataset!C8-Dataset!C13)/(ABS(Dataset!C8)+ABS(Dataset!C13))),IF(ABS(Dataset!D8)+ABS(Dataset!D13)=0,0,ABS(Dataset!D8-Dataset!D13)/(ABS(Dataset!D8)+ABS(Dataset!D13))),IF(ABS(Dataset!E8)+ABS(Dataset!E13)=0,0,ABS(Dataset!E8-Dataset!E13)/(ABS(Dataset!E8)+ABS(Dataset!E13))),IF(ABS(Dataset!F8)+ABS(Dataset!F13)=0,0,ABS(Dataset!F8-Dataset!F13)/(ABS(Dataset!F8)+ABS(Dataset!F13))),IF(ABS(Dataset!G8)+ABS(Dataset!G13)=0,0,ABS(Dataset!G8-Dataset!G13)/(ABS(Dataset!G8)+ABS(Dataset!G13))))</f>
        <v>0.64530991099557433</v>
      </c>
      <c r="J38" s="11">
        <f>SUM(IF(ABS(Dataset!B8)+ABS(Dataset!B14)=0,0,ABS(Dataset!B8-Dataset!B14)/(ABS(Dataset!B8)+ABS(Dataset!B14))),IF(ABS(Dataset!C8)+ABS(Dataset!C14)=0,0,ABS(Dataset!C8-Dataset!C14)/(ABS(Dataset!C8)+ABS(Dataset!C14))),IF(ABS(Dataset!D8)+ABS(Dataset!D14)=0,0,ABS(Dataset!D8-Dataset!D14)/(ABS(Dataset!D8)+ABS(Dataset!D14))),IF(ABS(Dataset!E8)+ABS(Dataset!E14)=0,0,ABS(Dataset!E8-Dataset!E14)/(ABS(Dataset!E8)+ABS(Dataset!E14))),IF(ABS(Dataset!F8)+ABS(Dataset!F14)=0,0,ABS(Dataset!F8-Dataset!F14)/(ABS(Dataset!F8)+ABS(Dataset!F14))),IF(ABS(Dataset!G8)+ABS(Dataset!G14)=0,0,ABS(Dataset!G8-Dataset!G14)/(ABS(Dataset!G8)+ABS(Dataset!G14))))</f>
        <v>0.24385454867249023</v>
      </c>
      <c r="K38" s="11">
        <f>SUM(IF(ABS(Dataset!B8)+ABS(Dataset!B15)=0,0,ABS(Dataset!B8-Dataset!B15)/(ABS(Dataset!B8)+ABS(Dataset!B15))),IF(ABS(Dataset!C8)+ABS(Dataset!C15)=0,0,ABS(Dataset!C8-Dataset!C15)/(ABS(Dataset!C8)+ABS(Dataset!C15))),IF(ABS(Dataset!D8)+ABS(Dataset!D15)=0,0,ABS(Dataset!D8-Dataset!D15)/(ABS(Dataset!D8)+ABS(Dataset!D15))),IF(ABS(Dataset!E8)+ABS(Dataset!E15)=0,0,ABS(Dataset!E8-Dataset!E15)/(ABS(Dataset!E8)+ABS(Dataset!E15))),IF(ABS(Dataset!F8)+ABS(Dataset!F15)=0,0,ABS(Dataset!F8-Dataset!F15)/(ABS(Dataset!F8)+ABS(Dataset!F15))),IF(ABS(Dataset!G8)+ABS(Dataset!G15)=0,0,ABS(Dataset!G8-Dataset!G15)/(ABS(Dataset!G8)+ABS(Dataset!G15))))</f>
        <v>0.41928044788974461</v>
      </c>
    </row>
    <row r="39" spans="1:11" ht="25.05" customHeight="1">
      <c r="A39" s="7" t="s">
        <v>19</v>
      </c>
      <c r="B39" s="12">
        <f>SUM(IF(ABS(Dataset!B9)+ABS(Dataset!B6)=0,0,ABS(Dataset!B9-Dataset!B6)/(ABS(Dataset!B9)+ABS(Dataset!B6))),IF(ABS(Dataset!C9)+ABS(Dataset!C6)=0,0,ABS(Dataset!C9-Dataset!C6)/(ABS(Dataset!C9)+ABS(Dataset!C6))),IF(ABS(Dataset!D9)+ABS(Dataset!D6)=0,0,ABS(Dataset!D9-Dataset!D6)/(ABS(Dataset!D9)+ABS(Dataset!D6))),IF(ABS(Dataset!E9)+ABS(Dataset!E6)=0,0,ABS(Dataset!E9-Dataset!E6)/(ABS(Dataset!E9)+ABS(Dataset!E6))),IF(ABS(Dataset!F9)+ABS(Dataset!F6)=0,0,ABS(Dataset!F9-Dataset!F6)/(ABS(Dataset!F9)+ABS(Dataset!F6))),IF(ABS(Dataset!G9)+ABS(Dataset!G6)=0,0,ABS(Dataset!G9-Dataset!G6)/(ABS(Dataset!G9)+ABS(Dataset!G6))))</f>
        <v>0.56283495624072921</v>
      </c>
      <c r="C39" s="12">
        <f>SUM(IF(ABS(Dataset!B9)+ABS(Dataset!B7)=0,0,ABS(Dataset!B9-Dataset!B7)/(ABS(Dataset!B9)+ABS(Dataset!B7))),IF(ABS(Dataset!C9)+ABS(Dataset!C7)=0,0,ABS(Dataset!C9-Dataset!C7)/(ABS(Dataset!C9)+ABS(Dataset!C7))),IF(ABS(Dataset!D9)+ABS(Dataset!D7)=0,0,ABS(Dataset!D9-Dataset!D7)/(ABS(Dataset!D9)+ABS(Dataset!D7))),IF(ABS(Dataset!E9)+ABS(Dataset!E7)=0,0,ABS(Dataset!E9-Dataset!E7)/(ABS(Dataset!E9)+ABS(Dataset!E7))),IF(ABS(Dataset!F9)+ABS(Dataset!F7)=0,0,ABS(Dataset!F9-Dataset!F7)/(ABS(Dataset!F9)+ABS(Dataset!F7))),IF(ABS(Dataset!G9)+ABS(Dataset!G7)=0,0,ABS(Dataset!G9-Dataset!G7)/(ABS(Dataset!G9)+ABS(Dataset!G7))))</f>
        <v>0.30976726580878533</v>
      </c>
      <c r="D39" s="12">
        <f>SUM(IF(ABS(Dataset!B9)+ABS(Dataset!B8)=0,0,ABS(Dataset!B9-Dataset!B8)/(ABS(Dataset!B9)+ABS(Dataset!B8))),IF(ABS(Dataset!C9)+ABS(Dataset!C8)=0,0,ABS(Dataset!C9-Dataset!C8)/(ABS(Dataset!C9)+ABS(Dataset!C8))),IF(ABS(Dataset!D9)+ABS(Dataset!D8)=0,0,ABS(Dataset!D9-Dataset!D8)/(ABS(Dataset!D9)+ABS(Dataset!D8))),IF(ABS(Dataset!E9)+ABS(Dataset!E8)=0,0,ABS(Dataset!E9-Dataset!E8)/(ABS(Dataset!E9)+ABS(Dataset!E8))),IF(ABS(Dataset!F9)+ABS(Dataset!F8)=0,0,ABS(Dataset!F9-Dataset!F8)/(ABS(Dataset!F9)+ABS(Dataset!F8))),IF(ABS(Dataset!G9)+ABS(Dataset!G8)=0,0,ABS(Dataset!G9-Dataset!G8)/(ABS(Dataset!G9)+ABS(Dataset!G8))))</f>
        <v>0.50973125795934804</v>
      </c>
      <c r="E39" s="12">
        <f>SUM(IF(ABS(Dataset!B9)+ABS(Dataset!B9)=0,0,ABS(Dataset!B9-Dataset!B9)/(ABS(Dataset!B9)+ABS(Dataset!B9))),IF(ABS(Dataset!C9)+ABS(Dataset!C9)=0,0,ABS(Dataset!C9-Dataset!C9)/(ABS(Dataset!C9)+ABS(Dataset!C9))),IF(ABS(Dataset!D9)+ABS(Dataset!D9)=0,0,ABS(Dataset!D9-Dataset!D9)/(ABS(Dataset!D9)+ABS(Dataset!D9))),IF(ABS(Dataset!E9)+ABS(Dataset!E9)=0,0,ABS(Dataset!E9-Dataset!E9)/(ABS(Dataset!E9)+ABS(Dataset!E9))),IF(ABS(Dataset!F9)+ABS(Dataset!F9)=0,0,ABS(Dataset!F9-Dataset!F9)/(ABS(Dataset!F9)+ABS(Dataset!F9))),IF(ABS(Dataset!G9)+ABS(Dataset!G9)=0,0,ABS(Dataset!G9-Dataset!G9)/(ABS(Dataset!G9)+ABS(Dataset!G9))))</f>
        <v>0</v>
      </c>
      <c r="F39" s="12">
        <f>SUM(IF(ABS(Dataset!B9)+ABS(Dataset!B10)=0,0,ABS(Dataset!B9-Dataset!B10)/(ABS(Dataset!B9)+ABS(Dataset!B10))),IF(ABS(Dataset!C9)+ABS(Dataset!C10)=0,0,ABS(Dataset!C9-Dataset!C10)/(ABS(Dataset!C9)+ABS(Dataset!C10))),IF(ABS(Dataset!D9)+ABS(Dataset!D10)=0,0,ABS(Dataset!D9-Dataset!D10)/(ABS(Dataset!D9)+ABS(Dataset!D10))),IF(ABS(Dataset!E9)+ABS(Dataset!E10)=0,0,ABS(Dataset!E9-Dataset!E10)/(ABS(Dataset!E9)+ABS(Dataset!E10))),IF(ABS(Dataset!F9)+ABS(Dataset!F10)=0,0,ABS(Dataset!F9-Dataset!F10)/(ABS(Dataset!F9)+ABS(Dataset!F10))),IF(ABS(Dataset!G9)+ABS(Dataset!G10)=0,0,ABS(Dataset!G9-Dataset!G10)/(ABS(Dataset!G9)+ABS(Dataset!G10))))</f>
        <v>0.68363387750672189</v>
      </c>
      <c r="G39" s="12">
        <f>SUM(IF(ABS(Dataset!B9)+ABS(Dataset!B11)=0,0,ABS(Dataset!B9-Dataset!B11)/(ABS(Dataset!B9)+ABS(Dataset!B11))),IF(ABS(Dataset!C9)+ABS(Dataset!C11)=0,0,ABS(Dataset!C9-Dataset!C11)/(ABS(Dataset!C9)+ABS(Dataset!C11))),IF(ABS(Dataset!D9)+ABS(Dataset!D11)=0,0,ABS(Dataset!D9-Dataset!D11)/(ABS(Dataset!D9)+ABS(Dataset!D11))),IF(ABS(Dataset!E9)+ABS(Dataset!E11)=0,0,ABS(Dataset!E9-Dataset!E11)/(ABS(Dataset!E9)+ABS(Dataset!E11))),IF(ABS(Dataset!F9)+ABS(Dataset!F11)=0,0,ABS(Dataset!F9-Dataset!F11)/(ABS(Dataset!F9)+ABS(Dataset!F11))),IF(ABS(Dataset!G9)+ABS(Dataset!G11)=0,0,ABS(Dataset!G9-Dataset!G11)/(ABS(Dataset!G9)+ABS(Dataset!G11))))</f>
        <v>0.22051611920260847</v>
      </c>
      <c r="H39" s="12">
        <f>SUM(IF(ABS(Dataset!B9)+ABS(Dataset!B12)=0,0,ABS(Dataset!B9-Dataset!B12)/(ABS(Dataset!B9)+ABS(Dataset!B12))),IF(ABS(Dataset!C9)+ABS(Dataset!C12)=0,0,ABS(Dataset!C9-Dataset!C12)/(ABS(Dataset!C9)+ABS(Dataset!C12))),IF(ABS(Dataset!D9)+ABS(Dataset!D12)=0,0,ABS(Dataset!D9-Dataset!D12)/(ABS(Dataset!D9)+ABS(Dataset!D12))),IF(ABS(Dataset!E9)+ABS(Dataset!E12)=0,0,ABS(Dataset!E9-Dataset!E12)/(ABS(Dataset!E9)+ABS(Dataset!E12))),IF(ABS(Dataset!F9)+ABS(Dataset!F12)=0,0,ABS(Dataset!F9-Dataset!F12)/(ABS(Dataset!F9)+ABS(Dataset!F12))),IF(ABS(Dataset!G9)+ABS(Dataset!G12)=0,0,ABS(Dataset!G9-Dataset!G12)/(ABS(Dataset!G9)+ABS(Dataset!G12))))</f>
        <v>0.32128862995456053</v>
      </c>
      <c r="I39" s="12">
        <f>SUM(IF(ABS(Dataset!B9)+ABS(Dataset!B13)=0,0,ABS(Dataset!B9-Dataset!B13)/(ABS(Dataset!B9)+ABS(Dataset!B13))),IF(ABS(Dataset!C9)+ABS(Dataset!C13)=0,0,ABS(Dataset!C9-Dataset!C13)/(ABS(Dataset!C9)+ABS(Dataset!C13))),IF(ABS(Dataset!D9)+ABS(Dataset!D13)=0,0,ABS(Dataset!D9-Dataset!D13)/(ABS(Dataset!D9)+ABS(Dataset!D13))),IF(ABS(Dataset!E9)+ABS(Dataset!E13)=0,0,ABS(Dataset!E9-Dataset!E13)/(ABS(Dataset!E9)+ABS(Dataset!E13))),IF(ABS(Dataset!F9)+ABS(Dataset!F13)=0,0,ABS(Dataset!F9-Dataset!F13)/(ABS(Dataset!F9)+ABS(Dataset!F13))),IF(ABS(Dataset!G9)+ABS(Dataset!G13)=0,0,ABS(Dataset!G9-Dataset!G13)/(ABS(Dataset!G9)+ABS(Dataset!G13))))</f>
        <v>0.20220353949986825</v>
      </c>
      <c r="J39" s="12">
        <f>SUM(IF(ABS(Dataset!B9)+ABS(Dataset!B14)=0,0,ABS(Dataset!B9-Dataset!B14)/(ABS(Dataset!B9)+ABS(Dataset!B14))),IF(ABS(Dataset!C9)+ABS(Dataset!C14)=0,0,ABS(Dataset!C9-Dataset!C14)/(ABS(Dataset!C9)+ABS(Dataset!C14))),IF(ABS(Dataset!D9)+ABS(Dataset!D14)=0,0,ABS(Dataset!D9-Dataset!D14)/(ABS(Dataset!D9)+ABS(Dataset!D14))),IF(ABS(Dataset!E9)+ABS(Dataset!E14)=0,0,ABS(Dataset!E9-Dataset!E14)/(ABS(Dataset!E9)+ABS(Dataset!E14))),IF(ABS(Dataset!F9)+ABS(Dataset!F14)=0,0,ABS(Dataset!F9-Dataset!F14)/(ABS(Dataset!F9)+ABS(Dataset!F14))),IF(ABS(Dataset!G9)+ABS(Dataset!G14)=0,0,ABS(Dataset!G9-Dataset!G14)/(ABS(Dataset!G9)+ABS(Dataset!G14))))</f>
        <v>0.71919509028069362</v>
      </c>
      <c r="K39" s="12">
        <f>SUM(IF(ABS(Dataset!B9)+ABS(Dataset!B15)=0,0,ABS(Dataset!B9-Dataset!B15)/(ABS(Dataset!B9)+ABS(Dataset!B15))),IF(ABS(Dataset!C9)+ABS(Dataset!C15)=0,0,ABS(Dataset!C9-Dataset!C15)/(ABS(Dataset!C9)+ABS(Dataset!C15))),IF(ABS(Dataset!D9)+ABS(Dataset!D15)=0,0,ABS(Dataset!D9-Dataset!D15)/(ABS(Dataset!D9)+ABS(Dataset!D15))),IF(ABS(Dataset!E9)+ABS(Dataset!E15)=0,0,ABS(Dataset!E9-Dataset!E15)/(ABS(Dataset!E9)+ABS(Dataset!E15))),IF(ABS(Dataset!F9)+ABS(Dataset!F15)=0,0,ABS(Dataset!F9-Dataset!F15)/(ABS(Dataset!F9)+ABS(Dataset!F15))),IF(ABS(Dataset!G9)+ABS(Dataset!G15)=0,0,ABS(Dataset!G9-Dataset!G15)/(ABS(Dataset!G9)+ABS(Dataset!G15))))</f>
        <v>0.7422538301292555</v>
      </c>
    </row>
    <row r="40" spans="1:11" ht="25.05" customHeight="1">
      <c r="A40" s="6" t="s">
        <v>21</v>
      </c>
      <c r="B40" s="11">
        <f>SUM(IF(ABS(Dataset!B10)+ABS(Dataset!B6)=0,0,ABS(Dataset!B10-Dataset!B6)/(ABS(Dataset!B10)+ABS(Dataset!B6))),IF(ABS(Dataset!C10)+ABS(Dataset!C6)=0,0,ABS(Dataset!C10-Dataset!C6)/(ABS(Dataset!C10)+ABS(Dataset!C6))),IF(ABS(Dataset!D10)+ABS(Dataset!D6)=0,0,ABS(Dataset!D10-Dataset!D6)/(ABS(Dataset!D10)+ABS(Dataset!D6))),IF(ABS(Dataset!E10)+ABS(Dataset!E6)=0,0,ABS(Dataset!E10-Dataset!E6)/(ABS(Dataset!E10)+ABS(Dataset!E6))),IF(ABS(Dataset!F10)+ABS(Dataset!F6)=0,0,ABS(Dataset!F10-Dataset!F6)/(ABS(Dataset!F10)+ABS(Dataset!F6))),IF(ABS(Dataset!G10)+ABS(Dataset!G6)=0,0,ABS(Dataset!G10-Dataset!G6)/(ABS(Dataset!G10)+ABS(Dataset!G6))))</f>
        <v>1.1520854587406308</v>
      </c>
      <c r="C40" s="11">
        <f>SUM(IF(ABS(Dataset!B10)+ABS(Dataset!B7)=0,0,ABS(Dataset!B10-Dataset!B7)/(ABS(Dataset!B10)+ABS(Dataset!B7))),IF(ABS(Dataset!C10)+ABS(Dataset!C7)=0,0,ABS(Dataset!C10-Dataset!C7)/(ABS(Dataset!C10)+ABS(Dataset!C7))),IF(ABS(Dataset!D10)+ABS(Dataset!D7)=0,0,ABS(Dataset!D10-Dataset!D7)/(ABS(Dataset!D10)+ABS(Dataset!D7))),IF(ABS(Dataset!E10)+ABS(Dataset!E7)=0,0,ABS(Dataset!E10-Dataset!E7)/(ABS(Dataset!E10)+ABS(Dataset!E7))),IF(ABS(Dataset!F10)+ABS(Dataset!F7)=0,0,ABS(Dataset!F10-Dataset!F7)/(ABS(Dataset!F10)+ABS(Dataset!F7))),IF(ABS(Dataset!G10)+ABS(Dataset!G7)=0,0,ABS(Dataset!G10-Dataset!G7)/(ABS(Dataset!G10)+ABS(Dataset!G7))))</f>
        <v>0.63149619416693215</v>
      </c>
      <c r="D40" s="11">
        <f>SUM(IF(ABS(Dataset!B10)+ABS(Dataset!B8)=0,0,ABS(Dataset!B10-Dataset!B8)/(ABS(Dataset!B10)+ABS(Dataset!B8))),IF(ABS(Dataset!C10)+ABS(Dataset!C8)=0,0,ABS(Dataset!C10-Dataset!C8)/(ABS(Dataset!C10)+ABS(Dataset!C8))),IF(ABS(Dataset!D10)+ABS(Dataset!D8)=0,0,ABS(Dataset!D10-Dataset!D8)/(ABS(Dataset!D10)+ABS(Dataset!D8))),IF(ABS(Dataset!E10)+ABS(Dataset!E8)=0,0,ABS(Dataset!E10-Dataset!E8)/(ABS(Dataset!E10)+ABS(Dataset!E8))),IF(ABS(Dataset!F10)+ABS(Dataset!F8)=0,0,ABS(Dataset!F10-Dataset!F8)/(ABS(Dataset!F10)+ABS(Dataset!F8))),IF(ABS(Dataset!G10)+ABS(Dataset!G8)=0,0,ABS(Dataset!G10-Dataset!G8)/(ABS(Dataset!G10)+ABS(Dataset!G8))))</f>
        <v>0.20266986105941256</v>
      </c>
      <c r="E40" s="11">
        <f>SUM(IF(ABS(Dataset!B10)+ABS(Dataset!B9)=0,0,ABS(Dataset!B10-Dataset!B9)/(ABS(Dataset!B10)+ABS(Dataset!B9))),IF(ABS(Dataset!C10)+ABS(Dataset!C9)=0,0,ABS(Dataset!C10-Dataset!C9)/(ABS(Dataset!C10)+ABS(Dataset!C9))),IF(ABS(Dataset!D10)+ABS(Dataset!D9)=0,0,ABS(Dataset!D10-Dataset!D9)/(ABS(Dataset!D10)+ABS(Dataset!D9))),IF(ABS(Dataset!E10)+ABS(Dataset!E9)=0,0,ABS(Dataset!E10-Dataset!E9)/(ABS(Dataset!E10)+ABS(Dataset!E9))),IF(ABS(Dataset!F10)+ABS(Dataset!F9)=0,0,ABS(Dataset!F10-Dataset!F9)/(ABS(Dataset!F10)+ABS(Dataset!F9))),IF(ABS(Dataset!G10)+ABS(Dataset!G9)=0,0,ABS(Dataset!G10-Dataset!G9)/(ABS(Dataset!G10)+ABS(Dataset!G9))))</f>
        <v>0.68363387750672189</v>
      </c>
      <c r="F40" s="11">
        <f>SUM(IF(ABS(Dataset!B10)+ABS(Dataset!B10)=0,0,ABS(Dataset!B10-Dataset!B10)/(ABS(Dataset!B10)+ABS(Dataset!B10))),IF(ABS(Dataset!C10)+ABS(Dataset!C10)=0,0,ABS(Dataset!C10-Dataset!C10)/(ABS(Dataset!C10)+ABS(Dataset!C10))),IF(ABS(Dataset!D10)+ABS(Dataset!D10)=0,0,ABS(Dataset!D10-Dataset!D10)/(ABS(Dataset!D10)+ABS(Dataset!D10))),IF(ABS(Dataset!E10)+ABS(Dataset!E10)=0,0,ABS(Dataset!E10-Dataset!E10)/(ABS(Dataset!E10)+ABS(Dataset!E10))),IF(ABS(Dataset!F10)+ABS(Dataset!F10)=0,0,ABS(Dataset!F10-Dataset!F10)/(ABS(Dataset!F10)+ABS(Dataset!F10))),IF(ABS(Dataset!G10)+ABS(Dataset!G10)=0,0,ABS(Dataset!G10-Dataset!G10)/(ABS(Dataset!G10)+ABS(Dataset!G10))))</f>
        <v>0</v>
      </c>
      <c r="G40" s="11">
        <f>SUM(IF(ABS(Dataset!B10)+ABS(Dataset!B11)=0,0,ABS(Dataset!B10-Dataset!B11)/(ABS(Dataset!B10)+ABS(Dataset!B11))),IF(ABS(Dataset!C10)+ABS(Dataset!C11)=0,0,ABS(Dataset!C10-Dataset!C11)/(ABS(Dataset!C10)+ABS(Dataset!C11))),IF(ABS(Dataset!D10)+ABS(Dataset!D11)=0,0,ABS(Dataset!D10-Dataset!D11)/(ABS(Dataset!D10)+ABS(Dataset!D11))),IF(ABS(Dataset!E10)+ABS(Dataset!E11)=0,0,ABS(Dataset!E10-Dataset!E11)/(ABS(Dataset!E10)+ABS(Dataset!E11))),IF(ABS(Dataset!F10)+ABS(Dataset!F11)=0,0,ABS(Dataset!F10-Dataset!F11)/(ABS(Dataset!F10)+ABS(Dataset!F11))),IF(ABS(Dataset!G10)+ABS(Dataset!G11)=0,0,ABS(Dataset!G10-Dataset!G11)/(ABS(Dataset!G10)+ABS(Dataset!G11))))</f>
        <v>0.53694534025548524</v>
      </c>
      <c r="H40" s="11">
        <f>SUM(IF(ABS(Dataset!B10)+ABS(Dataset!B12)=0,0,ABS(Dataset!B10-Dataset!B12)/(ABS(Dataset!B10)+ABS(Dataset!B12))),IF(ABS(Dataset!C10)+ABS(Dataset!C12)=0,0,ABS(Dataset!C10-Dataset!C12)/(ABS(Dataset!C10)+ABS(Dataset!C12))),IF(ABS(Dataset!D10)+ABS(Dataset!D12)=0,0,ABS(Dataset!D10-Dataset!D12)/(ABS(Dataset!D10)+ABS(Dataset!D12))),IF(ABS(Dataset!E10)+ABS(Dataset!E12)=0,0,ABS(Dataset!E10-Dataset!E12)/(ABS(Dataset!E10)+ABS(Dataset!E12))),IF(ABS(Dataset!F10)+ABS(Dataset!F12)=0,0,ABS(Dataset!F10-Dataset!F12)/(ABS(Dataset!F10)+ABS(Dataset!F12))),IF(ABS(Dataset!G10)+ABS(Dataset!G12)=0,0,ABS(Dataset!G10-Dataset!G12)/(ABS(Dataset!G10)+ABS(Dataset!G12))))</f>
        <v>1.0002399083666618</v>
      </c>
      <c r="I40" s="11">
        <f>SUM(IF(ABS(Dataset!B10)+ABS(Dataset!B13)=0,0,ABS(Dataset!B10-Dataset!B13)/(ABS(Dataset!B10)+ABS(Dataset!B13))),IF(ABS(Dataset!C10)+ABS(Dataset!C13)=0,0,ABS(Dataset!C10-Dataset!C13)/(ABS(Dataset!C10)+ABS(Dataset!C13))),IF(ABS(Dataset!D10)+ABS(Dataset!D13)=0,0,ABS(Dataset!D10-Dataset!D13)/(ABS(Dataset!D10)+ABS(Dataset!D13))),IF(ABS(Dataset!E10)+ABS(Dataset!E13)=0,0,ABS(Dataset!E10-Dataset!E13)/(ABS(Dataset!E10)+ABS(Dataset!E13))),IF(ABS(Dataset!F10)+ABS(Dataset!F13)=0,0,ABS(Dataset!F10-Dataset!F13)/(ABS(Dataset!F10)+ABS(Dataset!F13))),IF(ABS(Dataset!G10)+ABS(Dataset!G13)=0,0,ABS(Dataset!G10-Dataset!G13)/(ABS(Dataset!G10)+ABS(Dataset!G13))))</f>
        <v>0.81874569125208518</v>
      </c>
      <c r="J40" s="11">
        <f>SUM(IF(ABS(Dataset!B10)+ABS(Dataset!B14)=0,0,ABS(Dataset!B10-Dataset!B14)/(ABS(Dataset!B10)+ABS(Dataset!B14))),IF(ABS(Dataset!C10)+ABS(Dataset!C14)=0,0,ABS(Dataset!C10-Dataset!C14)/(ABS(Dataset!C10)+ABS(Dataset!C14))),IF(ABS(Dataset!D10)+ABS(Dataset!D14)=0,0,ABS(Dataset!D10-Dataset!D14)/(ABS(Dataset!D10)+ABS(Dataset!D14))),IF(ABS(Dataset!E10)+ABS(Dataset!E14)=0,0,ABS(Dataset!E10-Dataset!E14)/(ABS(Dataset!E10)+ABS(Dataset!E14))),IF(ABS(Dataset!F10)+ABS(Dataset!F14)=0,0,ABS(Dataset!F10-Dataset!F14)/(ABS(Dataset!F10)+ABS(Dataset!F14))),IF(ABS(Dataset!G10)+ABS(Dataset!G14)=0,0,ABS(Dataset!G10-Dataset!G14)/(ABS(Dataset!G10)+ABS(Dataset!G14))))</f>
        <v>7.3197470362945868E-2</v>
      </c>
      <c r="K40" s="11">
        <f>SUM(IF(ABS(Dataset!B10)+ABS(Dataset!B15)=0,0,ABS(Dataset!B10-Dataset!B15)/(ABS(Dataset!B10)+ABS(Dataset!B15))),IF(ABS(Dataset!C10)+ABS(Dataset!C15)=0,0,ABS(Dataset!C10-Dataset!C15)/(ABS(Dataset!C10)+ABS(Dataset!C15))),IF(ABS(Dataset!D10)+ABS(Dataset!D15)=0,0,ABS(Dataset!D10-Dataset!D15)/(ABS(Dataset!D10)+ABS(Dataset!D15))),IF(ABS(Dataset!E10)+ABS(Dataset!E15)=0,0,ABS(Dataset!E10-Dataset!E15)/(ABS(Dataset!E10)+ABS(Dataset!E15))),IF(ABS(Dataset!F10)+ABS(Dataset!F15)=0,0,ABS(Dataset!F10-Dataset!F15)/(ABS(Dataset!F10)+ABS(Dataset!F15))),IF(ABS(Dataset!G10)+ABS(Dataset!G15)=0,0,ABS(Dataset!G10-Dataset!G15)/(ABS(Dataset!G10)+ABS(Dataset!G15))))</f>
        <v>0.21699552377080128</v>
      </c>
    </row>
    <row r="41" spans="1:11" ht="25.05" customHeight="1">
      <c r="A41" s="7" t="s">
        <v>23</v>
      </c>
      <c r="B41" s="12">
        <f>SUM(IF(ABS(Dataset!B11)+ABS(Dataset!B6)=0,0,ABS(Dataset!B11-Dataset!B6)/(ABS(Dataset!B11)+ABS(Dataset!B6))),IF(ABS(Dataset!C11)+ABS(Dataset!C6)=0,0,ABS(Dataset!C11-Dataset!C6)/(ABS(Dataset!C11)+ABS(Dataset!C6))),IF(ABS(Dataset!D11)+ABS(Dataset!D6)=0,0,ABS(Dataset!D11-Dataset!D6)/(ABS(Dataset!D11)+ABS(Dataset!D6))),IF(ABS(Dataset!E11)+ABS(Dataset!E6)=0,0,ABS(Dataset!E11-Dataset!E6)/(ABS(Dataset!E11)+ABS(Dataset!E6))),IF(ABS(Dataset!F11)+ABS(Dataset!F6)=0,0,ABS(Dataset!F11-Dataset!F6)/(ABS(Dataset!F11)+ABS(Dataset!F6))),IF(ABS(Dataset!G11)+ABS(Dataset!G6)=0,0,ABS(Dataset!G11-Dataset!G6)/(ABS(Dataset!G11)+ABS(Dataset!G6))))</f>
        <v>0.6816790472243095</v>
      </c>
      <c r="C41" s="12">
        <f>SUM(IF(ABS(Dataset!B11)+ABS(Dataset!B7)=0,0,ABS(Dataset!B11-Dataset!B7)/(ABS(Dataset!B11)+ABS(Dataset!B7))),IF(ABS(Dataset!C11)+ABS(Dataset!C7)=0,0,ABS(Dataset!C11-Dataset!C7)/(ABS(Dataset!C11)+ABS(Dataset!C7))),IF(ABS(Dataset!D11)+ABS(Dataset!D7)=0,0,ABS(Dataset!D11-Dataset!D7)/(ABS(Dataset!D11)+ABS(Dataset!D7))),IF(ABS(Dataset!E11)+ABS(Dataset!E7)=0,0,ABS(Dataset!E11-Dataset!E7)/(ABS(Dataset!E11)+ABS(Dataset!E7))),IF(ABS(Dataset!F11)+ABS(Dataset!F7)=0,0,ABS(Dataset!F11-Dataset!F7)/(ABS(Dataset!F11)+ABS(Dataset!F7))),IF(ABS(Dataset!G11)+ABS(Dataset!G7)=0,0,ABS(Dataset!G11-Dataset!G7)/(ABS(Dataset!G11)+ABS(Dataset!G7))))</f>
        <v>0.33829565153080854</v>
      </c>
      <c r="D41" s="12">
        <f>SUM(IF(ABS(Dataset!B11)+ABS(Dataset!B8)=0,0,ABS(Dataset!B11-Dataset!B8)/(ABS(Dataset!B11)+ABS(Dataset!B8))),IF(ABS(Dataset!C11)+ABS(Dataset!C8)=0,0,ABS(Dataset!C11-Dataset!C8)/(ABS(Dataset!C11)+ABS(Dataset!C8))),IF(ABS(Dataset!D11)+ABS(Dataset!D8)=0,0,ABS(Dataset!D11-Dataset!D8)/(ABS(Dataset!D11)+ABS(Dataset!D8))),IF(ABS(Dataset!E11)+ABS(Dataset!E8)=0,0,ABS(Dataset!E11-Dataset!E8)/(ABS(Dataset!E11)+ABS(Dataset!E8))),IF(ABS(Dataset!F11)+ABS(Dataset!F8)=0,0,ABS(Dataset!F11-Dataset!F8)/(ABS(Dataset!F11)+ABS(Dataset!F8))),IF(ABS(Dataset!G11)+ABS(Dataset!G8)=0,0,ABS(Dataset!G11-Dataset!G8)/(ABS(Dataset!G11)+ABS(Dataset!G8))))</f>
        <v>0.36152357462365875</v>
      </c>
      <c r="E41" s="12">
        <f>SUM(IF(ABS(Dataset!B11)+ABS(Dataset!B9)=0,0,ABS(Dataset!B11-Dataset!B9)/(ABS(Dataset!B11)+ABS(Dataset!B9))),IF(ABS(Dataset!C11)+ABS(Dataset!C9)=0,0,ABS(Dataset!C11-Dataset!C9)/(ABS(Dataset!C11)+ABS(Dataset!C9))),IF(ABS(Dataset!D11)+ABS(Dataset!D9)=0,0,ABS(Dataset!D11-Dataset!D9)/(ABS(Dataset!D11)+ABS(Dataset!D9))),IF(ABS(Dataset!E11)+ABS(Dataset!E9)=0,0,ABS(Dataset!E11-Dataset!E9)/(ABS(Dataset!E11)+ABS(Dataset!E9))),IF(ABS(Dataset!F11)+ABS(Dataset!F9)=0,0,ABS(Dataset!F11-Dataset!F9)/(ABS(Dataset!F11)+ABS(Dataset!F9))),IF(ABS(Dataset!G11)+ABS(Dataset!G9)=0,0,ABS(Dataset!G11-Dataset!G9)/(ABS(Dataset!G11)+ABS(Dataset!G9))))</f>
        <v>0.22051611920260847</v>
      </c>
      <c r="F41" s="12">
        <f>SUM(IF(ABS(Dataset!B11)+ABS(Dataset!B10)=0,0,ABS(Dataset!B11-Dataset!B10)/(ABS(Dataset!B11)+ABS(Dataset!B10))),IF(ABS(Dataset!C11)+ABS(Dataset!C10)=0,0,ABS(Dataset!C11-Dataset!C10)/(ABS(Dataset!C11)+ABS(Dataset!C10))),IF(ABS(Dataset!D11)+ABS(Dataset!D10)=0,0,ABS(Dataset!D11-Dataset!D10)/(ABS(Dataset!D11)+ABS(Dataset!D10))),IF(ABS(Dataset!E11)+ABS(Dataset!E10)=0,0,ABS(Dataset!E11-Dataset!E10)/(ABS(Dataset!E11)+ABS(Dataset!E10))),IF(ABS(Dataset!F11)+ABS(Dataset!F10)=0,0,ABS(Dataset!F11-Dataset!F10)/(ABS(Dataset!F11)+ABS(Dataset!F10))),IF(ABS(Dataset!G11)+ABS(Dataset!G10)=0,0,ABS(Dataset!G11-Dataset!G10)/(ABS(Dataset!G11)+ABS(Dataset!G10))))</f>
        <v>0.53694534025548524</v>
      </c>
      <c r="G41" s="12">
        <f>SUM(IF(ABS(Dataset!B11)+ABS(Dataset!B11)=0,0,ABS(Dataset!B11-Dataset!B11)/(ABS(Dataset!B11)+ABS(Dataset!B11))),IF(ABS(Dataset!C11)+ABS(Dataset!C11)=0,0,ABS(Dataset!C11-Dataset!C11)/(ABS(Dataset!C11)+ABS(Dataset!C11))),IF(ABS(Dataset!D11)+ABS(Dataset!D11)=0,0,ABS(Dataset!D11-Dataset!D11)/(ABS(Dataset!D11)+ABS(Dataset!D11))),IF(ABS(Dataset!E11)+ABS(Dataset!E11)=0,0,ABS(Dataset!E11-Dataset!E11)/(ABS(Dataset!E11)+ABS(Dataset!E11))),IF(ABS(Dataset!F11)+ABS(Dataset!F11)=0,0,ABS(Dataset!F11-Dataset!F11)/(ABS(Dataset!F11)+ABS(Dataset!F11))),IF(ABS(Dataset!G11)+ABS(Dataset!G11)=0,0,ABS(Dataset!G11-Dataset!G11)/(ABS(Dataset!G11)+ABS(Dataset!G11))))</f>
        <v>0</v>
      </c>
      <c r="H41" s="12">
        <f>SUM(IF(ABS(Dataset!B11)+ABS(Dataset!B12)=0,0,ABS(Dataset!B11-Dataset!B12)/(ABS(Dataset!B11)+ABS(Dataset!B12))),IF(ABS(Dataset!C11)+ABS(Dataset!C12)=0,0,ABS(Dataset!C11-Dataset!C12)/(ABS(Dataset!C11)+ABS(Dataset!C12))),IF(ABS(Dataset!D11)+ABS(Dataset!D12)=0,0,ABS(Dataset!D11-Dataset!D12)/(ABS(Dataset!D11)+ABS(Dataset!D12))),IF(ABS(Dataset!E11)+ABS(Dataset!E12)=0,0,ABS(Dataset!E11-Dataset!E12)/(ABS(Dataset!E11)+ABS(Dataset!E12))),IF(ABS(Dataset!F11)+ABS(Dataset!F12)=0,0,ABS(Dataset!F11-Dataset!F12)/(ABS(Dataset!F11)+ABS(Dataset!F12))),IF(ABS(Dataset!G11)+ABS(Dataset!G12)=0,0,ABS(Dataset!G11-Dataset!G12)/(ABS(Dataset!G11)+ABS(Dataset!G12))))</f>
        <v>0.46984067755269304</v>
      </c>
      <c r="I41" s="12">
        <f>SUM(IF(ABS(Dataset!B11)+ABS(Dataset!B13)=0,0,ABS(Dataset!B11-Dataset!B13)/(ABS(Dataset!B11)+ABS(Dataset!B13))),IF(ABS(Dataset!C11)+ABS(Dataset!C13)=0,0,ABS(Dataset!C11-Dataset!C13)/(ABS(Dataset!C11)+ABS(Dataset!C13))),IF(ABS(Dataset!D11)+ABS(Dataset!D13)=0,0,ABS(Dataset!D11-Dataset!D13)/(ABS(Dataset!D11)+ABS(Dataset!D13))),IF(ABS(Dataset!E11)+ABS(Dataset!E13)=0,0,ABS(Dataset!E11-Dataset!E13)/(ABS(Dataset!E11)+ABS(Dataset!E13))),IF(ABS(Dataset!F11)+ABS(Dataset!F13)=0,0,ABS(Dataset!F11-Dataset!F13)/(ABS(Dataset!F11)+ABS(Dataset!F13))),IF(ABS(Dataset!G11)+ABS(Dataset!G13)=0,0,ABS(Dataset!G11-Dataset!G13)/(ABS(Dataset!G11)+ABS(Dataset!G13))))</f>
        <v>0.28494557304994572</v>
      </c>
      <c r="J41" s="12">
        <f>SUM(IF(ABS(Dataset!B11)+ABS(Dataset!B14)=0,0,ABS(Dataset!B11-Dataset!B14)/(ABS(Dataset!B11)+ABS(Dataset!B14))),IF(ABS(Dataset!C11)+ABS(Dataset!C14)=0,0,ABS(Dataset!C11-Dataset!C14)/(ABS(Dataset!C11)+ABS(Dataset!C14))),IF(ABS(Dataset!D11)+ABS(Dataset!D14)=0,0,ABS(Dataset!D11-Dataset!D14)/(ABS(Dataset!D11)+ABS(Dataset!D14))),IF(ABS(Dataset!E11)+ABS(Dataset!E14)=0,0,ABS(Dataset!E11-Dataset!E14)/(ABS(Dataset!E11)+ABS(Dataset!E14))),IF(ABS(Dataset!F11)+ABS(Dataset!F14)=0,0,ABS(Dataset!F11-Dataset!F14)/(ABS(Dataset!F11)+ABS(Dataset!F14))),IF(ABS(Dataset!G11)+ABS(Dataset!G14)=0,0,ABS(Dataset!G11-Dataset!G14)/(ABS(Dataset!G11)+ABS(Dataset!G14))))</f>
        <v>0.57267683322524032</v>
      </c>
      <c r="K41" s="12">
        <f>SUM(IF(ABS(Dataset!B11)+ABS(Dataset!B15)=0,0,ABS(Dataset!B11-Dataset!B15)/(ABS(Dataset!B11)+ABS(Dataset!B15))),IF(ABS(Dataset!C11)+ABS(Dataset!C15)=0,0,ABS(Dataset!C11-Dataset!C15)/(ABS(Dataset!C11)+ABS(Dataset!C15))),IF(ABS(Dataset!D11)+ABS(Dataset!D15)=0,0,ABS(Dataset!D11-Dataset!D15)/(ABS(Dataset!D11)+ABS(Dataset!D15))),IF(ABS(Dataset!E11)+ABS(Dataset!E15)=0,0,ABS(Dataset!E11-Dataset!E15)/(ABS(Dataset!E11)+ABS(Dataset!E15))),IF(ABS(Dataset!F11)+ABS(Dataset!F15)=0,0,ABS(Dataset!F11-Dataset!F15)/(ABS(Dataset!F11)+ABS(Dataset!F15))),IF(ABS(Dataset!G11)+ABS(Dataset!G15)=0,0,ABS(Dataset!G11-Dataset!G15)/(ABS(Dataset!G11)+ABS(Dataset!G15))))</f>
        <v>0.5713506875726112</v>
      </c>
    </row>
    <row r="42" spans="1:11" ht="25.05" customHeight="1">
      <c r="A42" s="6" t="s">
        <v>26</v>
      </c>
      <c r="B42" s="11">
        <f>SUM(IF(ABS(Dataset!B12)+ABS(Dataset!B6)=0,0,ABS(Dataset!B12-Dataset!B6)/(ABS(Dataset!B12)+ABS(Dataset!B6))),IF(ABS(Dataset!C12)+ABS(Dataset!C6)=0,0,ABS(Dataset!C12-Dataset!C6)/(ABS(Dataset!C12)+ABS(Dataset!C6))),IF(ABS(Dataset!D12)+ABS(Dataset!D6)=0,0,ABS(Dataset!D12-Dataset!D6)/(ABS(Dataset!D12)+ABS(Dataset!D6))),IF(ABS(Dataset!E12)+ABS(Dataset!E6)=0,0,ABS(Dataset!E12-Dataset!E6)/(ABS(Dataset!E12)+ABS(Dataset!E6))),IF(ABS(Dataset!F12)+ABS(Dataset!F6)=0,0,ABS(Dataset!F12-Dataset!F6)/(ABS(Dataset!F12)+ABS(Dataset!F6))),IF(ABS(Dataset!G12)+ABS(Dataset!G6)=0,0,ABS(Dataset!G12-Dataset!G6)/(ABS(Dataset!G12)+ABS(Dataset!G6))))</f>
        <v>0.57429092291555361</v>
      </c>
      <c r="C42" s="11">
        <f>SUM(IF(ABS(Dataset!B12)+ABS(Dataset!B7)=0,0,ABS(Dataset!B12-Dataset!B7)/(ABS(Dataset!B12)+ABS(Dataset!B7))),IF(ABS(Dataset!C12)+ABS(Dataset!C7)=0,0,ABS(Dataset!C12-Dataset!C7)/(ABS(Dataset!C12)+ABS(Dataset!C7))),IF(ABS(Dataset!D12)+ABS(Dataset!D7)=0,0,ABS(Dataset!D12-Dataset!D7)/(ABS(Dataset!D12)+ABS(Dataset!D7))),IF(ABS(Dataset!E12)+ABS(Dataset!E7)=0,0,ABS(Dataset!E12-Dataset!E7)/(ABS(Dataset!E12)+ABS(Dataset!E7))),IF(ABS(Dataset!F12)+ABS(Dataset!F7)=0,0,ABS(Dataset!F12-Dataset!F7)/(ABS(Dataset!F12)+ABS(Dataset!F7))),IF(ABS(Dataset!G12)+ABS(Dataset!G7)=0,0,ABS(Dataset!G12-Dataset!G7)/(ABS(Dataset!G12)+ABS(Dataset!G7))))</f>
        <v>0.50434794850107545</v>
      </c>
      <c r="D42" s="11">
        <f>SUM(IF(ABS(Dataset!B12)+ABS(Dataset!B8)=0,0,ABS(Dataset!B12-Dataset!B8)/(ABS(Dataset!B12)+ABS(Dataset!B8))),IF(ABS(Dataset!C12)+ABS(Dataset!C8)=0,0,ABS(Dataset!C12-Dataset!C8)/(ABS(Dataset!C12)+ABS(Dataset!C8))),IF(ABS(Dataset!D12)+ABS(Dataset!D8)=0,0,ABS(Dataset!D12-Dataset!D8)/(ABS(Dataset!D12)+ABS(Dataset!D8))),IF(ABS(Dataset!E12)+ABS(Dataset!E8)=0,0,ABS(Dataset!E12-Dataset!E8)/(ABS(Dataset!E12)+ABS(Dataset!E8))),IF(ABS(Dataset!F12)+ABS(Dataset!F8)=0,0,ABS(Dataset!F12-Dataset!F8)/(ABS(Dataset!F12)+ABS(Dataset!F8))),IF(ABS(Dataset!G12)+ABS(Dataset!G8)=0,0,ABS(Dataset!G12-Dataset!G8)/(ABS(Dataset!G12)+ABS(Dataset!G8))))</f>
        <v>0.8278105919343034</v>
      </c>
      <c r="E42" s="11">
        <f>SUM(IF(ABS(Dataset!B12)+ABS(Dataset!B9)=0,0,ABS(Dataset!B12-Dataset!B9)/(ABS(Dataset!B12)+ABS(Dataset!B9))),IF(ABS(Dataset!C12)+ABS(Dataset!C9)=0,0,ABS(Dataset!C12-Dataset!C9)/(ABS(Dataset!C12)+ABS(Dataset!C9))),IF(ABS(Dataset!D12)+ABS(Dataset!D9)=0,0,ABS(Dataset!D12-Dataset!D9)/(ABS(Dataset!D12)+ABS(Dataset!D9))),IF(ABS(Dataset!E12)+ABS(Dataset!E9)=0,0,ABS(Dataset!E12-Dataset!E9)/(ABS(Dataset!E12)+ABS(Dataset!E9))),IF(ABS(Dataset!F12)+ABS(Dataset!F9)=0,0,ABS(Dataset!F12-Dataset!F9)/(ABS(Dataset!F12)+ABS(Dataset!F9))),IF(ABS(Dataset!G12)+ABS(Dataset!G9)=0,0,ABS(Dataset!G12-Dataset!G9)/(ABS(Dataset!G12)+ABS(Dataset!G9))))</f>
        <v>0.32128862995456053</v>
      </c>
      <c r="F42" s="11">
        <f>SUM(IF(ABS(Dataset!B12)+ABS(Dataset!B10)=0,0,ABS(Dataset!B12-Dataset!B10)/(ABS(Dataset!B12)+ABS(Dataset!B10))),IF(ABS(Dataset!C12)+ABS(Dataset!C10)=0,0,ABS(Dataset!C12-Dataset!C10)/(ABS(Dataset!C12)+ABS(Dataset!C10))),IF(ABS(Dataset!D12)+ABS(Dataset!D10)=0,0,ABS(Dataset!D12-Dataset!D10)/(ABS(Dataset!D12)+ABS(Dataset!D10))),IF(ABS(Dataset!E12)+ABS(Dataset!E10)=0,0,ABS(Dataset!E12-Dataset!E10)/(ABS(Dataset!E12)+ABS(Dataset!E10))),IF(ABS(Dataset!F12)+ABS(Dataset!F10)=0,0,ABS(Dataset!F12-Dataset!F10)/(ABS(Dataset!F12)+ABS(Dataset!F10))),IF(ABS(Dataset!G12)+ABS(Dataset!G10)=0,0,ABS(Dataset!G12-Dataset!G10)/(ABS(Dataset!G12)+ABS(Dataset!G10))))</f>
        <v>1.0002399083666618</v>
      </c>
      <c r="G42" s="11">
        <f>SUM(IF(ABS(Dataset!B12)+ABS(Dataset!B11)=0,0,ABS(Dataset!B12-Dataset!B11)/(ABS(Dataset!B12)+ABS(Dataset!B11))),IF(ABS(Dataset!C12)+ABS(Dataset!C11)=0,0,ABS(Dataset!C12-Dataset!C11)/(ABS(Dataset!C12)+ABS(Dataset!C11))),IF(ABS(Dataset!D12)+ABS(Dataset!D11)=0,0,ABS(Dataset!D12-Dataset!D11)/(ABS(Dataset!D12)+ABS(Dataset!D11))),IF(ABS(Dataset!E12)+ABS(Dataset!E11)=0,0,ABS(Dataset!E12-Dataset!E11)/(ABS(Dataset!E12)+ABS(Dataset!E11))),IF(ABS(Dataset!F12)+ABS(Dataset!F11)=0,0,ABS(Dataset!F12-Dataset!F11)/(ABS(Dataset!F12)+ABS(Dataset!F11))),IF(ABS(Dataset!G12)+ABS(Dataset!G11)=0,0,ABS(Dataset!G12-Dataset!G11)/(ABS(Dataset!G12)+ABS(Dataset!G11))))</f>
        <v>0.46984067755269304</v>
      </c>
      <c r="H42" s="11">
        <f>SUM(IF(ABS(Dataset!B12)+ABS(Dataset!B12)=0,0,ABS(Dataset!B12-Dataset!B12)/(ABS(Dataset!B12)+ABS(Dataset!B12))),IF(ABS(Dataset!C12)+ABS(Dataset!C12)=0,0,ABS(Dataset!C12-Dataset!C12)/(ABS(Dataset!C12)+ABS(Dataset!C12))),IF(ABS(Dataset!D12)+ABS(Dataset!D12)=0,0,ABS(Dataset!D12-Dataset!D12)/(ABS(Dataset!D12)+ABS(Dataset!D12))),IF(ABS(Dataset!E12)+ABS(Dataset!E12)=0,0,ABS(Dataset!E12-Dataset!E12)/(ABS(Dataset!E12)+ABS(Dataset!E12))),IF(ABS(Dataset!F12)+ABS(Dataset!F12)=0,0,ABS(Dataset!F12-Dataset!F12)/(ABS(Dataset!F12)+ABS(Dataset!F12))),IF(ABS(Dataset!G12)+ABS(Dataset!G12)=0,0,ABS(Dataset!G12-Dataset!G12)/(ABS(Dataset!G12)+ABS(Dataset!G12))))</f>
        <v>0</v>
      </c>
      <c r="I42" s="11">
        <f>SUM(IF(ABS(Dataset!B12)+ABS(Dataset!B13)=0,0,ABS(Dataset!B12-Dataset!B13)/(ABS(Dataset!B12)+ABS(Dataset!B13))),IF(ABS(Dataset!C12)+ABS(Dataset!C13)=0,0,ABS(Dataset!C12-Dataset!C13)/(ABS(Dataset!C12)+ABS(Dataset!C13))),IF(ABS(Dataset!D12)+ABS(Dataset!D13)=0,0,ABS(Dataset!D12-Dataset!D13)/(ABS(Dataset!D12)+ABS(Dataset!D13))),IF(ABS(Dataset!E12)+ABS(Dataset!E13)=0,0,ABS(Dataset!E12-Dataset!E13)/(ABS(Dataset!E12)+ABS(Dataset!E13))),IF(ABS(Dataset!F12)+ABS(Dataset!F13)=0,0,ABS(Dataset!F12-Dataset!F13)/(ABS(Dataset!F12)+ABS(Dataset!F13))),IF(ABS(Dataset!G12)+ABS(Dataset!G13)=0,0,ABS(Dataset!G12-Dataset!G13)/(ABS(Dataset!G12)+ABS(Dataset!G13))))</f>
        <v>0.18553710392845918</v>
      </c>
      <c r="J42" s="11">
        <f>SUM(IF(ABS(Dataset!B12)+ABS(Dataset!B14)=0,0,ABS(Dataset!B12-Dataset!B14)/(ABS(Dataset!B12)+ABS(Dataset!B14))),IF(ABS(Dataset!C12)+ABS(Dataset!C14)=0,0,ABS(Dataset!C12-Dataset!C14)/(ABS(Dataset!C12)+ABS(Dataset!C14))),IF(ABS(Dataset!D12)+ABS(Dataset!D14)=0,0,ABS(Dataset!D12-Dataset!D14)/(ABS(Dataset!D12)+ABS(Dataset!D14))),IF(ABS(Dataset!E12)+ABS(Dataset!E14)=0,0,ABS(Dataset!E12-Dataset!E14)/(ABS(Dataset!E12)+ABS(Dataset!E14))),IF(ABS(Dataset!F12)+ABS(Dataset!F14)=0,0,ABS(Dataset!F12-Dataset!F14)/(ABS(Dataset!F12)+ABS(Dataset!F14))),IF(ABS(Dataset!G12)+ABS(Dataset!G14)=0,0,ABS(Dataset!G12-Dataset!G14)/(ABS(Dataset!G12)+ABS(Dataset!G14))))</f>
        <v>1.0347196657086553</v>
      </c>
      <c r="K42" s="11">
        <f>SUM(IF(ABS(Dataset!B12)+ABS(Dataset!B15)=0,0,ABS(Dataset!B12-Dataset!B15)/(ABS(Dataset!B12)+ABS(Dataset!B15))),IF(ABS(Dataset!C12)+ABS(Dataset!C15)=0,0,ABS(Dataset!C12-Dataset!C15)/(ABS(Dataset!C12)+ABS(Dataset!C15))),IF(ABS(Dataset!D12)+ABS(Dataset!D15)=0,0,ABS(Dataset!D12-Dataset!D15)/(ABS(Dataset!D12)+ABS(Dataset!D15))),IF(ABS(Dataset!E12)+ABS(Dataset!E15)=0,0,ABS(Dataset!E12-Dataset!E15)/(ABS(Dataset!E12)+ABS(Dataset!E15))),IF(ABS(Dataset!F12)+ABS(Dataset!F15)=0,0,ABS(Dataset!F12-Dataset!F15)/(ABS(Dataset!F12)+ABS(Dataset!F15))),IF(ABS(Dataset!G12)+ABS(Dataset!G15)=0,0,ABS(Dataset!G12-Dataset!G15)/(ABS(Dataset!G12)+ABS(Dataset!G15))))</f>
        <v>1.0331877637201323</v>
      </c>
    </row>
    <row r="43" spans="1:11" ht="25.05" customHeight="1">
      <c r="A43" s="7" t="s">
        <v>29</v>
      </c>
      <c r="B43" s="12">
        <f>SUM(IF(ABS(Dataset!B13)+ABS(Dataset!B6)=0,0,ABS(Dataset!B13-Dataset!B6)/(ABS(Dataset!B13)+ABS(Dataset!B6))),IF(ABS(Dataset!C13)+ABS(Dataset!C6)=0,0,ABS(Dataset!C13-Dataset!C6)/(ABS(Dataset!C13)+ABS(Dataset!C6))),IF(ABS(Dataset!D13)+ABS(Dataset!D6)=0,0,ABS(Dataset!D13-Dataset!D6)/(ABS(Dataset!D13)+ABS(Dataset!D6))),IF(ABS(Dataset!E13)+ABS(Dataset!E6)=0,0,ABS(Dataset!E13-Dataset!E6)/(ABS(Dataset!E13)+ABS(Dataset!E6))),IF(ABS(Dataset!F13)+ABS(Dataset!F6)=0,0,ABS(Dataset!F13-Dataset!F6)/(ABS(Dataset!F13)+ABS(Dataset!F6))),IF(ABS(Dataset!G13)+ABS(Dataset!G6)=0,0,ABS(Dataset!G13-Dataset!G6)/(ABS(Dataset!G13)+ABS(Dataset!G6))))</f>
        <v>0.62445561274989336</v>
      </c>
      <c r="C43" s="12">
        <f>SUM(IF(ABS(Dataset!B13)+ABS(Dataset!B7)=0,0,ABS(Dataset!B13-Dataset!B7)/(ABS(Dataset!B13)+ABS(Dataset!B7))),IF(ABS(Dataset!C13)+ABS(Dataset!C7)=0,0,ABS(Dataset!C13-Dataset!C7)/(ABS(Dataset!C13)+ABS(Dataset!C7))),IF(ABS(Dataset!D13)+ABS(Dataset!D7)=0,0,ABS(Dataset!D13-Dataset!D7)/(ABS(Dataset!D13)+ABS(Dataset!D7))),IF(ABS(Dataset!E13)+ABS(Dataset!E7)=0,0,ABS(Dataset!E13-Dataset!E7)/(ABS(Dataset!E13)+ABS(Dataset!E7))),IF(ABS(Dataset!F13)+ABS(Dataset!F7)=0,0,ABS(Dataset!F13-Dataset!F7)/(ABS(Dataset!F13)+ABS(Dataset!F7))),IF(ABS(Dataset!G13)+ABS(Dataset!G7)=0,0,ABS(Dataset!G13-Dataset!G7)/(ABS(Dataset!G13)+ABS(Dataset!G7))))</f>
        <v>0.44345693084257548</v>
      </c>
      <c r="D43" s="12">
        <f>SUM(IF(ABS(Dataset!B13)+ABS(Dataset!B8)=0,0,ABS(Dataset!B13-Dataset!B8)/(ABS(Dataset!B13)+ABS(Dataset!B8))),IF(ABS(Dataset!C13)+ABS(Dataset!C8)=0,0,ABS(Dataset!C13-Dataset!C8)/(ABS(Dataset!C13)+ABS(Dataset!C8))),IF(ABS(Dataset!D13)+ABS(Dataset!D8)=0,0,ABS(Dataset!D13-Dataset!D8)/(ABS(Dataset!D13)+ABS(Dataset!D8))),IF(ABS(Dataset!E13)+ABS(Dataset!E8)=0,0,ABS(Dataset!E13-Dataset!E8)/(ABS(Dataset!E13)+ABS(Dataset!E8))),IF(ABS(Dataset!F13)+ABS(Dataset!F8)=0,0,ABS(Dataset!F13-Dataset!F8)/(ABS(Dataset!F13)+ABS(Dataset!F8))),IF(ABS(Dataset!G13)+ABS(Dataset!G8)=0,0,ABS(Dataset!G13-Dataset!G8)/(ABS(Dataset!G13)+ABS(Dataset!G8))))</f>
        <v>0.64530991099557433</v>
      </c>
      <c r="E43" s="12">
        <f>SUM(IF(ABS(Dataset!B13)+ABS(Dataset!B9)=0,0,ABS(Dataset!B13-Dataset!B9)/(ABS(Dataset!B13)+ABS(Dataset!B9))),IF(ABS(Dataset!C13)+ABS(Dataset!C9)=0,0,ABS(Dataset!C13-Dataset!C9)/(ABS(Dataset!C13)+ABS(Dataset!C9))),IF(ABS(Dataset!D13)+ABS(Dataset!D9)=0,0,ABS(Dataset!D13-Dataset!D9)/(ABS(Dataset!D13)+ABS(Dataset!D9))),IF(ABS(Dataset!E13)+ABS(Dataset!E9)=0,0,ABS(Dataset!E13-Dataset!E9)/(ABS(Dataset!E13)+ABS(Dataset!E9))),IF(ABS(Dataset!F13)+ABS(Dataset!F9)=0,0,ABS(Dataset!F13-Dataset!F9)/(ABS(Dataset!F13)+ABS(Dataset!F9))),IF(ABS(Dataset!G13)+ABS(Dataset!G9)=0,0,ABS(Dataset!G13-Dataset!G9)/(ABS(Dataset!G13)+ABS(Dataset!G9))))</f>
        <v>0.20220353949986825</v>
      </c>
      <c r="F43" s="12">
        <f>SUM(IF(ABS(Dataset!B13)+ABS(Dataset!B10)=0,0,ABS(Dataset!B13-Dataset!B10)/(ABS(Dataset!B13)+ABS(Dataset!B10))),IF(ABS(Dataset!C13)+ABS(Dataset!C10)=0,0,ABS(Dataset!C13-Dataset!C10)/(ABS(Dataset!C13)+ABS(Dataset!C10))),IF(ABS(Dataset!D13)+ABS(Dataset!D10)=0,0,ABS(Dataset!D13-Dataset!D10)/(ABS(Dataset!D13)+ABS(Dataset!D10))),IF(ABS(Dataset!E13)+ABS(Dataset!E10)=0,0,ABS(Dataset!E13-Dataset!E10)/(ABS(Dataset!E13)+ABS(Dataset!E10))),IF(ABS(Dataset!F13)+ABS(Dataset!F10)=0,0,ABS(Dataset!F13-Dataset!F10)/(ABS(Dataset!F13)+ABS(Dataset!F10))),IF(ABS(Dataset!G13)+ABS(Dataset!G10)=0,0,ABS(Dataset!G13-Dataset!G10)/(ABS(Dataset!G13)+ABS(Dataset!G10))))</f>
        <v>0.81874569125208518</v>
      </c>
      <c r="G43" s="12">
        <f>SUM(IF(ABS(Dataset!B13)+ABS(Dataset!B11)=0,0,ABS(Dataset!B13-Dataset!B11)/(ABS(Dataset!B13)+ABS(Dataset!B11))),IF(ABS(Dataset!C13)+ABS(Dataset!C11)=0,0,ABS(Dataset!C13-Dataset!C11)/(ABS(Dataset!C13)+ABS(Dataset!C11))),IF(ABS(Dataset!D13)+ABS(Dataset!D11)=0,0,ABS(Dataset!D13-Dataset!D11)/(ABS(Dataset!D13)+ABS(Dataset!D11))),IF(ABS(Dataset!E13)+ABS(Dataset!E11)=0,0,ABS(Dataset!E13-Dataset!E11)/(ABS(Dataset!E13)+ABS(Dataset!E11))),IF(ABS(Dataset!F13)+ABS(Dataset!F11)=0,0,ABS(Dataset!F13-Dataset!F11)/(ABS(Dataset!F13)+ABS(Dataset!F11))),IF(ABS(Dataset!G13)+ABS(Dataset!G11)=0,0,ABS(Dataset!G13-Dataset!G11)/(ABS(Dataset!G13)+ABS(Dataset!G11))))</f>
        <v>0.28494557304994572</v>
      </c>
      <c r="H43" s="12">
        <f>SUM(IF(ABS(Dataset!B13)+ABS(Dataset!B12)=0,0,ABS(Dataset!B13-Dataset!B12)/(ABS(Dataset!B13)+ABS(Dataset!B12))),IF(ABS(Dataset!C13)+ABS(Dataset!C12)=0,0,ABS(Dataset!C13-Dataset!C12)/(ABS(Dataset!C13)+ABS(Dataset!C12))),IF(ABS(Dataset!D13)+ABS(Dataset!D12)=0,0,ABS(Dataset!D13-Dataset!D12)/(ABS(Dataset!D13)+ABS(Dataset!D12))),IF(ABS(Dataset!E13)+ABS(Dataset!E12)=0,0,ABS(Dataset!E13-Dataset!E12)/(ABS(Dataset!E13)+ABS(Dataset!E12))),IF(ABS(Dataset!F13)+ABS(Dataset!F12)=0,0,ABS(Dataset!F13-Dataset!F12)/(ABS(Dataset!F13)+ABS(Dataset!F12))),IF(ABS(Dataset!G13)+ABS(Dataset!G12)=0,0,ABS(Dataset!G13-Dataset!G12)/(ABS(Dataset!G13)+ABS(Dataset!G12))))</f>
        <v>0.18553710392845918</v>
      </c>
      <c r="I43" s="12">
        <f>SUM(IF(ABS(Dataset!B13)+ABS(Dataset!B13)=0,0,ABS(Dataset!B13-Dataset!B13)/(ABS(Dataset!B13)+ABS(Dataset!B13))),IF(ABS(Dataset!C13)+ABS(Dataset!C13)=0,0,ABS(Dataset!C13-Dataset!C13)/(ABS(Dataset!C13)+ABS(Dataset!C13))),IF(ABS(Dataset!D13)+ABS(Dataset!D13)=0,0,ABS(Dataset!D13-Dataset!D13)/(ABS(Dataset!D13)+ABS(Dataset!D13))),IF(ABS(Dataset!E13)+ABS(Dataset!E13)=0,0,ABS(Dataset!E13-Dataset!E13)/(ABS(Dataset!E13)+ABS(Dataset!E13))),IF(ABS(Dataset!F13)+ABS(Dataset!F13)=0,0,ABS(Dataset!F13-Dataset!F13)/(ABS(Dataset!F13)+ABS(Dataset!F13))),IF(ABS(Dataset!G13)+ABS(Dataset!G13)=0,0,ABS(Dataset!G13-Dataset!G13)/(ABS(Dataset!G13)+ABS(Dataset!G13))))</f>
        <v>0</v>
      </c>
      <c r="J43" s="12">
        <f>SUM(IF(ABS(Dataset!B13)+ABS(Dataset!B14)=0,0,ABS(Dataset!B13-Dataset!B14)/(ABS(Dataset!B13)+ABS(Dataset!B14))),IF(ABS(Dataset!C13)+ABS(Dataset!C14)=0,0,ABS(Dataset!C13-Dataset!C14)/(ABS(Dataset!C13)+ABS(Dataset!C14))),IF(ABS(Dataset!D13)+ABS(Dataset!D14)=0,0,ABS(Dataset!D13-Dataset!D14)/(ABS(Dataset!D13)+ABS(Dataset!D14))),IF(ABS(Dataset!E13)+ABS(Dataset!E14)=0,0,ABS(Dataset!E13-Dataset!E14)/(ABS(Dataset!E13)+ABS(Dataset!E14))),IF(ABS(Dataset!F13)+ABS(Dataset!F14)=0,0,ABS(Dataset!F13-Dataset!F14)/(ABS(Dataset!F13)+ABS(Dataset!F14))),IF(ABS(Dataset!G13)+ABS(Dataset!G14)=0,0,ABS(Dataset!G13-Dataset!G14)/(ABS(Dataset!G13)+ABS(Dataset!G14))))</f>
        <v>0.8537437098215418</v>
      </c>
      <c r="K43" s="12">
        <f>SUM(IF(ABS(Dataset!B13)+ABS(Dataset!B15)=0,0,ABS(Dataset!B13-Dataset!B15)/(ABS(Dataset!B13)+ABS(Dataset!B15))),IF(ABS(Dataset!C13)+ABS(Dataset!C15)=0,0,ABS(Dataset!C13-Dataset!C15)/(ABS(Dataset!C13)+ABS(Dataset!C15))),IF(ABS(Dataset!D13)+ABS(Dataset!D15)=0,0,ABS(Dataset!D13-Dataset!D15)/(ABS(Dataset!D13)+ABS(Dataset!D15))),IF(ABS(Dataset!E13)+ABS(Dataset!E15)=0,0,ABS(Dataset!E13-Dataset!E15)/(ABS(Dataset!E13)+ABS(Dataset!E15))),IF(ABS(Dataset!F13)+ABS(Dataset!F15)=0,0,ABS(Dataset!F13-Dataset!F15)/(ABS(Dataset!F13)+ABS(Dataset!F15))),IF(ABS(Dataset!G13)+ABS(Dataset!G15)=0,0,ABS(Dataset!G13-Dataset!G15)/(ABS(Dataset!G13)+ABS(Dataset!G15))))</f>
        <v>0.85166782144779651</v>
      </c>
    </row>
    <row r="44" spans="1:11" ht="25.05" customHeight="1">
      <c r="A44" s="6" t="s">
        <v>32</v>
      </c>
      <c r="B44" s="11">
        <f>SUM(IF(ABS(Dataset!B14)+ABS(Dataset!B6)=0,0,ABS(Dataset!B14-Dataset!B6)/(ABS(Dataset!B14)+ABS(Dataset!B6))),IF(ABS(Dataset!C14)+ABS(Dataset!C6)=0,0,ABS(Dataset!C14-Dataset!C6)/(ABS(Dataset!C14)+ABS(Dataset!C6))),IF(ABS(Dataset!D14)+ABS(Dataset!D6)=0,0,ABS(Dataset!D14-Dataset!D6)/(ABS(Dataset!D14)+ABS(Dataset!D6))),IF(ABS(Dataset!E14)+ABS(Dataset!E6)=0,0,ABS(Dataset!E14-Dataset!E6)/(ABS(Dataset!E14)+ABS(Dataset!E6))),IF(ABS(Dataset!F14)+ABS(Dataset!F6)=0,0,ABS(Dataset!F14-Dataset!F6)/(ABS(Dataset!F14)+ABS(Dataset!F6))),IF(ABS(Dataset!G14)+ABS(Dataset!G6)=0,0,ABS(Dataset!G14-Dataset!G6)/(ABS(Dataset!G14)+ABS(Dataset!G6))))</f>
        <v>1.1237503266389308</v>
      </c>
      <c r="C44" s="11">
        <f>SUM(IF(ABS(Dataset!B14)+ABS(Dataset!B7)=0,0,ABS(Dataset!B14-Dataset!B7)/(ABS(Dataset!B14)+ABS(Dataset!B7))),IF(ABS(Dataset!C14)+ABS(Dataset!C7)=0,0,ABS(Dataset!C14-Dataset!C7)/(ABS(Dataset!C14)+ABS(Dataset!C7))),IF(ABS(Dataset!D14)+ABS(Dataset!D7)=0,0,ABS(Dataset!D14-Dataset!D7)/(ABS(Dataset!D14)+ABS(Dataset!D7))),IF(ABS(Dataset!E14)+ABS(Dataset!E7)=0,0,ABS(Dataset!E14-Dataset!E7)/(ABS(Dataset!E14)+ABS(Dataset!E7))),IF(ABS(Dataset!F14)+ABS(Dataset!F7)=0,0,ABS(Dataset!F14-Dataset!F7)/(ABS(Dataset!F14)+ABS(Dataset!F7))),IF(ABS(Dataset!G14)+ABS(Dataset!G7)=0,0,ABS(Dataset!G14-Dataset!G7)/(ABS(Dataset!G14)+ABS(Dataset!G7))))</f>
        <v>0.6662754515019641</v>
      </c>
      <c r="D44" s="11">
        <f>SUM(IF(ABS(Dataset!B14)+ABS(Dataset!B8)=0,0,ABS(Dataset!B14-Dataset!B8)/(ABS(Dataset!B14)+ABS(Dataset!B8))),IF(ABS(Dataset!C14)+ABS(Dataset!C8)=0,0,ABS(Dataset!C14-Dataset!C8)/(ABS(Dataset!C14)+ABS(Dataset!C8))),IF(ABS(Dataset!D14)+ABS(Dataset!D8)=0,0,ABS(Dataset!D14-Dataset!D8)/(ABS(Dataset!D14)+ABS(Dataset!D8))),IF(ABS(Dataset!E14)+ABS(Dataset!E8)=0,0,ABS(Dataset!E14-Dataset!E8)/(ABS(Dataset!E14)+ABS(Dataset!E8))),IF(ABS(Dataset!F14)+ABS(Dataset!F8)=0,0,ABS(Dataset!F14-Dataset!F8)/(ABS(Dataset!F14)+ABS(Dataset!F8))),IF(ABS(Dataset!G14)+ABS(Dataset!G8)=0,0,ABS(Dataset!G14-Dataset!G8)/(ABS(Dataset!G14)+ABS(Dataset!G8))))</f>
        <v>0.24385454867249023</v>
      </c>
      <c r="E44" s="11">
        <f>SUM(IF(ABS(Dataset!B14)+ABS(Dataset!B9)=0,0,ABS(Dataset!B14-Dataset!B9)/(ABS(Dataset!B14)+ABS(Dataset!B9))),IF(ABS(Dataset!C14)+ABS(Dataset!C9)=0,0,ABS(Dataset!C14-Dataset!C9)/(ABS(Dataset!C14)+ABS(Dataset!C9))),IF(ABS(Dataset!D14)+ABS(Dataset!D9)=0,0,ABS(Dataset!D14-Dataset!D9)/(ABS(Dataset!D14)+ABS(Dataset!D9))),IF(ABS(Dataset!E14)+ABS(Dataset!E9)=0,0,ABS(Dataset!E14-Dataset!E9)/(ABS(Dataset!E14)+ABS(Dataset!E9))),IF(ABS(Dataset!F14)+ABS(Dataset!F9)=0,0,ABS(Dataset!F14-Dataset!F9)/(ABS(Dataset!F14)+ABS(Dataset!F9))),IF(ABS(Dataset!G14)+ABS(Dataset!G9)=0,0,ABS(Dataset!G14-Dataset!G9)/(ABS(Dataset!G14)+ABS(Dataset!G9))))</f>
        <v>0.71919509028069362</v>
      </c>
      <c r="F44" s="11">
        <f>SUM(IF(ABS(Dataset!B14)+ABS(Dataset!B10)=0,0,ABS(Dataset!B14-Dataset!B10)/(ABS(Dataset!B14)+ABS(Dataset!B10))),IF(ABS(Dataset!C14)+ABS(Dataset!C10)=0,0,ABS(Dataset!C14-Dataset!C10)/(ABS(Dataset!C14)+ABS(Dataset!C10))),IF(ABS(Dataset!D14)+ABS(Dataset!D10)=0,0,ABS(Dataset!D14-Dataset!D10)/(ABS(Dataset!D14)+ABS(Dataset!D10))),IF(ABS(Dataset!E14)+ABS(Dataset!E10)=0,0,ABS(Dataset!E14-Dataset!E10)/(ABS(Dataset!E14)+ABS(Dataset!E10))),IF(ABS(Dataset!F14)+ABS(Dataset!F10)=0,0,ABS(Dataset!F14-Dataset!F10)/(ABS(Dataset!F14)+ABS(Dataset!F10))),IF(ABS(Dataset!G14)+ABS(Dataset!G10)=0,0,ABS(Dataset!G14-Dataset!G10)/(ABS(Dataset!G14)+ABS(Dataset!G10))))</f>
        <v>7.3197470362945868E-2</v>
      </c>
      <c r="G44" s="11">
        <f>SUM(IF(ABS(Dataset!B14)+ABS(Dataset!B11)=0,0,ABS(Dataset!B14-Dataset!B11)/(ABS(Dataset!B14)+ABS(Dataset!B11))),IF(ABS(Dataset!C14)+ABS(Dataset!C11)=0,0,ABS(Dataset!C14-Dataset!C11)/(ABS(Dataset!C14)+ABS(Dataset!C11))),IF(ABS(Dataset!D14)+ABS(Dataset!D11)=0,0,ABS(Dataset!D14-Dataset!D11)/(ABS(Dataset!D14)+ABS(Dataset!D11))),IF(ABS(Dataset!E14)+ABS(Dataset!E11)=0,0,ABS(Dataset!E14-Dataset!E11)/(ABS(Dataset!E14)+ABS(Dataset!E11))),IF(ABS(Dataset!F14)+ABS(Dataset!F11)=0,0,ABS(Dataset!F14-Dataset!F11)/(ABS(Dataset!F14)+ABS(Dataset!F11))),IF(ABS(Dataset!G14)+ABS(Dataset!G11)=0,0,ABS(Dataset!G14-Dataset!G11)/(ABS(Dataset!G14)+ABS(Dataset!G11))))</f>
        <v>0.57267683322524032</v>
      </c>
      <c r="H44" s="11">
        <f>SUM(IF(ABS(Dataset!B14)+ABS(Dataset!B12)=0,0,ABS(Dataset!B14-Dataset!B12)/(ABS(Dataset!B14)+ABS(Dataset!B12))),IF(ABS(Dataset!C14)+ABS(Dataset!C12)=0,0,ABS(Dataset!C14-Dataset!C12)/(ABS(Dataset!C14)+ABS(Dataset!C12))),IF(ABS(Dataset!D14)+ABS(Dataset!D12)=0,0,ABS(Dataset!D14-Dataset!D12)/(ABS(Dataset!D14)+ABS(Dataset!D12))),IF(ABS(Dataset!E14)+ABS(Dataset!E12)=0,0,ABS(Dataset!E14-Dataset!E12)/(ABS(Dataset!E14)+ABS(Dataset!E12))),IF(ABS(Dataset!F14)+ABS(Dataset!F12)=0,0,ABS(Dataset!F14-Dataset!F12)/(ABS(Dataset!F14)+ABS(Dataset!F12))),IF(ABS(Dataset!G14)+ABS(Dataset!G12)=0,0,ABS(Dataset!G14-Dataset!G12)/(ABS(Dataset!G14)+ABS(Dataset!G12))))</f>
        <v>1.0347196657086553</v>
      </c>
      <c r="I44" s="11">
        <f>SUM(IF(ABS(Dataset!B14)+ABS(Dataset!B13)=0,0,ABS(Dataset!B14-Dataset!B13)/(ABS(Dataset!B14)+ABS(Dataset!B13))),IF(ABS(Dataset!C14)+ABS(Dataset!C13)=0,0,ABS(Dataset!C14-Dataset!C13)/(ABS(Dataset!C14)+ABS(Dataset!C13))),IF(ABS(Dataset!D14)+ABS(Dataset!D13)=0,0,ABS(Dataset!D14-Dataset!D13)/(ABS(Dataset!D14)+ABS(Dataset!D13))),IF(ABS(Dataset!E14)+ABS(Dataset!E13)=0,0,ABS(Dataset!E14-Dataset!E13)/(ABS(Dataset!E14)+ABS(Dataset!E13))),IF(ABS(Dataset!F14)+ABS(Dataset!F13)=0,0,ABS(Dataset!F14-Dataset!F13)/(ABS(Dataset!F14)+ABS(Dataset!F13))),IF(ABS(Dataset!G14)+ABS(Dataset!G13)=0,0,ABS(Dataset!G14-Dataset!G13)/(ABS(Dataset!G14)+ABS(Dataset!G13))))</f>
        <v>0.8537437098215418</v>
      </c>
      <c r="J44" s="11">
        <f>SUM(IF(ABS(Dataset!B14)+ABS(Dataset!B14)=0,0,ABS(Dataset!B14-Dataset!B14)/(ABS(Dataset!B14)+ABS(Dataset!B14))),IF(ABS(Dataset!C14)+ABS(Dataset!C14)=0,0,ABS(Dataset!C14-Dataset!C14)/(ABS(Dataset!C14)+ABS(Dataset!C14))),IF(ABS(Dataset!D14)+ABS(Dataset!D14)=0,0,ABS(Dataset!D14-Dataset!D14)/(ABS(Dataset!D14)+ABS(Dataset!D14))),IF(ABS(Dataset!E14)+ABS(Dataset!E14)=0,0,ABS(Dataset!E14-Dataset!E14)/(ABS(Dataset!E14)+ABS(Dataset!E14))),IF(ABS(Dataset!F14)+ABS(Dataset!F14)=0,0,ABS(Dataset!F14-Dataset!F14)/(ABS(Dataset!F14)+ABS(Dataset!F14))),IF(ABS(Dataset!G14)+ABS(Dataset!G14)=0,0,ABS(Dataset!G14-Dataset!G14)/(ABS(Dataset!G14)+ABS(Dataset!G14))))</f>
        <v>0</v>
      </c>
      <c r="K44" s="11">
        <f>SUM(IF(ABS(Dataset!B14)+ABS(Dataset!B15)=0,0,ABS(Dataset!B14-Dataset!B15)/(ABS(Dataset!B14)+ABS(Dataset!B15))),IF(ABS(Dataset!C14)+ABS(Dataset!C15)=0,0,ABS(Dataset!C14-Dataset!C15)/(ABS(Dataset!C14)+ABS(Dataset!C15))),IF(ABS(Dataset!D14)+ABS(Dataset!D15)=0,0,ABS(Dataset!D14-Dataset!D15)/(ABS(Dataset!D14)+ABS(Dataset!D15))),IF(ABS(Dataset!E14)+ABS(Dataset!E15)=0,0,ABS(Dataset!E14-Dataset!E15)/(ABS(Dataset!E14)+ABS(Dataset!E15))),IF(ABS(Dataset!F14)+ABS(Dataset!F15)=0,0,ABS(Dataset!F14-Dataset!F15)/(ABS(Dataset!F14)+ABS(Dataset!F15))),IF(ABS(Dataset!G14)+ABS(Dataset!G15)=0,0,ABS(Dataset!G14-Dataset!G15)/(ABS(Dataset!G14)+ABS(Dataset!G15))))</f>
        <v>0.1756769585901331</v>
      </c>
    </row>
    <row r="45" spans="1:11" ht="25.05" customHeight="1">
      <c r="A45" s="8" t="s">
        <v>33</v>
      </c>
      <c r="B45" s="13">
        <f>SUM(IF(ABS(Dataset!B15)+ABS(Dataset!B6)=0,0,ABS(Dataset!B15-Dataset!B6)/(ABS(Dataset!B15)+ABS(Dataset!B6))),IF(ABS(Dataset!C15)+ABS(Dataset!C6)=0,0,ABS(Dataset!C15-Dataset!C6)/(ABS(Dataset!C15)+ABS(Dataset!C6))),IF(ABS(Dataset!D15)+ABS(Dataset!D6)=0,0,ABS(Dataset!D15-Dataset!D6)/(ABS(Dataset!D15)+ABS(Dataset!D6))),IF(ABS(Dataset!E15)+ABS(Dataset!E6)=0,0,ABS(Dataset!E15-Dataset!E6)/(ABS(Dataset!E15)+ABS(Dataset!E6))),IF(ABS(Dataset!F15)+ABS(Dataset!F6)=0,0,ABS(Dataset!F15-Dataset!F6)/(ABS(Dataset!F15)+ABS(Dataset!F6))),IF(ABS(Dataset!G15)+ABS(Dataset!G6)=0,0,ABS(Dataset!G15-Dataset!G6)/(ABS(Dataset!G15)+ABS(Dataset!G6))))</f>
        <v>1.1085057797541449</v>
      </c>
      <c r="C45" s="13">
        <f>SUM(IF(ABS(Dataset!B15)+ABS(Dataset!B7)=0,0,ABS(Dataset!B15-Dataset!B7)/(ABS(Dataset!B15)+ABS(Dataset!B7))),IF(ABS(Dataset!C15)+ABS(Dataset!C7)=0,0,ABS(Dataset!C15-Dataset!C7)/(ABS(Dataset!C15)+ABS(Dataset!C7))),IF(ABS(Dataset!D15)+ABS(Dataset!D7)=0,0,ABS(Dataset!D15-Dataset!D7)/(ABS(Dataset!D15)+ABS(Dataset!D7))),IF(ABS(Dataset!E15)+ABS(Dataset!E7)=0,0,ABS(Dataset!E15-Dataset!E7)/(ABS(Dataset!E15)+ABS(Dataset!E7))),IF(ABS(Dataset!F15)+ABS(Dataset!F7)=0,0,ABS(Dataset!F15-Dataset!F7)/(ABS(Dataset!F15)+ABS(Dataset!F7))),IF(ABS(Dataset!G15)+ABS(Dataset!G7)=0,0,ABS(Dataset!G15-Dataset!G7)/(ABS(Dataset!G15)+ABS(Dataset!G7))))</f>
        <v>0.72694742079622987</v>
      </c>
      <c r="D45" s="13">
        <f>SUM(IF(ABS(Dataset!B15)+ABS(Dataset!B8)=0,0,ABS(Dataset!B15-Dataset!B8)/(ABS(Dataset!B15)+ABS(Dataset!B8))),IF(ABS(Dataset!C15)+ABS(Dataset!C8)=0,0,ABS(Dataset!C15-Dataset!C8)/(ABS(Dataset!C15)+ABS(Dataset!C8))),IF(ABS(Dataset!D15)+ABS(Dataset!D8)=0,0,ABS(Dataset!D15-Dataset!D8)/(ABS(Dataset!D15)+ABS(Dataset!D8))),IF(ABS(Dataset!E15)+ABS(Dataset!E8)=0,0,ABS(Dataset!E15-Dataset!E8)/(ABS(Dataset!E15)+ABS(Dataset!E8))),IF(ABS(Dataset!F15)+ABS(Dataset!F8)=0,0,ABS(Dataset!F15-Dataset!F8)/(ABS(Dataset!F15)+ABS(Dataset!F8))),IF(ABS(Dataset!G15)+ABS(Dataset!G8)=0,0,ABS(Dataset!G15-Dataset!G8)/(ABS(Dataset!G15)+ABS(Dataset!G8))))</f>
        <v>0.41928044788974461</v>
      </c>
      <c r="E45" s="13">
        <f>SUM(IF(ABS(Dataset!B15)+ABS(Dataset!B9)=0,0,ABS(Dataset!B15-Dataset!B9)/(ABS(Dataset!B15)+ABS(Dataset!B9))),IF(ABS(Dataset!C15)+ABS(Dataset!C9)=0,0,ABS(Dataset!C15-Dataset!C9)/(ABS(Dataset!C15)+ABS(Dataset!C9))),IF(ABS(Dataset!D15)+ABS(Dataset!D9)=0,0,ABS(Dataset!D15-Dataset!D9)/(ABS(Dataset!D15)+ABS(Dataset!D9))),IF(ABS(Dataset!E15)+ABS(Dataset!E9)=0,0,ABS(Dataset!E15-Dataset!E9)/(ABS(Dataset!E15)+ABS(Dataset!E9))),IF(ABS(Dataset!F15)+ABS(Dataset!F9)=0,0,ABS(Dataset!F15-Dataset!F9)/(ABS(Dataset!F15)+ABS(Dataset!F9))),IF(ABS(Dataset!G15)+ABS(Dataset!G9)=0,0,ABS(Dataset!G15-Dataset!G9)/(ABS(Dataset!G15)+ABS(Dataset!G9))))</f>
        <v>0.7422538301292555</v>
      </c>
      <c r="F45" s="13">
        <f>SUM(IF(ABS(Dataset!B15)+ABS(Dataset!B10)=0,0,ABS(Dataset!B15-Dataset!B10)/(ABS(Dataset!B15)+ABS(Dataset!B10))),IF(ABS(Dataset!C15)+ABS(Dataset!C10)=0,0,ABS(Dataset!C15-Dataset!C10)/(ABS(Dataset!C15)+ABS(Dataset!C10))),IF(ABS(Dataset!D15)+ABS(Dataset!D10)=0,0,ABS(Dataset!D15-Dataset!D10)/(ABS(Dataset!D15)+ABS(Dataset!D10))),IF(ABS(Dataset!E15)+ABS(Dataset!E10)=0,0,ABS(Dataset!E15-Dataset!E10)/(ABS(Dataset!E15)+ABS(Dataset!E10))),IF(ABS(Dataset!F15)+ABS(Dataset!F10)=0,0,ABS(Dataset!F15-Dataset!F10)/(ABS(Dataset!F15)+ABS(Dataset!F10))),IF(ABS(Dataset!G15)+ABS(Dataset!G10)=0,0,ABS(Dataset!G15-Dataset!G10)/(ABS(Dataset!G15)+ABS(Dataset!G10))))</f>
        <v>0.21699552377080128</v>
      </c>
      <c r="G45" s="13">
        <f>SUM(IF(ABS(Dataset!B15)+ABS(Dataset!B11)=0,0,ABS(Dataset!B15-Dataset!B11)/(ABS(Dataset!B15)+ABS(Dataset!B11))),IF(ABS(Dataset!C15)+ABS(Dataset!C11)=0,0,ABS(Dataset!C15-Dataset!C11)/(ABS(Dataset!C15)+ABS(Dataset!C11))),IF(ABS(Dataset!D15)+ABS(Dataset!D11)=0,0,ABS(Dataset!D15-Dataset!D11)/(ABS(Dataset!D15)+ABS(Dataset!D11))),IF(ABS(Dataset!E15)+ABS(Dataset!E11)=0,0,ABS(Dataset!E15-Dataset!E11)/(ABS(Dataset!E15)+ABS(Dataset!E11))),IF(ABS(Dataset!F15)+ABS(Dataset!F11)=0,0,ABS(Dataset!F15-Dataset!F11)/(ABS(Dataset!F15)+ABS(Dataset!F11))),IF(ABS(Dataset!G15)+ABS(Dataset!G11)=0,0,ABS(Dataset!G15-Dataset!G11)/(ABS(Dataset!G15)+ABS(Dataset!G11))))</f>
        <v>0.5713506875726112</v>
      </c>
      <c r="H45" s="13">
        <f>SUM(IF(ABS(Dataset!B15)+ABS(Dataset!B12)=0,0,ABS(Dataset!B15-Dataset!B12)/(ABS(Dataset!B15)+ABS(Dataset!B12))),IF(ABS(Dataset!C15)+ABS(Dataset!C12)=0,0,ABS(Dataset!C15-Dataset!C12)/(ABS(Dataset!C15)+ABS(Dataset!C12))),IF(ABS(Dataset!D15)+ABS(Dataset!D12)=0,0,ABS(Dataset!D15-Dataset!D12)/(ABS(Dataset!D15)+ABS(Dataset!D12))),IF(ABS(Dataset!E15)+ABS(Dataset!E12)=0,0,ABS(Dataset!E15-Dataset!E12)/(ABS(Dataset!E15)+ABS(Dataset!E12))),IF(ABS(Dataset!F15)+ABS(Dataset!F12)=0,0,ABS(Dataset!F15-Dataset!F12)/(ABS(Dataset!F15)+ABS(Dataset!F12))),IF(ABS(Dataset!G15)+ABS(Dataset!G12)=0,0,ABS(Dataset!G15-Dataset!G12)/(ABS(Dataset!G15)+ABS(Dataset!G12))))</f>
        <v>1.0331877637201323</v>
      </c>
      <c r="I45" s="13">
        <f>SUM(IF(ABS(Dataset!B15)+ABS(Dataset!B13)=0,0,ABS(Dataset!B15-Dataset!B13)/(ABS(Dataset!B15)+ABS(Dataset!B13))),IF(ABS(Dataset!C15)+ABS(Dataset!C13)=0,0,ABS(Dataset!C15-Dataset!C13)/(ABS(Dataset!C15)+ABS(Dataset!C13))),IF(ABS(Dataset!D15)+ABS(Dataset!D13)=0,0,ABS(Dataset!D15-Dataset!D13)/(ABS(Dataset!D15)+ABS(Dataset!D13))),IF(ABS(Dataset!E15)+ABS(Dataset!E13)=0,0,ABS(Dataset!E15-Dataset!E13)/(ABS(Dataset!E15)+ABS(Dataset!E13))),IF(ABS(Dataset!F15)+ABS(Dataset!F13)=0,0,ABS(Dataset!F15-Dataset!F13)/(ABS(Dataset!F15)+ABS(Dataset!F13))),IF(ABS(Dataset!G15)+ABS(Dataset!G13)=0,0,ABS(Dataset!G15-Dataset!G13)/(ABS(Dataset!G15)+ABS(Dataset!G13))))</f>
        <v>0.85166782144779651</v>
      </c>
      <c r="J45" s="13">
        <f>SUM(IF(ABS(Dataset!B15)+ABS(Dataset!B14)=0,0,ABS(Dataset!B15-Dataset!B14)/(ABS(Dataset!B15)+ABS(Dataset!B14))),IF(ABS(Dataset!C15)+ABS(Dataset!C14)=0,0,ABS(Dataset!C15-Dataset!C14)/(ABS(Dataset!C15)+ABS(Dataset!C14))),IF(ABS(Dataset!D15)+ABS(Dataset!D14)=0,0,ABS(Dataset!D15-Dataset!D14)/(ABS(Dataset!D15)+ABS(Dataset!D14))),IF(ABS(Dataset!E15)+ABS(Dataset!E14)=0,0,ABS(Dataset!E15-Dataset!E14)/(ABS(Dataset!E15)+ABS(Dataset!E14))),IF(ABS(Dataset!F15)+ABS(Dataset!F14)=0,0,ABS(Dataset!F15-Dataset!F14)/(ABS(Dataset!F15)+ABS(Dataset!F14))),IF(ABS(Dataset!G15)+ABS(Dataset!G14)=0,0,ABS(Dataset!G15-Dataset!G14)/(ABS(Dataset!G15)+ABS(Dataset!G14))))</f>
        <v>0.1756769585901331</v>
      </c>
      <c r="K45" s="13">
        <f>SUM(IF(ABS(Dataset!B15)+ABS(Dataset!B15)=0,0,ABS(Dataset!B15-Dataset!B15)/(ABS(Dataset!B15)+ABS(Dataset!B15))),IF(ABS(Dataset!C15)+ABS(Dataset!C15)=0,0,ABS(Dataset!C15-Dataset!C15)/(ABS(Dataset!C15)+ABS(Dataset!C15))),IF(ABS(Dataset!D15)+ABS(Dataset!D15)=0,0,ABS(Dataset!D15-Dataset!D15)/(ABS(Dataset!D15)+ABS(Dataset!D15))),IF(ABS(Dataset!E15)+ABS(Dataset!E15)=0,0,ABS(Dataset!E15-Dataset!E15)/(ABS(Dataset!E15)+ABS(Dataset!E15))),IF(ABS(Dataset!F15)+ABS(Dataset!F15)=0,0,ABS(Dataset!F15-Dataset!F15)/(ABS(Dataset!F15)+ABS(Dataset!F15))),IF(ABS(Dataset!G15)+ABS(Dataset!G15)=0,0,ABS(Dataset!G15-Dataset!G15)/(ABS(Dataset!G15)+ABS(Dataset!G15))))</f>
        <v>0</v>
      </c>
    </row>
    <row r="46" spans="1:1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30" customHeight="1">
      <c r="A49" s="35" t="s">
        <v>43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</row>
    <row r="50" spans="1:11" ht="43.95" customHeight="1">
      <c r="A50" s="2" t="s">
        <v>3</v>
      </c>
      <c r="B50" s="2" t="s">
        <v>13</v>
      </c>
      <c r="C50" s="2" t="s">
        <v>15</v>
      </c>
      <c r="D50" s="2" t="s">
        <v>17</v>
      </c>
      <c r="E50" s="2" t="s">
        <v>19</v>
      </c>
      <c r="F50" s="2" t="s">
        <v>21</v>
      </c>
      <c r="G50" s="2" t="s">
        <v>23</v>
      </c>
      <c r="H50" s="2" t="s">
        <v>26</v>
      </c>
      <c r="I50" s="2" t="s">
        <v>29</v>
      </c>
      <c r="J50" s="2" t="s">
        <v>32</v>
      </c>
      <c r="K50" s="2" t="s">
        <v>33</v>
      </c>
    </row>
    <row r="51" spans="1:11" ht="25.05" customHeight="1">
      <c r="A51" s="6" t="s">
        <v>13</v>
      </c>
      <c r="B51" s="11">
        <f>SUM(ABS(Dataset!B6-Dataset!B6),ABS(Dataset!C6-Dataset!C6),ABS(Dataset!D6-Dataset!D6),ABS(Dataset!E6-Dataset!E6),ABS(Dataset!F6-Dataset!F6),ABS(Dataset!G6-Dataset!G6))</f>
        <v>0</v>
      </c>
      <c r="C51" s="11">
        <f>SUM(ABS(Dataset!B6-Dataset!B7),ABS(Dataset!C6-Dataset!C7),ABS(Dataset!D6-Dataset!D7),ABS(Dataset!E6-Dataset!E7),ABS(Dataset!F6-Dataset!F7),ABS(Dataset!G6-Dataset!G7))</f>
        <v>62.2</v>
      </c>
      <c r="D51" s="11">
        <f>SUM(ABS(Dataset!B6-Dataset!B8),ABS(Dataset!C6-Dataset!C8),ABS(Dataset!D6-Dataset!D8),ABS(Dataset!E6-Dataset!E8),ABS(Dataset!F6-Dataset!F8),ABS(Dataset!G6-Dataset!G8))</f>
        <v>148.00000000000003</v>
      </c>
      <c r="E51" s="11">
        <f>SUM(ABS(Dataset!B6-Dataset!B9),ABS(Dataset!C6-Dataset!C9),ABS(Dataset!D6-Dataset!D9),ABS(Dataset!E6-Dataset!E9),ABS(Dataset!F6-Dataset!F9),ABS(Dataset!G6-Dataset!G9))</f>
        <v>91.6</v>
      </c>
      <c r="F51" s="11">
        <f>SUM(ABS(Dataset!B6-Dataset!B10),ABS(Dataset!C6-Dataset!C10),ABS(Dataset!D6-Dataset!D10),ABS(Dataset!E6-Dataset!E10),ABS(Dataset!F6-Dataset!F10),ABS(Dataset!G6-Dataset!G10))</f>
        <v>185.4</v>
      </c>
      <c r="G51" s="11">
        <f>SUM(ABS(Dataset!B6-Dataset!B11),ABS(Dataset!C6-Dataset!C11),ABS(Dataset!D6-Dataset!D11),ABS(Dataset!E6-Dataset!E11),ABS(Dataset!F6-Dataset!F11),ABS(Dataset!G6-Dataset!G11))</f>
        <v>116.1</v>
      </c>
      <c r="H51" s="11">
        <f>SUM(ABS(Dataset!B6-Dataset!B12),ABS(Dataset!C6-Dataset!C12),ABS(Dataset!D6-Dataset!D12),ABS(Dataset!E6-Dataset!E12),ABS(Dataset!F6-Dataset!F12),ABS(Dataset!G6-Dataset!G12))</f>
        <v>91.100000000000009</v>
      </c>
      <c r="I51" s="11">
        <f>SUM(ABS(Dataset!B6-Dataset!B13),ABS(Dataset!C6-Dataset!C13),ABS(Dataset!D6-Dataset!D13),ABS(Dataset!E6-Dataset!E13),ABS(Dataset!F6-Dataset!F13),ABS(Dataset!G6-Dataset!G13))</f>
        <v>100.4</v>
      </c>
      <c r="J51" s="11">
        <f>SUM(ABS(Dataset!B6-Dataset!B14),ABS(Dataset!C6-Dataset!C14),ABS(Dataset!D6-Dataset!D14),ABS(Dataset!E6-Dataset!E14),ABS(Dataset!F6-Dataset!F14),ABS(Dataset!G6-Dataset!G14))</f>
        <v>185.7</v>
      </c>
      <c r="K51" s="11">
        <f>SUM(ABS(Dataset!B6-Dataset!B15),ABS(Dataset!C6-Dataset!C15),ABS(Dataset!D6-Dataset!D15),ABS(Dataset!E6-Dataset!E15),ABS(Dataset!F6-Dataset!F15),ABS(Dataset!G6-Dataset!G15))</f>
        <v>189.1</v>
      </c>
    </row>
    <row r="52" spans="1:11" ht="25.05" customHeight="1">
      <c r="A52" s="7" t="s">
        <v>15</v>
      </c>
      <c r="B52" s="12">
        <f>SUM(ABS(Dataset!B7-Dataset!B6),ABS(Dataset!C7-Dataset!C6),ABS(Dataset!D7-Dataset!D6),ABS(Dataset!E7-Dataset!E6),ABS(Dataset!F7-Dataset!F6),ABS(Dataset!G7-Dataset!G6))</f>
        <v>62.2</v>
      </c>
      <c r="C52" s="12">
        <f>SUM(ABS(Dataset!B7-Dataset!B7),ABS(Dataset!C7-Dataset!C7),ABS(Dataset!D7-Dataset!D7),ABS(Dataset!E7-Dataset!E7),ABS(Dataset!F7-Dataset!F7),ABS(Dataset!G7-Dataset!G7))</f>
        <v>0</v>
      </c>
      <c r="D52" s="12">
        <f>SUM(ABS(Dataset!B7-Dataset!B8),ABS(Dataset!C7-Dataset!C8),ABS(Dataset!D7-Dataset!D8),ABS(Dataset!E7-Dataset!E8),ABS(Dataset!F7-Dataset!F8),ABS(Dataset!G7-Dataset!G8))</f>
        <v>85.800000000000011</v>
      </c>
      <c r="E52" s="12">
        <f>SUM(ABS(Dataset!B7-Dataset!B9),ABS(Dataset!C7-Dataset!C9),ABS(Dataset!D7-Dataset!D9),ABS(Dataset!E7-Dataset!E9),ABS(Dataset!F7-Dataset!F9),ABS(Dataset!G7-Dataset!G9))</f>
        <v>38.6</v>
      </c>
      <c r="F52" s="12">
        <f>SUM(ABS(Dataset!B7-Dataset!B10),ABS(Dataset!C7-Dataset!C10),ABS(Dataset!D7-Dataset!D10),ABS(Dataset!E7-Dataset!E10),ABS(Dataset!F7-Dataset!F10),ABS(Dataset!G7-Dataset!G10))</f>
        <v>125.19999999999999</v>
      </c>
      <c r="G52" s="12">
        <f>SUM(ABS(Dataset!B7-Dataset!B11),ABS(Dataset!C7-Dataset!C11),ABS(Dataset!D7-Dataset!D11),ABS(Dataset!E7-Dataset!E11),ABS(Dataset!F7-Dataset!F11),ABS(Dataset!G7-Dataset!G11))</f>
        <v>60.099999999999994</v>
      </c>
      <c r="H52" s="12">
        <f>SUM(ABS(Dataset!B7-Dataset!B12),ABS(Dataset!C7-Dataset!C12),ABS(Dataset!D7-Dataset!D12),ABS(Dataset!E7-Dataset!E12),ABS(Dataset!F7-Dataset!F12),ABS(Dataset!G7-Dataset!G12))</f>
        <v>43.5</v>
      </c>
      <c r="I52" s="12">
        <f>SUM(ABS(Dataset!B7-Dataset!B13),ABS(Dataset!C7-Dataset!C13),ABS(Dataset!D7-Dataset!D13),ABS(Dataset!E7-Dataset!E13),ABS(Dataset!F7-Dataset!F13),ABS(Dataset!G7-Dataset!G13))</f>
        <v>49.8</v>
      </c>
      <c r="J52" s="12">
        <f>SUM(ABS(Dataset!B7-Dataset!B14),ABS(Dataset!C7-Dataset!C14),ABS(Dataset!D7-Dataset!D14),ABS(Dataset!E7-Dataset!E14),ABS(Dataset!F7-Dataset!F14),ABS(Dataset!G7-Dataset!G14))</f>
        <v>135.5</v>
      </c>
      <c r="K52" s="12">
        <f>SUM(ABS(Dataset!B7-Dataset!B15),ABS(Dataset!C7-Dataset!C15),ABS(Dataset!D7-Dataset!D15),ABS(Dataset!E7-Dataset!E15),ABS(Dataset!F7-Dataset!F15),ABS(Dataset!G7-Dataset!G15))</f>
        <v>142.9</v>
      </c>
    </row>
    <row r="53" spans="1:11" ht="25.05" customHeight="1">
      <c r="A53" s="6" t="s">
        <v>17</v>
      </c>
      <c r="B53" s="11">
        <f>SUM(ABS(Dataset!B8-Dataset!B6),ABS(Dataset!C8-Dataset!C6),ABS(Dataset!D8-Dataset!D6),ABS(Dataset!E8-Dataset!E6),ABS(Dataset!F8-Dataset!F6),ABS(Dataset!G8-Dataset!G6))</f>
        <v>148.00000000000003</v>
      </c>
      <c r="C53" s="11">
        <f>SUM(ABS(Dataset!B8-Dataset!B7),ABS(Dataset!C8-Dataset!C7),ABS(Dataset!D8-Dataset!D7),ABS(Dataset!E8-Dataset!E7),ABS(Dataset!F8-Dataset!F7),ABS(Dataset!G8-Dataset!G7))</f>
        <v>85.800000000000011</v>
      </c>
      <c r="D53" s="11">
        <f>SUM(ABS(Dataset!B8-Dataset!B8),ABS(Dataset!C8-Dataset!C8),ABS(Dataset!D8-Dataset!D8),ABS(Dataset!E8-Dataset!E8),ABS(Dataset!F8-Dataset!F8),ABS(Dataset!G8-Dataset!G8))</f>
        <v>0</v>
      </c>
      <c r="E53" s="11">
        <f>SUM(ABS(Dataset!B8-Dataset!B9),ABS(Dataset!C8-Dataset!C9),ABS(Dataset!D8-Dataset!D9),ABS(Dataset!E8-Dataset!E9),ABS(Dataset!F8-Dataset!F9),ABS(Dataset!G8-Dataset!G9))</f>
        <v>60.400000000000006</v>
      </c>
      <c r="F53" s="11">
        <f>SUM(ABS(Dataset!B8-Dataset!B10),ABS(Dataset!C8-Dataset!C10),ABS(Dataset!D8-Dataset!D10),ABS(Dataset!E8-Dataset!E10),ABS(Dataset!F8-Dataset!F10),ABS(Dataset!G8-Dataset!G10))</f>
        <v>46.400000000000006</v>
      </c>
      <c r="G53" s="11">
        <f>SUM(ABS(Dataset!B8-Dataset!B11),ABS(Dataset!C8-Dataset!C11),ABS(Dataset!D8-Dataset!D11),ABS(Dataset!E8-Dataset!E11),ABS(Dataset!F8-Dataset!F11),ABS(Dataset!G8-Dataset!G11))</f>
        <v>31.9</v>
      </c>
      <c r="H53" s="11">
        <f>SUM(ABS(Dataset!B8-Dataset!B12),ABS(Dataset!C8-Dataset!C12),ABS(Dataset!D8-Dataset!D12),ABS(Dataset!E8-Dataset!E12),ABS(Dataset!F8-Dataset!F12),ABS(Dataset!G8-Dataset!G12))</f>
        <v>95.300000000000011</v>
      </c>
      <c r="I53" s="11">
        <f>SUM(ABS(Dataset!B8-Dataset!B13),ABS(Dataset!C8-Dataset!C13),ABS(Dataset!D8-Dataset!D13),ABS(Dataset!E8-Dataset!E13),ABS(Dataset!F8-Dataset!F13),ABS(Dataset!G8-Dataset!G13))</f>
        <v>77.600000000000009</v>
      </c>
      <c r="J53" s="11">
        <f>SUM(ABS(Dataset!B8-Dataset!B14),ABS(Dataset!C8-Dataset!C14),ABS(Dataset!D8-Dataset!D14),ABS(Dataset!E8-Dataset!E14),ABS(Dataset!F8-Dataset!F14),ABS(Dataset!G8-Dataset!G14))</f>
        <v>56.9</v>
      </c>
      <c r="K53" s="11">
        <f>SUM(ABS(Dataset!B8-Dataset!B15),ABS(Dataset!C8-Dataset!C15),ABS(Dataset!D8-Dataset!D15),ABS(Dataset!E8-Dataset!E15),ABS(Dataset!F8-Dataset!F15),ABS(Dataset!G8-Dataset!G15))</f>
        <v>68.300000000000011</v>
      </c>
    </row>
    <row r="54" spans="1:11" ht="25.05" customHeight="1">
      <c r="A54" s="7" t="s">
        <v>19</v>
      </c>
      <c r="B54" s="12">
        <f>SUM(ABS(Dataset!B9-Dataset!B6),ABS(Dataset!C9-Dataset!C6),ABS(Dataset!D9-Dataset!D6),ABS(Dataset!E9-Dataset!E6),ABS(Dataset!F9-Dataset!F6),ABS(Dataset!G9-Dataset!G6))</f>
        <v>91.6</v>
      </c>
      <c r="C54" s="12">
        <f>SUM(ABS(Dataset!B9-Dataset!B7),ABS(Dataset!C9-Dataset!C7),ABS(Dataset!D9-Dataset!D7),ABS(Dataset!E9-Dataset!E7),ABS(Dataset!F9-Dataset!F7),ABS(Dataset!G9-Dataset!G7))</f>
        <v>38.6</v>
      </c>
      <c r="D54" s="12">
        <f>SUM(ABS(Dataset!B9-Dataset!B8),ABS(Dataset!C9-Dataset!C8),ABS(Dataset!D9-Dataset!D8),ABS(Dataset!E9-Dataset!E8),ABS(Dataset!F9-Dataset!F8),ABS(Dataset!G9-Dataset!G8))</f>
        <v>60.400000000000006</v>
      </c>
      <c r="E54" s="12">
        <f>SUM(ABS(Dataset!B9-Dataset!B9),ABS(Dataset!C9-Dataset!C9),ABS(Dataset!D9-Dataset!D9),ABS(Dataset!E9-Dataset!E9),ABS(Dataset!F9-Dataset!F9),ABS(Dataset!G9-Dataset!G9))</f>
        <v>0</v>
      </c>
      <c r="F54" s="12">
        <f>SUM(ABS(Dataset!B9-Dataset!B10),ABS(Dataset!C9-Dataset!C10),ABS(Dataset!D9-Dataset!D10),ABS(Dataset!E9-Dataset!E10),ABS(Dataset!F9-Dataset!F10),ABS(Dataset!G9-Dataset!G10))</f>
        <v>105.8</v>
      </c>
      <c r="G54" s="12">
        <f>SUM(ABS(Dataset!B9-Dataset!B11),ABS(Dataset!C9-Dataset!C11),ABS(Dataset!D9-Dataset!D11),ABS(Dataset!E9-Dataset!E11),ABS(Dataset!F9-Dataset!F11),ABS(Dataset!G9-Dataset!G11))</f>
        <v>30.700000000000003</v>
      </c>
      <c r="H54" s="12">
        <f>SUM(ABS(Dataset!B9-Dataset!B12),ABS(Dataset!C9-Dataset!C12),ABS(Dataset!D9-Dataset!D12),ABS(Dataset!E9-Dataset!E12),ABS(Dataset!F9-Dataset!F12),ABS(Dataset!G9-Dataset!G12))</f>
        <v>34.9</v>
      </c>
      <c r="I54" s="12">
        <f>SUM(ABS(Dataset!B9-Dataset!B13),ABS(Dataset!C9-Dataset!C13),ABS(Dataset!D9-Dataset!D13),ABS(Dataset!E9-Dataset!E13),ABS(Dataset!F9-Dataset!F13),ABS(Dataset!G9-Dataset!G13))</f>
        <v>24</v>
      </c>
      <c r="J54" s="12">
        <f>SUM(ABS(Dataset!B9-Dataset!B14),ABS(Dataset!C9-Dataset!C14),ABS(Dataset!D9-Dataset!D14),ABS(Dataset!E9-Dataset!E14),ABS(Dataset!F9-Dataset!F14),ABS(Dataset!G9-Dataset!G14))</f>
        <v>116.1</v>
      </c>
      <c r="K54" s="12">
        <f>SUM(ABS(Dataset!B9-Dataset!B15),ABS(Dataset!C9-Dataset!C15),ABS(Dataset!D9-Dataset!D15),ABS(Dataset!E9-Dataset!E15),ABS(Dataset!F9-Dataset!F15),ABS(Dataset!G9-Dataset!G15))</f>
        <v>122.30000000000001</v>
      </c>
    </row>
    <row r="55" spans="1:11" ht="25.05" customHeight="1">
      <c r="A55" s="6" t="s">
        <v>21</v>
      </c>
      <c r="B55" s="11">
        <f>SUM(ABS(Dataset!B10-Dataset!B6),ABS(Dataset!C10-Dataset!C6),ABS(Dataset!D10-Dataset!D6),ABS(Dataset!E10-Dataset!E6),ABS(Dataset!F10-Dataset!F6),ABS(Dataset!G10-Dataset!G6))</f>
        <v>185.4</v>
      </c>
      <c r="C55" s="11">
        <f>SUM(ABS(Dataset!B10-Dataset!B7),ABS(Dataset!C10-Dataset!C7),ABS(Dataset!D10-Dataset!D7),ABS(Dataset!E10-Dataset!E7),ABS(Dataset!F10-Dataset!F7),ABS(Dataset!G10-Dataset!G7))</f>
        <v>125.19999999999999</v>
      </c>
      <c r="D55" s="11">
        <f>SUM(ABS(Dataset!B10-Dataset!B8),ABS(Dataset!C10-Dataset!C8),ABS(Dataset!D10-Dataset!D8),ABS(Dataset!E10-Dataset!E8),ABS(Dataset!F10-Dataset!F8),ABS(Dataset!G10-Dataset!G8))</f>
        <v>46.400000000000006</v>
      </c>
      <c r="E55" s="11">
        <f>SUM(ABS(Dataset!B10-Dataset!B9),ABS(Dataset!C10-Dataset!C9),ABS(Dataset!D10-Dataset!D9),ABS(Dataset!E10-Dataset!E9),ABS(Dataset!F10-Dataset!F9),ABS(Dataset!G10-Dataset!G9))</f>
        <v>105.8</v>
      </c>
      <c r="F55" s="11">
        <f>SUM(ABS(Dataset!B10-Dataset!B10),ABS(Dataset!C10-Dataset!C10),ABS(Dataset!D10-Dataset!D10),ABS(Dataset!E10-Dataset!E10),ABS(Dataset!F10-Dataset!F10),ABS(Dataset!G10-Dataset!G10))</f>
        <v>0</v>
      </c>
      <c r="G55" s="11">
        <f>SUM(ABS(Dataset!B10-Dataset!B11),ABS(Dataset!C10-Dataset!C11),ABS(Dataset!D10-Dataset!D11),ABS(Dataset!E10-Dataset!E11),ABS(Dataset!F10-Dataset!F11),ABS(Dataset!G10-Dataset!G11))</f>
        <v>77.3</v>
      </c>
      <c r="H55" s="11">
        <f>SUM(ABS(Dataset!B10-Dataset!B12),ABS(Dataset!C10-Dataset!C12),ABS(Dataset!D10-Dataset!D12),ABS(Dataset!E10-Dataset!E12),ABS(Dataset!F10-Dataset!F12),ABS(Dataset!G10-Dataset!G12))</f>
        <v>140.69999999999999</v>
      </c>
      <c r="I55" s="11">
        <f>SUM(ABS(Dataset!B10-Dataset!B13),ABS(Dataset!C10-Dataset!C13),ABS(Dataset!D10-Dataset!D13),ABS(Dataset!E10-Dataset!E13),ABS(Dataset!F10-Dataset!F13),ABS(Dataset!G10-Dataset!G13))</f>
        <v>123</v>
      </c>
      <c r="J55" s="11">
        <f>SUM(ABS(Dataset!B10-Dataset!B14),ABS(Dataset!C10-Dataset!C14),ABS(Dataset!D10-Dataset!D14),ABS(Dataset!E10-Dataset!E14),ABS(Dataset!F10-Dataset!F14),ABS(Dataset!G10-Dataset!G14))</f>
        <v>11.700000000000003</v>
      </c>
      <c r="K55" s="11">
        <f>SUM(ABS(Dataset!B10-Dataset!B15),ABS(Dataset!C10-Dataset!C15),ABS(Dataset!D10-Dataset!D15),ABS(Dataset!E10-Dataset!E15),ABS(Dataset!F10-Dataset!F15),ABS(Dataset!G10-Dataset!G15))</f>
        <v>21.900000000000002</v>
      </c>
    </row>
    <row r="56" spans="1:11" ht="25.05" customHeight="1">
      <c r="A56" s="7" t="s">
        <v>23</v>
      </c>
      <c r="B56" s="12">
        <f>SUM(ABS(Dataset!B11-Dataset!B6),ABS(Dataset!C11-Dataset!C6),ABS(Dataset!D11-Dataset!D6),ABS(Dataset!E11-Dataset!E6),ABS(Dataset!F11-Dataset!F6),ABS(Dataset!G11-Dataset!G6))</f>
        <v>116.1</v>
      </c>
      <c r="C56" s="12">
        <f>SUM(ABS(Dataset!B11-Dataset!B7),ABS(Dataset!C11-Dataset!C7),ABS(Dataset!D11-Dataset!D7),ABS(Dataset!E11-Dataset!E7),ABS(Dataset!F11-Dataset!F7),ABS(Dataset!G11-Dataset!G7))</f>
        <v>60.099999999999994</v>
      </c>
      <c r="D56" s="12">
        <f>SUM(ABS(Dataset!B11-Dataset!B8),ABS(Dataset!C11-Dataset!C8),ABS(Dataset!D11-Dataset!D8),ABS(Dataset!E11-Dataset!E8),ABS(Dataset!F11-Dataset!F8),ABS(Dataset!G11-Dataset!G8))</f>
        <v>31.9</v>
      </c>
      <c r="E56" s="12">
        <f>SUM(ABS(Dataset!B11-Dataset!B9),ABS(Dataset!C11-Dataset!C9),ABS(Dataset!D11-Dataset!D9),ABS(Dataset!E11-Dataset!E9),ABS(Dataset!F11-Dataset!F9),ABS(Dataset!G11-Dataset!G9))</f>
        <v>30.700000000000003</v>
      </c>
      <c r="F56" s="12">
        <f>SUM(ABS(Dataset!B11-Dataset!B10),ABS(Dataset!C11-Dataset!C10),ABS(Dataset!D11-Dataset!D10),ABS(Dataset!E11-Dataset!E10),ABS(Dataset!F11-Dataset!F10),ABS(Dataset!G11-Dataset!G10))</f>
        <v>77.3</v>
      </c>
      <c r="G56" s="12">
        <f>SUM(ABS(Dataset!B11-Dataset!B11),ABS(Dataset!C11-Dataset!C11),ABS(Dataset!D11-Dataset!D11),ABS(Dataset!E11-Dataset!E11),ABS(Dataset!F11-Dataset!F11),ABS(Dataset!G11-Dataset!G11))</f>
        <v>0</v>
      </c>
      <c r="H56" s="12">
        <f>SUM(ABS(Dataset!B11-Dataset!B12),ABS(Dataset!C11-Dataset!C12),ABS(Dataset!D11-Dataset!D12),ABS(Dataset!E11-Dataset!E12),ABS(Dataset!F11-Dataset!F12),ABS(Dataset!G11-Dataset!G12))</f>
        <v>63.400000000000006</v>
      </c>
      <c r="I56" s="12">
        <f>SUM(ABS(Dataset!B11-Dataset!B13),ABS(Dataset!C11-Dataset!C13),ABS(Dataset!D11-Dataset!D13),ABS(Dataset!E11-Dataset!E13),ABS(Dataset!F11-Dataset!F13),ABS(Dataset!G11-Dataset!G13))</f>
        <v>45.7</v>
      </c>
      <c r="J56" s="12">
        <f>SUM(ABS(Dataset!B11-Dataset!B14),ABS(Dataset!C11-Dataset!C14),ABS(Dataset!D11-Dataset!D14),ABS(Dataset!E11-Dataset!E14),ABS(Dataset!F11-Dataset!F14),ABS(Dataset!G11-Dataset!G14))</f>
        <v>87.600000000000009</v>
      </c>
      <c r="K56" s="12">
        <f>SUM(ABS(Dataset!B11-Dataset!B15),ABS(Dataset!C11-Dataset!C15),ABS(Dataset!D11-Dataset!D15),ABS(Dataset!E11-Dataset!E15),ABS(Dataset!F11-Dataset!F15),ABS(Dataset!G11-Dataset!G15))</f>
        <v>93</v>
      </c>
    </row>
    <row r="57" spans="1:11" ht="25.05" customHeight="1">
      <c r="A57" s="6" t="s">
        <v>26</v>
      </c>
      <c r="B57" s="11">
        <f>SUM(ABS(Dataset!B12-Dataset!B6),ABS(Dataset!C12-Dataset!C6),ABS(Dataset!D12-Dataset!D6),ABS(Dataset!E12-Dataset!E6),ABS(Dataset!F12-Dataset!F6),ABS(Dataset!G12-Dataset!G6))</f>
        <v>91.100000000000009</v>
      </c>
      <c r="C57" s="11">
        <f>SUM(ABS(Dataset!B12-Dataset!B7),ABS(Dataset!C12-Dataset!C7),ABS(Dataset!D12-Dataset!D7),ABS(Dataset!E12-Dataset!E7),ABS(Dataset!F12-Dataset!F7),ABS(Dataset!G12-Dataset!G7))</f>
        <v>43.5</v>
      </c>
      <c r="D57" s="11">
        <f>SUM(ABS(Dataset!B12-Dataset!B8),ABS(Dataset!C12-Dataset!C8),ABS(Dataset!D12-Dataset!D8),ABS(Dataset!E12-Dataset!E8),ABS(Dataset!F12-Dataset!F8),ABS(Dataset!G12-Dataset!G8))</f>
        <v>95.300000000000011</v>
      </c>
      <c r="E57" s="11">
        <f>SUM(ABS(Dataset!B12-Dataset!B9),ABS(Dataset!C12-Dataset!C9),ABS(Dataset!D12-Dataset!D9),ABS(Dataset!E12-Dataset!E9),ABS(Dataset!F12-Dataset!F9),ABS(Dataset!G12-Dataset!G9))</f>
        <v>34.9</v>
      </c>
      <c r="F57" s="11">
        <f>SUM(ABS(Dataset!B12-Dataset!B10),ABS(Dataset!C12-Dataset!C10),ABS(Dataset!D12-Dataset!D10),ABS(Dataset!E12-Dataset!E10),ABS(Dataset!F12-Dataset!F10),ABS(Dataset!G12-Dataset!G10))</f>
        <v>140.69999999999999</v>
      </c>
      <c r="G57" s="11">
        <f>SUM(ABS(Dataset!B12-Dataset!B11),ABS(Dataset!C12-Dataset!C11),ABS(Dataset!D12-Dataset!D11),ABS(Dataset!E12-Dataset!E11),ABS(Dataset!F12-Dataset!F11),ABS(Dataset!G12-Dataset!G11))</f>
        <v>63.400000000000006</v>
      </c>
      <c r="H57" s="11">
        <f>SUM(ABS(Dataset!B12-Dataset!B12),ABS(Dataset!C12-Dataset!C12),ABS(Dataset!D12-Dataset!D12),ABS(Dataset!E12-Dataset!E12),ABS(Dataset!F12-Dataset!F12),ABS(Dataset!G12-Dataset!G12))</f>
        <v>0</v>
      </c>
      <c r="I57" s="11">
        <f>SUM(ABS(Dataset!B12-Dataset!B13),ABS(Dataset!C12-Dataset!C13),ABS(Dataset!D12-Dataset!D13),ABS(Dataset!E12-Dataset!E13),ABS(Dataset!F12-Dataset!F13),ABS(Dataset!G12-Dataset!G13))</f>
        <v>17.699999999999996</v>
      </c>
      <c r="J57" s="11">
        <f>SUM(ABS(Dataset!B12-Dataset!B14),ABS(Dataset!C12-Dataset!C14),ABS(Dataset!D12-Dataset!D14),ABS(Dataset!E12-Dataset!E14),ABS(Dataset!F12-Dataset!F14),ABS(Dataset!G12-Dataset!G14))</f>
        <v>151</v>
      </c>
      <c r="K57" s="11">
        <f>SUM(ABS(Dataset!B12-Dataset!B15),ABS(Dataset!C12-Dataset!C15),ABS(Dataset!D12-Dataset!D15),ABS(Dataset!E12-Dataset!E15),ABS(Dataset!F12-Dataset!F15),ABS(Dataset!G12-Dataset!G15))</f>
        <v>156.39999999999998</v>
      </c>
    </row>
    <row r="58" spans="1:11" ht="25.05" customHeight="1">
      <c r="A58" s="7" t="s">
        <v>29</v>
      </c>
      <c r="B58" s="12">
        <f>SUM(ABS(Dataset!B13-Dataset!B6),ABS(Dataset!C13-Dataset!C6),ABS(Dataset!D13-Dataset!D6),ABS(Dataset!E13-Dataset!E6),ABS(Dataset!F13-Dataset!F6),ABS(Dataset!G13-Dataset!G6))</f>
        <v>100.4</v>
      </c>
      <c r="C58" s="12">
        <f>SUM(ABS(Dataset!B13-Dataset!B7),ABS(Dataset!C13-Dataset!C7),ABS(Dataset!D13-Dataset!D7),ABS(Dataset!E13-Dataset!E7),ABS(Dataset!F13-Dataset!F7),ABS(Dataset!G13-Dataset!G7))</f>
        <v>49.8</v>
      </c>
      <c r="D58" s="12">
        <f>SUM(ABS(Dataset!B13-Dataset!B8),ABS(Dataset!C13-Dataset!C8),ABS(Dataset!D13-Dataset!D8),ABS(Dataset!E13-Dataset!E8),ABS(Dataset!F13-Dataset!F8),ABS(Dataset!G13-Dataset!G8))</f>
        <v>77.600000000000009</v>
      </c>
      <c r="E58" s="12">
        <f>SUM(ABS(Dataset!B13-Dataset!B9),ABS(Dataset!C13-Dataset!C9),ABS(Dataset!D13-Dataset!D9),ABS(Dataset!E13-Dataset!E9),ABS(Dataset!F13-Dataset!F9),ABS(Dataset!G13-Dataset!G9))</f>
        <v>24</v>
      </c>
      <c r="F58" s="12">
        <f>SUM(ABS(Dataset!B13-Dataset!B10),ABS(Dataset!C13-Dataset!C10),ABS(Dataset!D13-Dataset!D10),ABS(Dataset!E13-Dataset!E10),ABS(Dataset!F13-Dataset!F10),ABS(Dataset!G13-Dataset!G10))</f>
        <v>123</v>
      </c>
      <c r="G58" s="12">
        <f>SUM(ABS(Dataset!B13-Dataset!B11),ABS(Dataset!C13-Dataset!C11),ABS(Dataset!D13-Dataset!D11),ABS(Dataset!E13-Dataset!E11),ABS(Dataset!F13-Dataset!F11),ABS(Dataset!G13-Dataset!G11))</f>
        <v>45.7</v>
      </c>
      <c r="H58" s="12">
        <f>SUM(ABS(Dataset!B13-Dataset!B12),ABS(Dataset!C13-Dataset!C12),ABS(Dataset!D13-Dataset!D12),ABS(Dataset!E13-Dataset!E12),ABS(Dataset!F13-Dataset!F12),ABS(Dataset!G13-Dataset!G12))</f>
        <v>17.699999999999996</v>
      </c>
      <c r="I58" s="12">
        <f>SUM(ABS(Dataset!B13-Dataset!B13),ABS(Dataset!C13-Dataset!C13),ABS(Dataset!D13-Dataset!D13),ABS(Dataset!E13-Dataset!E13),ABS(Dataset!F13-Dataset!F13),ABS(Dataset!G13-Dataset!G13))</f>
        <v>0</v>
      </c>
      <c r="J58" s="12">
        <f>SUM(ABS(Dataset!B13-Dataset!B14),ABS(Dataset!C13-Dataset!C14),ABS(Dataset!D13-Dataset!D14),ABS(Dataset!E13-Dataset!E14),ABS(Dataset!F13-Dataset!F14),ABS(Dataset!G13-Dataset!G14))</f>
        <v>133.30000000000001</v>
      </c>
      <c r="K58" s="12">
        <f>SUM(ABS(Dataset!B13-Dataset!B15),ABS(Dataset!C13-Dataset!C15),ABS(Dataset!D13-Dataset!D15),ABS(Dataset!E13-Dataset!E15),ABS(Dataset!F13-Dataset!F15),ABS(Dataset!G13-Dataset!G15))</f>
        <v>138.70000000000002</v>
      </c>
    </row>
    <row r="59" spans="1:11" ht="25.05" customHeight="1">
      <c r="A59" s="6" t="s">
        <v>32</v>
      </c>
      <c r="B59" s="11">
        <f>SUM(ABS(Dataset!B14-Dataset!B6),ABS(Dataset!C14-Dataset!C6),ABS(Dataset!D14-Dataset!D6),ABS(Dataset!E14-Dataset!E6),ABS(Dataset!F14-Dataset!F6),ABS(Dataset!G14-Dataset!G6))</f>
        <v>185.7</v>
      </c>
      <c r="C59" s="11">
        <f>SUM(ABS(Dataset!B14-Dataset!B7),ABS(Dataset!C14-Dataset!C7),ABS(Dataset!D14-Dataset!D7),ABS(Dataset!E14-Dataset!E7),ABS(Dataset!F14-Dataset!F7),ABS(Dataset!G14-Dataset!G7))</f>
        <v>135.5</v>
      </c>
      <c r="D59" s="11">
        <f>SUM(ABS(Dataset!B14-Dataset!B8),ABS(Dataset!C14-Dataset!C8),ABS(Dataset!D14-Dataset!D8),ABS(Dataset!E14-Dataset!E8),ABS(Dataset!F14-Dataset!F8),ABS(Dataset!G14-Dataset!G8))</f>
        <v>56.9</v>
      </c>
      <c r="E59" s="11">
        <f>SUM(ABS(Dataset!B14-Dataset!B9),ABS(Dataset!C14-Dataset!C9),ABS(Dataset!D14-Dataset!D9),ABS(Dataset!E14-Dataset!E9),ABS(Dataset!F14-Dataset!F9),ABS(Dataset!G14-Dataset!G9))</f>
        <v>116.1</v>
      </c>
      <c r="F59" s="11">
        <f>SUM(ABS(Dataset!B14-Dataset!B10),ABS(Dataset!C14-Dataset!C10),ABS(Dataset!D14-Dataset!D10),ABS(Dataset!E14-Dataset!E10),ABS(Dataset!F14-Dataset!F10),ABS(Dataset!G14-Dataset!G10))</f>
        <v>11.700000000000003</v>
      </c>
      <c r="G59" s="11">
        <f>SUM(ABS(Dataset!B14-Dataset!B11),ABS(Dataset!C14-Dataset!C11),ABS(Dataset!D14-Dataset!D11),ABS(Dataset!E14-Dataset!E11),ABS(Dataset!F14-Dataset!F11),ABS(Dataset!G14-Dataset!G11))</f>
        <v>87.600000000000009</v>
      </c>
      <c r="H59" s="11">
        <f>SUM(ABS(Dataset!B14-Dataset!B12),ABS(Dataset!C14-Dataset!C12),ABS(Dataset!D14-Dataset!D12),ABS(Dataset!E14-Dataset!E12),ABS(Dataset!F14-Dataset!F12),ABS(Dataset!G14-Dataset!G12))</f>
        <v>151</v>
      </c>
      <c r="I59" s="11">
        <f>SUM(ABS(Dataset!B14-Dataset!B13),ABS(Dataset!C14-Dataset!C13),ABS(Dataset!D14-Dataset!D13),ABS(Dataset!E14-Dataset!E13),ABS(Dataset!F14-Dataset!F13),ABS(Dataset!G14-Dataset!G13))</f>
        <v>133.30000000000001</v>
      </c>
      <c r="J59" s="11">
        <f>SUM(ABS(Dataset!B14-Dataset!B14),ABS(Dataset!C14-Dataset!C14),ABS(Dataset!D14-Dataset!D14),ABS(Dataset!E14-Dataset!E14),ABS(Dataset!F14-Dataset!F14),ABS(Dataset!G14-Dataset!G14))</f>
        <v>0</v>
      </c>
      <c r="K59" s="11">
        <f>SUM(ABS(Dataset!B14-Dataset!B15),ABS(Dataset!C14-Dataset!C15),ABS(Dataset!D14-Dataset!D15),ABS(Dataset!E14-Dataset!E15),ABS(Dataset!F14-Dataset!F15),ABS(Dataset!G14-Dataset!G15))</f>
        <v>11.400000000000002</v>
      </c>
    </row>
    <row r="60" spans="1:11" ht="25.05" customHeight="1">
      <c r="A60" s="8" t="s">
        <v>33</v>
      </c>
      <c r="B60" s="13">
        <f>SUM(ABS(Dataset!B15-Dataset!B6),ABS(Dataset!C15-Dataset!C6),ABS(Dataset!D15-Dataset!D6),ABS(Dataset!E15-Dataset!E6),ABS(Dataset!F15-Dataset!F6),ABS(Dataset!G15-Dataset!G6))</f>
        <v>189.1</v>
      </c>
      <c r="C60" s="13">
        <f>SUM(ABS(Dataset!B15-Dataset!B7),ABS(Dataset!C15-Dataset!C7),ABS(Dataset!D15-Dataset!D7),ABS(Dataset!E15-Dataset!E7),ABS(Dataset!F15-Dataset!F7),ABS(Dataset!G15-Dataset!G7))</f>
        <v>142.9</v>
      </c>
      <c r="D60" s="13">
        <f>SUM(ABS(Dataset!B15-Dataset!B8),ABS(Dataset!C15-Dataset!C8),ABS(Dataset!D15-Dataset!D8),ABS(Dataset!E15-Dataset!E8),ABS(Dataset!F15-Dataset!F8),ABS(Dataset!G15-Dataset!G8))</f>
        <v>68.300000000000011</v>
      </c>
      <c r="E60" s="13">
        <f>SUM(ABS(Dataset!B15-Dataset!B9),ABS(Dataset!C15-Dataset!C9),ABS(Dataset!D15-Dataset!D9),ABS(Dataset!E15-Dataset!E9),ABS(Dataset!F15-Dataset!F9),ABS(Dataset!G15-Dataset!G9))</f>
        <v>122.30000000000001</v>
      </c>
      <c r="F60" s="13">
        <f>SUM(ABS(Dataset!B15-Dataset!B10),ABS(Dataset!C15-Dataset!C10),ABS(Dataset!D15-Dataset!D10),ABS(Dataset!E15-Dataset!E10),ABS(Dataset!F15-Dataset!F10),ABS(Dataset!G15-Dataset!G10))</f>
        <v>21.900000000000002</v>
      </c>
      <c r="G60" s="13">
        <f>SUM(ABS(Dataset!B15-Dataset!B11),ABS(Dataset!C15-Dataset!C11),ABS(Dataset!D15-Dataset!D11),ABS(Dataset!E15-Dataset!E11),ABS(Dataset!F15-Dataset!F11),ABS(Dataset!G15-Dataset!G11))</f>
        <v>93</v>
      </c>
      <c r="H60" s="13">
        <f>SUM(ABS(Dataset!B15-Dataset!B12),ABS(Dataset!C15-Dataset!C12),ABS(Dataset!D15-Dataset!D12),ABS(Dataset!E15-Dataset!E12),ABS(Dataset!F15-Dataset!F12),ABS(Dataset!G15-Dataset!G12))</f>
        <v>156.39999999999998</v>
      </c>
      <c r="I60" s="13">
        <f>SUM(ABS(Dataset!B15-Dataset!B13),ABS(Dataset!C15-Dataset!C13),ABS(Dataset!D15-Dataset!D13),ABS(Dataset!E15-Dataset!E13),ABS(Dataset!F15-Dataset!F13),ABS(Dataset!G15-Dataset!G13))</f>
        <v>138.70000000000002</v>
      </c>
      <c r="J60" s="13">
        <f>SUM(ABS(Dataset!B15-Dataset!B14),ABS(Dataset!C15-Dataset!C14),ABS(Dataset!D15-Dataset!D14),ABS(Dataset!E15-Dataset!E14),ABS(Dataset!F15-Dataset!F14),ABS(Dataset!G15-Dataset!G14))</f>
        <v>11.400000000000002</v>
      </c>
      <c r="K60" s="13">
        <f>SUM(ABS(Dataset!B15-Dataset!B15),ABS(Dataset!C15-Dataset!C15),ABS(Dataset!D15-Dataset!D15),ABS(Dataset!E15-Dataset!E15),ABS(Dataset!F15-Dataset!F15),ABS(Dataset!G15-Dataset!G15))</f>
        <v>0</v>
      </c>
    </row>
    <row r="61" spans="1:1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spans="1:1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1:11" ht="30" customHeight="1">
      <c r="A64" s="35" t="s">
        <v>44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</row>
    <row r="65" spans="1:11" ht="43.95" customHeight="1">
      <c r="A65" s="2" t="s">
        <v>3</v>
      </c>
      <c r="B65" s="2" t="s">
        <v>13</v>
      </c>
      <c r="C65" s="2" t="s">
        <v>15</v>
      </c>
      <c r="D65" s="2" t="s">
        <v>17</v>
      </c>
      <c r="E65" s="2" t="s">
        <v>19</v>
      </c>
      <c r="F65" s="2" t="s">
        <v>21</v>
      </c>
      <c r="G65" s="2" t="s">
        <v>23</v>
      </c>
      <c r="H65" s="2" t="s">
        <v>26</v>
      </c>
      <c r="I65" s="2" t="s">
        <v>29</v>
      </c>
      <c r="J65" s="2" t="s">
        <v>32</v>
      </c>
      <c r="K65" s="2" t="s">
        <v>33</v>
      </c>
    </row>
    <row r="66" spans="1:11" ht="25.05" customHeight="1">
      <c r="A66" s="6" t="s">
        <v>13</v>
      </c>
      <c r="B66" s="11">
        <f>SQRT(SUM((Dataset!B20-Dataset!B20)^2,(Dataset!C20-Dataset!C20)^2,(Dataset!D20-Dataset!D20)^2,(Dataset!E20-Dataset!E20)^2,(Dataset!F20-Dataset!F20)^2,(Dataset!G20-Dataset!G20)^2))</f>
        <v>0</v>
      </c>
      <c r="C66" s="11">
        <f>SQRT(SUM((Dataset!B20-Dataset!B21)^2,(Dataset!C20-Dataset!C21)^2,(Dataset!D20-Dataset!D21)^2,(Dataset!E20-Dataset!E21)^2,(Dataset!F20-Dataset!F21)^2,(Dataset!G20-Dataset!G21)^2))</f>
        <v>0.94293166170735865</v>
      </c>
      <c r="D66" s="11">
        <f>SQRT(SUM((Dataset!B20-Dataset!B22)^2,(Dataset!C20-Dataset!C22)^2,(Dataset!D20-Dataset!D22)^2,(Dataset!E20-Dataset!E22)^2,(Dataset!F20-Dataset!F22)^2,(Dataset!G20-Dataset!G22)^2))</f>
        <v>1.7263663528314972</v>
      </c>
      <c r="E66" s="11">
        <f>SQRT(SUM((Dataset!B20-Dataset!B23)^2,(Dataset!C20-Dataset!C23)^2,(Dataset!D20-Dataset!D23)^2,(Dataset!E20-Dataset!E23)^2,(Dataset!F20-Dataset!F23)^2,(Dataset!G20-Dataset!G23)^2))</f>
        <v>0.91098762074025208</v>
      </c>
      <c r="F66" s="11">
        <f>SQRT(SUM((Dataset!B20-Dataset!B24)^2,(Dataset!C20-Dataset!C24)^2,(Dataset!D20-Dataset!D24)^2,(Dataset!E20-Dataset!E24)^2,(Dataset!F20-Dataset!F24)^2,(Dataset!G20-Dataset!G24)^2))</f>
        <v>1.9764863550120746</v>
      </c>
      <c r="G66" s="11">
        <f>SQRT(SUM((Dataset!B20-Dataset!B25)^2,(Dataset!C20-Dataset!C25)^2,(Dataset!D20-Dataset!D25)^2,(Dataset!E20-Dataset!E25)^2,(Dataset!F20-Dataset!F25)^2,(Dataset!G20-Dataset!G25)^2))</f>
        <v>1.0564809163202462</v>
      </c>
      <c r="H66" s="11">
        <f>SQRT(SUM((Dataset!B20-Dataset!B26)^2,(Dataset!C20-Dataset!C26)^2,(Dataset!D20-Dataset!D26)^2,(Dataset!E20-Dataset!E26)^2,(Dataset!F20-Dataset!F26)^2,(Dataset!G20-Dataset!G26)^2))</f>
        <v>1.1067756034106078</v>
      </c>
      <c r="I66" s="11">
        <f>SQRT(SUM((Dataset!B20-Dataset!B27)^2,(Dataset!C20-Dataset!C27)^2,(Dataset!D20-Dataset!D27)^2,(Dataset!E20-Dataset!E27)^2,(Dataset!F20-Dataset!F27)^2,(Dataset!G20-Dataset!G27)^2))</f>
        <v>1.1219651774897443</v>
      </c>
      <c r="J66" s="11">
        <f>SQRT(SUM((Dataset!B20-Dataset!B28)^2,(Dataset!C20-Dataset!C28)^2,(Dataset!D20-Dataset!D28)^2,(Dataset!E20-Dataset!E28)^2,(Dataset!F20-Dataset!F28)^2,(Dataset!G20-Dataset!G28)^2))</f>
        <v>1.9547221497538689</v>
      </c>
      <c r="K66" s="11">
        <f>SQRT(SUM((Dataset!B20-Dataset!B29)^2,(Dataset!C20-Dataset!C29)^2,(Dataset!D20-Dataset!D29)^2,(Dataset!E20-Dataset!E29)^2,(Dataset!F20-Dataset!F29)^2,(Dataset!G20-Dataset!G29)^2))</f>
        <v>2.0180401022078249</v>
      </c>
    </row>
    <row r="67" spans="1:11" ht="25.05" customHeight="1">
      <c r="A67" s="7" t="s">
        <v>15</v>
      </c>
      <c r="B67" s="12">
        <f>SQRT(SUM((Dataset!B21-Dataset!B20)^2,(Dataset!C21-Dataset!C20)^2,(Dataset!D21-Dataset!D20)^2,(Dataset!E21-Dataset!E20)^2,(Dataset!F21-Dataset!F20)^2,(Dataset!G21-Dataset!G20)^2))</f>
        <v>0.94293166170735865</v>
      </c>
      <c r="C67" s="12">
        <f>SQRT(SUM((Dataset!B21-Dataset!B21)^2,(Dataset!C21-Dataset!C21)^2,(Dataset!D21-Dataset!D21)^2,(Dataset!E21-Dataset!E21)^2,(Dataset!F21-Dataset!F21)^2,(Dataset!G21-Dataset!G21)^2))</f>
        <v>0</v>
      </c>
      <c r="D67" s="12">
        <f>SQRT(SUM((Dataset!B21-Dataset!B22)^2,(Dataset!C21-Dataset!C22)^2,(Dataset!D21-Dataset!D22)^2,(Dataset!E21-Dataset!E22)^2,(Dataset!F21-Dataset!F22)^2,(Dataset!G21-Dataset!G22)^2))</f>
        <v>0.92009347277065778</v>
      </c>
      <c r="E67" s="12">
        <f>SQRT(SUM((Dataset!B21-Dataset!B23)^2,(Dataset!C21-Dataset!C23)^2,(Dataset!D21-Dataset!D23)^2,(Dataset!E21-Dataset!E23)^2,(Dataset!F21-Dataset!F23)^2,(Dataset!G21-Dataset!G23)^2))</f>
        <v>0.52790178819443345</v>
      </c>
      <c r="F67" s="12">
        <f>SQRT(SUM((Dataset!B21-Dataset!B24)^2,(Dataset!C21-Dataset!C24)^2,(Dataset!D21-Dataset!D24)^2,(Dataset!E21-Dataset!E24)^2,(Dataset!F21-Dataset!F24)^2,(Dataset!G21-Dataset!G24)^2))</f>
        <v>1.2502026932583343</v>
      </c>
      <c r="G67" s="12">
        <f>SQRT(SUM((Dataset!B21-Dataset!B25)^2,(Dataset!C21-Dataset!C25)^2,(Dataset!D21-Dataset!D25)^2,(Dataset!E21-Dataset!E25)^2,(Dataset!F21-Dataset!F25)^2,(Dataset!G21-Dataset!G25)^2))</f>
        <v>0.58026976158829369</v>
      </c>
      <c r="H67" s="12">
        <f>SQRT(SUM((Dataset!B21-Dataset!B26)^2,(Dataset!C21-Dataset!C26)^2,(Dataset!D21-Dataset!D26)^2,(Dataset!E21-Dataset!E26)^2,(Dataset!F21-Dataset!F26)^2,(Dataset!G21-Dataset!G26)^2))</f>
        <v>0.94299102463489037</v>
      </c>
      <c r="I67" s="12">
        <f>SQRT(SUM((Dataset!B21-Dataset!B27)^2,(Dataset!C21-Dataset!C27)^2,(Dataset!D21-Dataset!D27)^2,(Dataset!E21-Dataset!E27)^2,(Dataset!F21-Dataset!F27)^2,(Dataset!G21-Dataset!G27)^2))</f>
        <v>0.73296622410659051</v>
      </c>
      <c r="J67" s="12">
        <f>SQRT(SUM((Dataset!B21-Dataset!B28)^2,(Dataset!C21-Dataset!C28)^2,(Dataset!D21-Dataset!D28)^2,(Dataset!E21-Dataset!E28)^2,(Dataset!F21-Dataset!F28)^2,(Dataset!G21-Dataset!G28)^2))</f>
        <v>1.2872354585210508</v>
      </c>
      <c r="K67" s="12">
        <f>SQRT(SUM((Dataset!B21-Dataset!B29)^2,(Dataset!C21-Dataset!C29)^2,(Dataset!D21-Dataset!D29)^2,(Dataset!E21-Dataset!E29)^2,(Dataset!F21-Dataset!F29)^2,(Dataset!G21-Dataset!G29)^2))</f>
        <v>1.3978689800485402</v>
      </c>
    </row>
    <row r="68" spans="1:11" ht="25.05" customHeight="1">
      <c r="A68" s="6" t="s">
        <v>17</v>
      </c>
      <c r="B68" s="11">
        <f>SQRT(SUM((Dataset!B22-Dataset!B20)^2,(Dataset!C22-Dataset!C20)^2,(Dataset!D22-Dataset!D20)^2,(Dataset!E22-Dataset!E20)^2,(Dataset!F22-Dataset!F20)^2,(Dataset!G22-Dataset!G20)^2))</f>
        <v>1.7263663528314972</v>
      </c>
      <c r="C68" s="11">
        <f>SQRT(SUM((Dataset!B22-Dataset!B21)^2,(Dataset!C22-Dataset!C21)^2,(Dataset!D22-Dataset!D21)^2,(Dataset!E22-Dataset!E21)^2,(Dataset!F22-Dataset!F21)^2,(Dataset!G22-Dataset!G21)^2))</f>
        <v>0.92009347277065778</v>
      </c>
      <c r="D68" s="11">
        <f>SQRT(SUM((Dataset!B22-Dataset!B22)^2,(Dataset!C22-Dataset!C22)^2,(Dataset!D22-Dataset!D22)^2,(Dataset!E22-Dataset!E22)^2,(Dataset!F22-Dataset!F22)^2,(Dataset!G22-Dataset!G22)^2))</f>
        <v>0</v>
      </c>
      <c r="E68" s="11">
        <f>SQRT(SUM((Dataset!B22-Dataset!B23)^2,(Dataset!C22-Dataset!C23)^2,(Dataset!D22-Dataset!D23)^2,(Dataset!E22-Dataset!E23)^2,(Dataset!F22-Dataset!F23)^2,(Dataset!G22-Dataset!G23)^2))</f>
        <v>1.0641365589276355</v>
      </c>
      <c r="F68" s="11">
        <f>SQRT(SUM((Dataset!B22-Dataset!B24)^2,(Dataset!C22-Dataset!C24)^2,(Dataset!D22-Dataset!D24)^2,(Dataset!E22-Dataset!E24)^2,(Dataset!F22-Dataset!F24)^2,(Dataset!G22-Dataset!G24)^2))</f>
        <v>0.41584617379873212</v>
      </c>
      <c r="G68" s="11">
        <f>SQRT(SUM((Dataset!B22-Dataset!B25)^2,(Dataset!C22-Dataset!C25)^2,(Dataset!D22-Dataset!D25)^2,(Dataset!E22-Dataset!E25)^2,(Dataset!F22-Dataset!F25)^2,(Dataset!G22-Dataset!G25)^2))</f>
        <v>0.92813534691293231</v>
      </c>
      <c r="H68" s="11">
        <f>SQRT(SUM((Dataset!B22-Dataset!B26)^2,(Dataset!C22-Dataset!C26)^2,(Dataset!D22-Dataset!D26)^2,(Dataset!E22-Dataset!E26)^2,(Dataset!F22-Dataset!F26)^2,(Dataset!G22-Dataset!G26)^2))</f>
        <v>1.5370524418324336</v>
      </c>
      <c r="I68" s="11">
        <f>SQRT(SUM((Dataset!B22-Dataset!B27)^2,(Dataset!C22-Dataset!C27)^2,(Dataset!D22-Dataset!D27)^2,(Dataset!E22-Dataset!E27)^2,(Dataset!F22-Dataset!F27)^2,(Dataset!G22-Dataset!G27)^2))</f>
        <v>1.2358818169729437</v>
      </c>
      <c r="J68" s="11">
        <f>SQRT(SUM((Dataset!B22-Dataset!B28)^2,(Dataset!C22-Dataset!C28)^2,(Dataset!D22-Dataset!D28)^2,(Dataset!E22-Dataset!E28)^2,(Dataset!F22-Dataset!F28)^2,(Dataset!G22-Dataset!G28)^2))</f>
        <v>0.49772291843474664</v>
      </c>
      <c r="K68" s="11">
        <f>SQRT(SUM((Dataset!B22-Dataset!B29)^2,(Dataset!C22-Dataset!C29)^2,(Dataset!D22-Dataset!D29)^2,(Dataset!E22-Dataset!E29)^2,(Dataset!F22-Dataset!F29)^2,(Dataset!G22-Dataset!G29)^2))</f>
        <v>0.87379830247893631</v>
      </c>
    </row>
    <row r="69" spans="1:11" ht="25.05" customHeight="1">
      <c r="A69" s="7" t="s">
        <v>19</v>
      </c>
      <c r="B69" s="12">
        <f>SQRT(SUM((Dataset!B23-Dataset!B20)^2,(Dataset!C23-Dataset!C20)^2,(Dataset!D23-Dataset!D20)^2,(Dataset!E23-Dataset!E20)^2,(Dataset!F23-Dataset!F20)^2,(Dataset!G23-Dataset!G20)^2))</f>
        <v>0.91098762074025208</v>
      </c>
      <c r="C69" s="12">
        <f>SQRT(SUM((Dataset!B23-Dataset!B21)^2,(Dataset!C23-Dataset!C21)^2,(Dataset!D23-Dataset!D21)^2,(Dataset!E23-Dataset!E21)^2,(Dataset!F23-Dataset!F21)^2,(Dataset!G23-Dataset!G21)^2))</f>
        <v>0.52790178819443345</v>
      </c>
      <c r="D69" s="12">
        <f>SQRT(SUM((Dataset!B23-Dataset!B22)^2,(Dataset!C23-Dataset!C22)^2,(Dataset!D23-Dataset!D22)^2,(Dataset!E23-Dataset!E22)^2,(Dataset!F23-Dataset!F22)^2,(Dataset!G23-Dataset!G22)^2))</f>
        <v>1.0641365589276355</v>
      </c>
      <c r="E69" s="12">
        <f>SQRT(SUM((Dataset!B23-Dataset!B23)^2,(Dataset!C23-Dataset!C23)^2,(Dataset!D23-Dataset!D23)^2,(Dataset!E23-Dataset!E23)^2,(Dataset!F23-Dataset!F23)^2,(Dataset!G23-Dataset!G23)^2))</f>
        <v>0</v>
      </c>
      <c r="F69" s="12">
        <f>SQRT(SUM((Dataset!B23-Dataset!B24)^2,(Dataset!C23-Dataset!C24)^2,(Dataset!D23-Dataset!D24)^2,(Dataset!E23-Dataset!E24)^2,(Dataset!F23-Dataset!F24)^2,(Dataset!G23-Dataset!G24)^2))</f>
        <v>1.3490378927604629</v>
      </c>
      <c r="G69" s="12">
        <f>SQRT(SUM((Dataset!B23-Dataset!B25)^2,(Dataset!C23-Dataset!C25)^2,(Dataset!D23-Dataset!D25)^2,(Dataset!E23-Dataset!E25)^2,(Dataset!F23-Dataset!F25)^2,(Dataset!G23-Dataset!G25)^2))</f>
        <v>0.38677512008126957</v>
      </c>
      <c r="H69" s="12">
        <f>SQRT(SUM((Dataset!B23-Dataset!B26)^2,(Dataset!C23-Dataset!C26)^2,(Dataset!D23-Dataset!D26)^2,(Dataset!E23-Dataset!E26)^2,(Dataset!F23-Dataset!F26)^2,(Dataset!G23-Dataset!G26)^2))</f>
        <v>0.64403808043193733</v>
      </c>
      <c r="I69" s="12">
        <f>SQRT(SUM((Dataset!B23-Dataset!B27)^2,(Dataset!C23-Dataset!C27)^2,(Dataset!D23-Dataset!D27)^2,(Dataset!E23-Dataset!E27)^2,(Dataset!F23-Dataset!F27)^2,(Dataset!G23-Dataset!G27)^2))</f>
        <v>0.39722117317111477</v>
      </c>
      <c r="J69" s="12">
        <f>SQRT(SUM((Dataset!B23-Dataset!B28)^2,(Dataset!C23-Dataset!C28)^2,(Dataset!D23-Dataset!D28)^2,(Dataset!E23-Dataset!E28)^2,(Dataset!F23-Dataset!F28)^2,(Dataset!G23-Dataset!G28)^2))</f>
        <v>1.3588391604662096</v>
      </c>
      <c r="K69" s="12">
        <f>SQRT(SUM((Dataset!B23-Dataset!B29)^2,(Dataset!C23-Dataset!C29)^2,(Dataset!D23-Dataset!D29)^2,(Dataset!E23-Dataset!E29)^2,(Dataset!F23-Dataset!F29)^2,(Dataset!G23-Dataset!G29)^2))</f>
        <v>1.5129652437497245</v>
      </c>
    </row>
    <row r="70" spans="1:11" ht="25.05" customHeight="1">
      <c r="A70" s="6" t="s">
        <v>21</v>
      </c>
      <c r="B70" s="11">
        <f>SQRT(SUM((Dataset!B24-Dataset!B20)^2,(Dataset!C24-Dataset!C20)^2,(Dataset!D24-Dataset!D20)^2,(Dataset!E24-Dataset!E20)^2,(Dataset!F24-Dataset!F20)^2,(Dataset!G24-Dataset!G20)^2))</f>
        <v>1.9764863550120746</v>
      </c>
      <c r="C70" s="11">
        <f>SQRT(SUM((Dataset!B24-Dataset!B21)^2,(Dataset!C24-Dataset!C21)^2,(Dataset!D24-Dataset!D21)^2,(Dataset!E24-Dataset!E21)^2,(Dataset!F24-Dataset!F21)^2,(Dataset!G24-Dataset!G21)^2))</f>
        <v>1.2502026932583343</v>
      </c>
      <c r="D70" s="11">
        <f>SQRT(SUM((Dataset!B24-Dataset!B22)^2,(Dataset!C24-Dataset!C22)^2,(Dataset!D24-Dataset!D22)^2,(Dataset!E24-Dataset!E22)^2,(Dataset!F24-Dataset!F22)^2,(Dataset!G24-Dataset!G22)^2))</f>
        <v>0.41584617379873212</v>
      </c>
      <c r="E70" s="11">
        <f>SQRT(SUM((Dataset!B24-Dataset!B23)^2,(Dataset!C24-Dataset!C23)^2,(Dataset!D24-Dataset!D23)^2,(Dataset!E24-Dataset!E23)^2,(Dataset!F24-Dataset!F23)^2,(Dataset!G24-Dataset!G23)^2))</f>
        <v>1.3490378927604629</v>
      </c>
      <c r="F70" s="11">
        <f>SQRT(SUM((Dataset!B24-Dataset!B24)^2,(Dataset!C24-Dataset!C24)^2,(Dataset!D24-Dataset!D24)^2,(Dataset!E24-Dataset!E24)^2,(Dataset!F24-Dataset!F24)^2,(Dataset!G24-Dataset!G24)^2))</f>
        <v>0</v>
      </c>
      <c r="G70" s="11">
        <f>SQRT(SUM((Dataset!B24-Dataset!B25)^2,(Dataset!C24-Dataset!C25)^2,(Dataset!D24-Dataset!D25)^2,(Dataset!E24-Dataset!E25)^2,(Dataset!F24-Dataset!F25)^2,(Dataset!G24-Dataset!G25)^2))</f>
        <v>1.1273138118800861</v>
      </c>
      <c r="H70" s="11">
        <f>SQRT(SUM((Dataset!B24-Dataset!B26)^2,(Dataset!C24-Dataset!C26)^2,(Dataset!D24-Dataset!D26)^2,(Dataset!E24-Dataset!E26)^2,(Dataset!F24-Dataset!F26)^2,(Dataset!G24-Dataset!G26)^2))</f>
        <v>1.7840639432866681</v>
      </c>
      <c r="I70" s="11">
        <f>SQRT(SUM((Dataset!B24-Dataset!B27)^2,(Dataset!C24-Dataset!C27)^2,(Dataset!D24-Dataset!D27)^2,(Dataset!E24-Dataset!E27)^2,(Dataset!F24-Dataset!F27)^2,(Dataset!G24-Dataset!G27)^2))</f>
        <v>1.506665798353064</v>
      </c>
      <c r="J70" s="11">
        <f>SQRT(SUM((Dataset!B24-Dataset!B28)^2,(Dataset!C24-Dataset!C28)^2,(Dataset!D24-Dataset!D28)^2,(Dataset!E24-Dataset!E28)^2,(Dataset!F24-Dataset!F28)^2,(Dataset!G24-Dataset!G28)^2))</f>
        <v>0.16546369935242813</v>
      </c>
      <c r="K70" s="11">
        <f>SQRT(SUM((Dataset!B24-Dataset!B29)^2,(Dataset!C24-Dataset!C29)^2,(Dataset!D24-Dataset!D29)^2,(Dataset!E24-Dataset!E29)^2,(Dataset!F24-Dataset!F29)^2,(Dataset!G24-Dataset!G29)^2))</f>
        <v>0.6054322349259017</v>
      </c>
    </row>
    <row r="71" spans="1:11" ht="25.05" customHeight="1">
      <c r="A71" s="7" t="s">
        <v>23</v>
      </c>
      <c r="B71" s="12">
        <f>SQRT(SUM((Dataset!B25-Dataset!B20)^2,(Dataset!C25-Dataset!C20)^2,(Dataset!D25-Dataset!D20)^2,(Dataset!E25-Dataset!E20)^2,(Dataset!F25-Dataset!F20)^2,(Dataset!G25-Dataset!G20)^2))</f>
        <v>1.0564809163202462</v>
      </c>
      <c r="C71" s="12">
        <f>SQRT(SUM((Dataset!B25-Dataset!B21)^2,(Dataset!C25-Dataset!C21)^2,(Dataset!D25-Dataset!D21)^2,(Dataset!E25-Dataset!E21)^2,(Dataset!F25-Dataset!F21)^2,(Dataset!G25-Dataset!G21)^2))</f>
        <v>0.58026976158829369</v>
      </c>
      <c r="D71" s="12">
        <f>SQRT(SUM((Dataset!B25-Dataset!B22)^2,(Dataset!C25-Dataset!C22)^2,(Dataset!D25-Dataset!D22)^2,(Dataset!E25-Dataset!E22)^2,(Dataset!F25-Dataset!F22)^2,(Dataset!G25-Dataset!G22)^2))</f>
        <v>0.92813534691293231</v>
      </c>
      <c r="E71" s="12">
        <f>SQRT(SUM((Dataset!B25-Dataset!B23)^2,(Dataset!C25-Dataset!C23)^2,(Dataset!D25-Dataset!D23)^2,(Dataset!E25-Dataset!E23)^2,(Dataset!F25-Dataset!F23)^2,(Dataset!G25-Dataset!G23)^2))</f>
        <v>0.38677512008126957</v>
      </c>
      <c r="F71" s="12">
        <f>SQRT(SUM((Dataset!B25-Dataset!B24)^2,(Dataset!C25-Dataset!C24)^2,(Dataset!D25-Dataset!D24)^2,(Dataset!E25-Dataset!E24)^2,(Dataset!F25-Dataset!F24)^2,(Dataset!G25-Dataset!G24)^2))</f>
        <v>1.1273138118800861</v>
      </c>
      <c r="G71" s="12">
        <f>SQRT(SUM((Dataset!B25-Dataset!B25)^2,(Dataset!C25-Dataset!C25)^2,(Dataset!D25-Dataset!D25)^2,(Dataset!E25-Dataset!E25)^2,(Dataset!F25-Dataset!F25)^2,(Dataset!G25-Dataset!G25)^2))</f>
        <v>0</v>
      </c>
      <c r="H71" s="12">
        <f>SQRT(SUM((Dataset!B25-Dataset!B26)^2,(Dataset!C25-Dataset!C26)^2,(Dataset!D25-Dataset!D26)^2,(Dataset!E25-Dataset!E26)^2,(Dataset!F25-Dataset!F26)^2,(Dataset!G25-Dataset!G26)^2))</f>
        <v>0.73377076775133232</v>
      </c>
      <c r="I71" s="12">
        <f>SQRT(SUM((Dataset!B25-Dataset!B27)^2,(Dataset!C25-Dataset!C27)^2,(Dataset!D25-Dataset!D27)^2,(Dataset!E25-Dataset!E27)^2,(Dataset!F25-Dataset!F27)^2,(Dataset!G25-Dataset!G27)^2))</f>
        <v>0.52033800675752229</v>
      </c>
      <c r="J71" s="12">
        <f>SQRT(SUM((Dataset!B25-Dataset!B28)^2,(Dataset!C25-Dataset!C28)^2,(Dataset!D25-Dataset!D28)^2,(Dataset!E25-Dataset!E28)^2,(Dataset!F25-Dataset!F28)^2,(Dataset!G25-Dataset!G28)^2))</f>
        <v>1.1352849989864833</v>
      </c>
      <c r="K71" s="12">
        <f>SQRT(SUM((Dataset!B25-Dataset!B29)^2,(Dataset!C25-Dataset!C29)^2,(Dataset!D25-Dataset!D29)^2,(Dataset!E25-Dataset!E29)^2,(Dataset!F25-Dataset!F29)^2,(Dataset!G25-Dataset!G29)^2))</f>
        <v>1.1792687375104378</v>
      </c>
    </row>
    <row r="72" spans="1:11" ht="25.05" customHeight="1">
      <c r="A72" s="6" t="s">
        <v>26</v>
      </c>
      <c r="B72" s="11">
        <f>SQRT(SUM((Dataset!B26-Dataset!B20)^2,(Dataset!C26-Dataset!C20)^2,(Dataset!D26-Dataset!D20)^2,(Dataset!E26-Dataset!E20)^2,(Dataset!F26-Dataset!F20)^2,(Dataset!G26-Dataset!G20)^2))</f>
        <v>1.1067756034106078</v>
      </c>
      <c r="C72" s="11">
        <f>SQRT(SUM((Dataset!B26-Dataset!B21)^2,(Dataset!C26-Dataset!C21)^2,(Dataset!D26-Dataset!D21)^2,(Dataset!E26-Dataset!E21)^2,(Dataset!F26-Dataset!F21)^2,(Dataset!G26-Dataset!G21)^2))</f>
        <v>0.94299102463489037</v>
      </c>
      <c r="D72" s="11">
        <f>SQRT(SUM((Dataset!B26-Dataset!B22)^2,(Dataset!C26-Dataset!C22)^2,(Dataset!D26-Dataset!D22)^2,(Dataset!E26-Dataset!E22)^2,(Dataset!F26-Dataset!F22)^2,(Dataset!G26-Dataset!G22)^2))</f>
        <v>1.5370524418324336</v>
      </c>
      <c r="E72" s="11">
        <f>SQRT(SUM((Dataset!B26-Dataset!B23)^2,(Dataset!C26-Dataset!C23)^2,(Dataset!D26-Dataset!D23)^2,(Dataset!E26-Dataset!E23)^2,(Dataset!F26-Dataset!F23)^2,(Dataset!G26-Dataset!G23)^2))</f>
        <v>0.64403808043193733</v>
      </c>
      <c r="F72" s="11">
        <f>SQRT(SUM((Dataset!B26-Dataset!B24)^2,(Dataset!C26-Dataset!C24)^2,(Dataset!D26-Dataset!D24)^2,(Dataset!E26-Dataset!E24)^2,(Dataset!F26-Dataset!F24)^2,(Dataset!G26-Dataset!G24)^2))</f>
        <v>1.7840639432866681</v>
      </c>
      <c r="G72" s="11">
        <f>SQRT(SUM((Dataset!B26-Dataset!B25)^2,(Dataset!C26-Dataset!C25)^2,(Dataset!D26-Dataset!D25)^2,(Dataset!E26-Dataset!E25)^2,(Dataset!F26-Dataset!F25)^2,(Dataset!G26-Dataset!G25)^2))</f>
        <v>0.73377076775133232</v>
      </c>
      <c r="H72" s="11">
        <f>SQRT(SUM((Dataset!B26-Dataset!B26)^2,(Dataset!C26-Dataset!C26)^2,(Dataset!D26-Dataset!D26)^2,(Dataset!E26-Dataset!E26)^2,(Dataset!F26-Dataset!F26)^2,(Dataset!G26-Dataset!G26)^2))</f>
        <v>0</v>
      </c>
      <c r="I72" s="11">
        <f>SQRT(SUM((Dataset!B26-Dataset!B27)^2,(Dataset!C26-Dataset!C27)^2,(Dataset!D26-Dataset!D27)^2,(Dataset!E26-Dataset!E27)^2,(Dataset!F26-Dataset!F27)^2,(Dataset!G26-Dataset!G27)^2))</f>
        <v>0.34823689265779095</v>
      </c>
      <c r="J72" s="11">
        <f>SQRT(SUM((Dataset!B26-Dataset!B28)^2,(Dataset!C26-Dataset!C28)^2,(Dataset!D26-Dataset!D28)^2,(Dataset!E26-Dataset!E28)^2,(Dataset!F26-Dataset!F28)^2,(Dataset!G26-Dataset!G28)^2))</f>
        <v>1.8170871014554231</v>
      </c>
      <c r="K72" s="11">
        <f>SQRT(SUM((Dataset!B26-Dataset!B29)^2,(Dataset!C26-Dataset!C29)^2,(Dataset!D26-Dataset!D29)^2,(Dataset!E26-Dataset!E29)^2,(Dataset!F26-Dataset!F29)^2,(Dataset!G26-Dataset!G29)^2))</f>
        <v>1.828737171460993</v>
      </c>
    </row>
    <row r="73" spans="1:11" ht="25.05" customHeight="1">
      <c r="A73" s="7" t="s">
        <v>29</v>
      </c>
      <c r="B73" s="12">
        <f>SQRT(SUM((Dataset!B27-Dataset!B20)^2,(Dataset!C27-Dataset!C20)^2,(Dataset!D27-Dataset!D20)^2,(Dataset!E27-Dataset!E20)^2,(Dataset!F27-Dataset!F20)^2,(Dataset!G27-Dataset!G20)^2))</f>
        <v>1.1219651774897443</v>
      </c>
      <c r="C73" s="12">
        <f>SQRT(SUM((Dataset!B27-Dataset!B21)^2,(Dataset!C27-Dataset!C21)^2,(Dataset!D27-Dataset!D21)^2,(Dataset!E27-Dataset!E21)^2,(Dataset!F27-Dataset!F21)^2,(Dataset!G27-Dataset!G21)^2))</f>
        <v>0.73296622410659051</v>
      </c>
      <c r="D73" s="12">
        <f>SQRT(SUM((Dataset!B27-Dataset!B22)^2,(Dataset!C27-Dataset!C22)^2,(Dataset!D27-Dataset!D22)^2,(Dataset!E27-Dataset!E22)^2,(Dataset!F27-Dataset!F22)^2,(Dataset!G27-Dataset!G22)^2))</f>
        <v>1.2358818169729437</v>
      </c>
      <c r="E73" s="12">
        <f>SQRT(SUM((Dataset!B27-Dataset!B23)^2,(Dataset!C27-Dataset!C23)^2,(Dataset!D27-Dataset!D23)^2,(Dataset!E27-Dataset!E23)^2,(Dataset!F27-Dataset!F23)^2,(Dataset!G27-Dataset!G23)^2))</f>
        <v>0.39722117317111477</v>
      </c>
      <c r="F73" s="12">
        <f>SQRT(SUM((Dataset!B27-Dataset!B24)^2,(Dataset!C27-Dataset!C24)^2,(Dataset!D27-Dataset!D24)^2,(Dataset!E27-Dataset!E24)^2,(Dataset!F27-Dataset!F24)^2,(Dataset!G27-Dataset!G24)^2))</f>
        <v>1.506665798353064</v>
      </c>
      <c r="G73" s="12">
        <f>SQRT(SUM((Dataset!B27-Dataset!B25)^2,(Dataset!C27-Dataset!C25)^2,(Dataset!D27-Dataset!D25)^2,(Dataset!E27-Dataset!E25)^2,(Dataset!F27-Dataset!F25)^2,(Dataset!G27-Dataset!G25)^2))</f>
        <v>0.52033800675752229</v>
      </c>
      <c r="H73" s="12">
        <f>SQRT(SUM((Dataset!B27-Dataset!B26)^2,(Dataset!C27-Dataset!C26)^2,(Dataset!D27-Dataset!D26)^2,(Dataset!E27-Dataset!E26)^2,(Dataset!F27-Dataset!F26)^2,(Dataset!G27-Dataset!G26)^2))</f>
        <v>0.34823689265779095</v>
      </c>
      <c r="I73" s="12">
        <f>SQRT(SUM((Dataset!B27-Dataset!B27)^2,(Dataset!C27-Dataset!C27)^2,(Dataset!D27-Dataset!D27)^2,(Dataset!E27-Dataset!E27)^2,(Dataset!F27-Dataset!F27)^2,(Dataset!G27-Dataset!G27)^2))</f>
        <v>0</v>
      </c>
      <c r="J73" s="12">
        <f>SQRT(SUM((Dataset!B27-Dataset!B28)^2,(Dataset!C27-Dataset!C28)^2,(Dataset!D27-Dataset!D28)^2,(Dataset!E27-Dataset!E28)^2,(Dataset!F27-Dataset!F28)^2,(Dataset!G27-Dataset!G28)^2))</f>
        <v>1.5388239782209072</v>
      </c>
      <c r="K73" s="12">
        <f>SQRT(SUM((Dataset!B27-Dataset!B29)^2,(Dataset!C27-Dataset!C29)^2,(Dataset!D27-Dataset!D29)^2,(Dataset!E27-Dataset!E29)^2,(Dataset!F27-Dataset!F29)^2,(Dataset!G27-Dataset!G29)^2))</f>
        <v>1.6116370209013144</v>
      </c>
    </row>
    <row r="74" spans="1:11" ht="25.05" customHeight="1">
      <c r="A74" s="6" t="s">
        <v>32</v>
      </c>
      <c r="B74" s="11">
        <f>SQRT(SUM((Dataset!B28-Dataset!B20)^2,(Dataset!C28-Dataset!C20)^2,(Dataset!D28-Dataset!D20)^2,(Dataset!E28-Dataset!E20)^2,(Dataset!F28-Dataset!F20)^2,(Dataset!G28-Dataset!G20)^2))</f>
        <v>1.9547221497538689</v>
      </c>
      <c r="C74" s="11">
        <f>SQRT(SUM((Dataset!B28-Dataset!B21)^2,(Dataset!C28-Dataset!C21)^2,(Dataset!D28-Dataset!D21)^2,(Dataset!E28-Dataset!E21)^2,(Dataset!F28-Dataset!F21)^2,(Dataset!G28-Dataset!G21)^2))</f>
        <v>1.2872354585210508</v>
      </c>
      <c r="D74" s="11">
        <f>SQRT(SUM((Dataset!B28-Dataset!B22)^2,(Dataset!C28-Dataset!C22)^2,(Dataset!D28-Dataset!D22)^2,(Dataset!E28-Dataset!E22)^2,(Dataset!F28-Dataset!F22)^2,(Dataset!G28-Dataset!G22)^2))</f>
        <v>0.49772291843474664</v>
      </c>
      <c r="E74" s="11">
        <f>SQRT(SUM((Dataset!B28-Dataset!B23)^2,(Dataset!C28-Dataset!C23)^2,(Dataset!D28-Dataset!D23)^2,(Dataset!E28-Dataset!E23)^2,(Dataset!F28-Dataset!F23)^2,(Dataset!G28-Dataset!G23)^2))</f>
        <v>1.3588391604662096</v>
      </c>
      <c r="F74" s="11">
        <f>SQRT(SUM((Dataset!B28-Dataset!B24)^2,(Dataset!C28-Dataset!C24)^2,(Dataset!D28-Dataset!D24)^2,(Dataset!E28-Dataset!E24)^2,(Dataset!F28-Dataset!F24)^2,(Dataset!G28-Dataset!G24)^2))</f>
        <v>0.16546369935242813</v>
      </c>
      <c r="G74" s="11">
        <f>SQRT(SUM((Dataset!B28-Dataset!B25)^2,(Dataset!C28-Dataset!C25)^2,(Dataset!D28-Dataset!D25)^2,(Dataset!E28-Dataset!E25)^2,(Dataset!F28-Dataset!F25)^2,(Dataset!G28-Dataset!G25)^2))</f>
        <v>1.1352849989864833</v>
      </c>
      <c r="H74" s="11">
        <f>SQRT(SUM((Dataset!B28-Dataset!B26)^2,(Dataset!C28-Dataset!C26)^2,(Dataset!D28-Dataset!D26)^2,(Dataset!E28-Dataset!E26)^2,(Dataset!F28-Dataset!F26)^2,(Dataset!G28-Dataset!G26)^2))</f>
        <v>1.8170871014554231</v>
      </c>
      <c r="I74" s="11">
        <f>SQRT(SUM((Dataset!B28-Dataset!B27)^2,(Dataset!C28-Dataset!C27)^2,(Dataset!D28-Dataset!D27)^2,(Dataset!E28-Dataset!E27)^2,(Dataset!F28-Dataset!F27)^2,(Dataset!G28-Dataset!G27)^2))</f>
        <v>1.5388239782209072</v>
      </c>
      <c r="J74" s="11">
        <f>SQRT(SUM((Dataset!B28-Dataset!B28)^2,(Dataset!C28-Dataset!C28)^2,(Dataset!D28-Dataset!D28)^2,(Dataset!E28-Dataset!E28)^2,(Dataset!F28-Dataset!F28)^2,(Dataset!G28-Dataset!G28)^2))</f>
        <v>0</v>
      </c>
      <c r="K74" s="11">
        <f>SQRT(SUM((Dataset!B28-Dataset!B29)^2,(Dataset!C28-Dataset!C29)^2,(Dataset!D28-Dataset!D29)^2,(Dataset!E28-Dataset!E29)^2,(Dataset!F28-Dataset!F29)^2,(Dataset!G28-Dataset!G29)^2))</f>
        <v>0.59410535653577268</v>
      </c>
    </row>
    <row r="75" spans="1:11" ht="25.05" customHeight="1">
      <c r="A75" s="8" t="s">
        <v>33</v>
      </c>
      <c r="B75" s="13">
        <f>SQRT(SUM((Dataset!B29-Dataset!B20)^2,(Dataset!C29-Dataset!C20)^2,(Dataset!D29-Dataset!D20)^2,(Dataset!E29-Dataset!E20)^2,(Dataset!F29-Dataset!F20)^2,(Dataset!G29-Dataset!G20)^2))</f>
        <v>2.0180401022078249</v>
      </c>
      <c r="C75" s="13">
        <f>SQRT(SUM((Dataset!B29-Dataset!B21)^2,(Dataset!C29-Dataset!C21)^2,(Dataset!D29-Dataset!D21)^2,(Dataset!E29-Dataset!E21)^2,(Dataset!F29-Dataset!F21)^2,(Dataset!G29-Dataset!G21)^2))</f>
        <v>1.3978689800485402</v>
      </c>
      <c r="D75" s="13">
        <f>SQRT(SUM((Dataset!B29-Dataset!B22)^2,(Dataset!C29-Dataset!C22)^2,(Dataset!D29-Dataset!D22)^2,(Dataset!E29-Dataset!E22)^2,(Dataset!F29-Dataset!F22)^2,(Dataset!G29-Dataset!G22)^2))</f>
        <v>0.87379830247893631</v>
      </c>
      <c r="E75" s="13">
        <f>SQRT(SUM((Dataset!B29-Dataset!B23)^2,(Dataset!C29-Dataset!C23)^2,(Dataset!D29-Dataset!D23)^2,(Dataset!E29-Dataset!E23)^2,(Dataset!F29-Dataset!F23)^2,(Dataset!G29-Dataset!G23)^2))</f>
        <v>1.5129652437497245</v>
      </c>
      <c r="F75" s="13">
        <f>SQRT(SUM((Dataset!B29-Dataset!B24)^2,(Dataset!C29-Dataset!C24)^2,(Dataset!D29-Dataset!D24)^2,(Dataset!E29-Dataset!E24)^2,(Dataset!F29-Dataset!F24)^2,(Dataset!G29-Dataset!G24)^2))</f>
        <v>0.6054322349259017</v>
      </c>
      <c r="G75" s="13">
        <f>SQRT(SUM((Dataset!B29-Dataset!B25)^2,(Dataset!C29-Dataset!C25)^2,(Dataset!D29-Dataset!D25)^2,(Dataset!E29-Dataset!E25)^2,(Dataset!F29-Dataset!F25)^2,(Dataset!G29-Dataset!G25)^2))</f>
        <v>1.1792687375104378</v>
      </c>
      <c r="H75" s="13">
        <f>SQRT(SUM((Dataset!B29-Dataset!B26)^2,(Dataset!C29-Dataset!C26)^2,(Dataset!D29-Dataset!D26)^2,(Dataset!E29-Dataset!E26)^2,(Dataset!F29-Dataset!F26)^2,(Dataset!G29-Dataset!G26)^2))</f>
        <v>1.828737171460993</v>
      </c>
      <c r="I75" s="13">
        <f>SQRT(SUM((Dataset!B29-Dataset!B27)^2,(Dataset!C29-Dataset!C27)^2,(Dataset!D29-Dataset!D27)^2,(Dataset!E29-Dataset!E27)^2,(Dataset!F29-Dataset!F27)^2,(Dataset!G29-Dataset!G27)^2))</f>
        <v>1.6116370209013144</v>
      </c>
      <c r="J75" s="13">
        <f>SQRT(SUM((Dataset!B29-Dataset!B28)^2,(Dataset!C29-Dataset!C28)^2,(Dataset!D29-Dataset!D28)^2,(Dataset!E29-Dataset!E28)^2,(Dataset!F29-Dataset!F28)^2,(Dataset!G29-Dataset!G28)^2))</f>
        <v>0.59410535653577268</v>
      </c>
      <c r="K75" s="13">
        <f>SQRT(SUM((Dataset!B29-Dataset!B29)^2,(Dataset!C29-Dataset!C29)^2,(Dataset!D29-Dataset!D29)^2,(Dataset!E29-Dataset!E29)^2,(Dataset!F29-Dataset!F29)^2,(Dataset!G29-Dataset!G29)^2))</f>
        <v>0</v>
      </c>
    </row>
    <row r="76" spans="1:1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spans="1:1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spans="1:11" ht="30" customHeight="1">
      <c r="A79" s="35" t="s">
        <v>45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</row>
    <row r="80" spans="1:11" ht="43.95" customHeight="1">
      <c r="A80" s="2" t="s">
        <v>3</v>
      </c>
      <c r="B80" s="2" t="s">
        <v>13</v>
      </c>
      <c r="C80" s="2" t="s">
        <v>15</v>
      </c>
      <c r="D80" s="2" t="s">
        <v>17</v>
      </c>
      <c r="E80" s="2" t="s">
        <v>19</v>
      </c>
      <c r="F80" s="2" t="s">
        <v>21</v>
      </c>
      <c r="G80" s="2" t="s">
        <v>23</v>
      </c>
      <c r="H80" s="2" t="s">
        <v>26</v>
      </c>
      <c r="I80" s="2" t="s">
        <v>29</v>
      </c>
      <c r="J80" s="2" t="s">
        <v>32</v>
      </c>
      <c r="K80" s="2" t="s">
        <v>33</v>
      </c>
    </row>
    <row r="81" spans="1:11" ht="25.05" customHeight="1">
      <c r="A81" s="6" t="s">
        <v>13</v>
      </c>
      <c r="B81" s="11">
        <f>MAX(ABS(Dataset!B20-Dataset!B20),ABS(Dataset!C20-Dataset!C20),ABS(Dataset!D20-Dataset!D20),ABS(Dataset!E20-Dataset!E20),ABS(Dataset!F20-Dataset!F20),ABS(Dataset!G20-Dataset!G20))</f>
        <v>0</v>
      </c>
      <c r="C81" s="11">
        <f>MAX(ABS(Dataset!B20-Dataset!B21),ABS(Dataset!C20-Dataset!C21),ABS(Dataset!D20-Dataset!D21),ABS(Dataset!E20-Dataset!E21),ABS(Dataset!F20-Dataset!F21),ABS(Dataset!G20-Dataset!G21))</f>
        <v>0.53571428571428559</v>
      </c>
      <c r="D81" s="11">
        <f>MAX(ABS(Dataset!B20-Dataset!B22),ABS(Dataset!C20-Dataset!C22),ABS(Dataset!D20-Dataset!D22),ABS(Dataset!E20-Dataset!E22),ABS(Dataset!F20-Dataset!F22),ABS(Dataset!G20-Dataset!G22))</f>
        <v>0.8688524590163933</v>
      </c>
      <c r="E81" s="11">
        <f>MAX(ABS(Dataset!B20-Dataset!B23),ABS(Dataset!C20-Dataset!C23),ABS(Dataset!D20-Dataset!D23),ABS(Dataset!E20-Dataset!E23),ABS(Dataset!F20-Dataset!F23),ABS(Dataset!G20-Dataset!G23))</f>
        <v>0.6</v>
      </c>
      <c r="F81" s="11">
        <f>MAX(ABS(Dataset!B20-Dataset!B24),ABS(Dataset!C20-Dataset!C24),ABS(Dataset!D20-Dataset!D24),ABS(Dataset!E20-Dataset!E24),ABS(Dataset!F20-Dataset!F24),ABS(Dataset!G20-Dataset!G24))</f>
        <v>0.95145631067961167</v>
      </c>
      <c r="G81" s="11">
        <f>MAX(ABS(Dataset!B20-Dataset!B25),ABS(Dataset!C20-Dataset!C25),ABS(Dataset!D20-Dataset!D25),ABS(Dataset!E20-Dataset!E25),ABS(Dataset!F20-Dataset!F25),ABS(Dataset!G20-Dataset!G25))</f>
        <v>0.57281553398058249</v>
      </c>
      <c r="H81" s="11">
        <f>MAX(ABS(Dataset!B20-Dataset!B26),ABS(Dataset!C20-Dataset!C26),ABS(Dataset!D20-Dataset!D26),ABS(Dataset!E20-Dataset!E26),ABS(Dataset!F20-Dataset!F26),ABS(Dataset!G20-Dataset!G26))</f>
        <v>1</v>
      </c>
      <c r="I81" s="11">
        <f>MAX(ABS(Dataset!B20-Dataset!B27),ABS(Dataset!C20-Dataset!C27),ABS(Dataset!D20-Dataset!D27),ABS(Dataset!E20-Dataset!E27),ABS(Dataset!F20-Dataset!F27),ABS(Dataset!G20-Dataset!G27))</f>
        <v>0.92500000000000004</v>
      </c>
      <c r="J81" s="11">
        <f>MAX(ABS(Dataset!B20-Dataset!B28),ABS(Dataset!C20-Dataset!C28),ABS(Dataset!D20-Dataset!D28),ABS(Dataset!E20-Dataset!E28),ABS(Dataset!F20-Dataset!F28),ABS(Dataset!G20-Dataset!G28))</f>
        <v>0.98305084745762716</v>
      </c>
      <c r="K81" s="11">
        <f>MAX(ABS(Dataset!B20-Dataset!B29),ABS(Dataset!C20-Dataset!C29),ABS(Dataset!D20-Dataset!D29),ABS(Dataset!E20-Dataset!E29),ABS(Dataset!F20-Dataset!F29),ABS(Dataset!G20-Dataset!G29))</f>
        <v>1</v>
      </c>
    </row>
    <row r="82" spans="1:11" ht="25.05" customHeight="1">
      <c r="A82" s="7" t="s">
        <v>15</v>
      </c>
      <c r="B82" s="12">
        <f>MAX(ABS(Dataset!B21-Dataset!B20),ABS(Dataset!C21-Dataset!C20),ABS(Dataset!D21-Dataset!D20),ABS(Dataset!E21-Dataset!E20),ABS(Dataset!F21-Dataset!F20),ABS(Dataset!G21-Dataset!G20))</f>
        <v>0.53571428571428559</v>
      </c>
      <c r="C82" s="12">
        <f>MAX(ABS(Dataset!B21-Dataset!B21),ABS(Dataset!C21-Dataset!C21),ABS(Dataset!D21-Dataset!D21),ABS(Dataset!E21-Dataset!E21),ABS(Dataset!F21-Dataset!F21),ABS(Dataset!G21-Dataset!G21))</f>
        <v>0</v>
      </c>
      <c r="D82" s="12">
        <f>MAX(ABS(Dataset!B21-Dataset!B22),ABS(Dataset!C21-Dataset!C22),ABS(Dataset!D21-Dataset!D22),ABS(Dataset!E21-Dataset!E22),ABS(Dataset!F21-Dataset!F22),ABS(Dataset!G21-Dataset!G22))</f>
        <v>0.52542372881355937</v>
      </c>
      <c r="E82" s="12">
        <f>MAX(ABS(Dataset!B21-Dataset!B23),ABS(Dataset!C21-Dataset!C23),ABS(Dataset!D21-Dataset!D23),ABS(Dataset!E21-Dataset!E23),ABS(Dataset!F21-Dataset!F23),ABS(Dataset!G21-Dataset!G23))</f>
        <v>0.33928571428571397</v>
      </c>
      <c r="F82" s="12">
        <f>MAX(ABS(Dataset!B21-Dataset!B24),ABS(Dataset!C21-Dataset!C24),ABS(Dataset!D21-Dataset!D24),ABS(Dataset!E21-Dataset!E24),ABS(Dataset!F21-Dataset!F24),ABS(Dataset!G21-Dataset!G24))</f>
        <v>0.72881355932203395</v>
      </c>
      <c r="G82" s="12">
        <f>MAX(ABS(Dataset!B21-Dataset!B25),ABS(Dataset!C21-Dataset!C25),ABS(Dataset!D21-Dataset!D25),ABS(Dataset!E21-Dataset!E25),ABS(Dataset!F21-Dataset!F25),ABS(Dataset!G21-Dataset!G25))</f>
        <v>0.33898305084745761</v>
      </c>
      <c r="H82" s="12">
        <f>MAX(ABS(Dataset!B21-Dataset!B26),ABS(Dataset!C21-Dataset!C26),ABS(Dataset!D21-Dataset!D26),ABS(Dataset!E21-Dataset!E26),ABS(Dataset!F21-Dataset!F26),ABS(Dataset!G21-Dataset!G26))</f>
        <v>0.57377049180327855</v>
      </c>
      <c r="I82" s="12">
        <f>MAX(ABS(Dataset!B21-Dataset!B27),ABS(Dataset!C21-Dataset!C27),ABS(Dataset!D21-Dataset!D27),ABS(Dataset!E21-Dataset!E27),ABS(Dataset!F21-Dataset!F27),ABS(Dataset!G21-Dataset!G27))</f>
        <v>0.45</v>
      </c>
      <c r="J82" s="12">
        <f>MAX(ABS(Dataset!B21-Dataset!B28),ABS(Dataset!C21-Dataset!C28),ABS(Dataset!D21-Dataset!D28),ABS(Dataset!E21-Dataset!E28),ABS(Dataset!F21-Dataset!F28),ABS(Dataset!G21-Dataset!G28))</f>
        <v>0.81355932203389836</v>
      </c>
      <c r="K82" s="12">
        <f>MAX(ABS(Dataset!B21-Dataset!B29),ABS(Dataset!C21-Dataset!C29),ABS(Dataset!D21-Dataset!D29),ABS(Dataset!E21-Dataset!E29),ABS(Dataset!F21-Dataset!F29),ABS(Dataset!G21-Dataset!G29))</f>
        <v>0.83050847457627119</v>
      </c>
    </row>
    <row r="83" spans="1:11" ht="25.05" customHeight="1">
      <c r="A83" s="6" t="s">
        <v>17</v>
      </c>
      <c r="B83" s="11">
        <f>MAX(ABS(Dataset!B22-Dataset!B20),ABS(Dataset!C22-Dataset!C20),ABS(Dataset!D22-Dataset!D20),ABS(Dataset!E22-Dataset!E20),ABS(Dataset!F22-Dataset!F20),ABS(Dataset!G22-Dataset!G20))</f>
        <v>0.8688524590163933</v>
      </c>
      <c r="C83" s="11">
        <f>MAX(ABS(Dataset!B22-Dataset!B21),ABS(Dataset!C22-Dataset!C21),ABS(Dataset!D22-Dataset!D21),ABS(Dataset!E22-Dataset!E21),ABS(Dataset!F22-Dataset!F21),ABS(Dataset!G22-Dataset!G21))</f>
        <v>0.52542372881355937</v>
      </c>
      <c r="D83" s="11">
        <f>MAX(ABS(Dataset!B22-Dataset!B22),ABS(Dataset!C22-Dataset!C22),ABS(Dataset!D22-Dataset!D22),ABS(Dataset!E22-Dataset!E22),ABS(Dataset!F22-Dataset!F22),ABS(Dataset!G22-Dataset!G22))</f>
        <v>0</v>
      </c>
      <c r="E83" s="11">
        <f>MAX(ABS(Dataset!B22-Dataset!B23),ABS(Dataset!C22-Dataset!C23),ABS(Dataset!D22-Dataset!D23),ABS(Dataset!E22-Dataset!E23),ABS(Dataset!F22-Dataset!F23),ABS(Dataset!G22-Dataset!G23))</f>
        <v>0.67073170731707321</v>
      </c>
      <c r="F83" s="11">
        <f>MAX(ABS(Dataset!B22-Dataset!B24),ABS(Dataset!C22-Dataset!C24),ABS(Dataset!D22-Dataset!D24),ABS(Dataset!E22-Dataset!E24),ABS(Dataset!F22-Dataset!F24),ABS(Dataset!G22-Dataset!G24))</f>
        <v>0.27184466019417475</v>
      </c>
      <c r="G83" s="11">
        <f>MAX(ABS(Dataset!B22-Dataset!B25),ABS(Dataset!C22-Dataset!C25),ABS(Dataset!D22-Dataset!D25),ABS(Dataset!E22-Dataset!E25),ABS(Dataset!F22-Dataset!F25),ABS(Dataset!G22-Dataset!G25))</f>
        <v>0.70491803278688514</v>
      </c>
      <c r="H83" s="11">
        <f>MAX(ABS(Dataset!B22-Dataset!B26),ABS(Dataset!C22-Dataset!C26),ABS(Dataset!D22-Dataset!D26),ABS(Dataset!E22-Dataset!E26),ABS(Dataset!F22-Dataset!F26),ABS(Dataset!G22-Dataset!G26))</f>
        <v>1</v>
      </c>
      <c r="I83" s="11">
        <f>MAX(ABS(Dataset!B22-Dataset!B27),ABS(Dataset!C22-Dataset!C27),ABS(Dataset!D22-Dataset!D27),ABS(Dataset!E22-Dataset!E27),ABS(Dataset!F22-Dataset!F27),ABS(Dataset!G22-Dataset!G27))</f>
        <v>0.7213114754098362</v>
      </c>
      <c r="J83" s="11">
        <f>MAX(ABS(Dataset!B22-Dataset!B28),ABS(Dataset!C22-Dataset!C28),ABS(Dataset!D22-Dataset!D28),ABS(Dataset!E22-Dataset!E28),ABS(Dataset!F22-Dataset!F28),ABS(Dataset!G22-Dataset!G28))</f>
        <v>0.28813559322033899</v>
      </c>
      <c r="K83" s="11">
        <f>MAX(ABS(Dataset!B22-Dataset!B29),ABS(Dataset!C22-Dataset!C29),ABS(Dataset!D22-Dataset!D29),ABS(Dataset!E22-Dataset!E29),ABS(Dataset!F22-Dataset!F29),ABS(Dataset!G22-Dataset!G29))</f>
        <v>0.59016393442622961</v>
      </c>
    </row>
    <row r="84" spans="1:11" ht="25.05" customHeight="1">
      <c r="A84" s="7" t="s">
        <v>19</v>
      </c>
      <c r="B84" s="12">
        <f>MAX(ABS(Dataset!B23-Dataset!B20),ABS(Dataset!C23-Dataset!C20),ABS(Dataset!D23-Dataset!D20),ABS(Dataset!E23-Dataset!E20),ABS(Dataset!F23-Dataset!F20),ABS(Dataset!G23-Dataset!G20))</f>
        <v>0.6</v>
      </c>
      <c r="C84" s="12">
        <f>MAX(ABS(Dataset!B23-Dataset!B21),ABS(Dataset!C23-Dataset!C21),ABS(Dataset!D23-Dataset!D21),ABS(Dataset!E23-Dataset!E21),ABS(Dataset!F23-Dataset!F21),ABS(Dataset!G23-Dataset!G21))</f>
        <v>0.33928571428571397</v>
      </c>
      <c r="D84" s="12">
        <f>MAX(ABS(Dataset!B23-Dataset!B22),ABS(Dataset!C23-Dataset!C22),ABS(Dataset!D23-Dataset!D22),ABS(Dataset!E23-Dataset!E22),ABS(Dataset!F23-Dataset!F22),ABS(Dataset!G23-Dataset!G22))</f>
        <v>0.67073170731707321</v>
      </c>
      <c r="E84" s="12">
        <f>MAX(ABS(Dataset!B23-Dataset!B23),ABS(Dataset!C23-Dataset!C23),ABS(Dataset!D23-Dataset!D23),ABS(Dataset!E23-Dataset!E23),ABS(Dataset!F23-Dataset!F23),ABS(Dataset!G23-Dataset!G23))</f>
        <v>0</v>
      </c>
      <c r="F84" s="12">
        <f>MAX(ABS(Dataset!B23-Dataset!B24),ABS(Dataset!C23-Dataset!C24),ABS(Dataset!D23-Dataset!D24),ABS(Dataset!E23-Dataset!E24),ABS(Dataset!F23-Dataset!F24),ABS(Dataset!G23-Dataset!G24))</f>
        <v>0.86585365853658558</v>
      </c>
      <c r="G84" s="12">
        <f>MAX(ABS(Dataset!B23-Dataset!B25),ABS(Dataset!C23-Dataset!C25),ABS(Dataset!D23-Dataset!D25),ABS(Dataset!E23-Dataset!E25),ABS(Dataset!F23-Dataset!F25),ABS(Dataset!G23-Dataset!G25))</f>
        <v>0.19512195121951242</v>
      </c>
      <c r="H84" s="12">
        <f>MAX(ABS(Dataset!B23-Dataset!B26),ABS(Dataset!C23-Dataset!C26),ABS(Dataset!D23-Dataset!D26),ABS(Dataset!E23-Dataset!E26),ABS(Dataset!F23-Dataset!F26),ABS(Dataset!G23-Dataset!G26))</f>
        <v>0.47540983606557374</v>
      </c>
      <c r="I84" s="12">
        <f>MAX(ABS(Dataset!B23-Dataset!B27),ABS(Dataset!C23-Dataset!C27),ABS(Dataset!D23-Dataset!D27),ABS(Dataset!E23-Dataset!E27),ABS(Dataset!F23-Dataset!F27),ABS(Dataset!G23-Dataset!G27))</f>
        <v>0.32500000000000001</v>
      </c>
      <c r="J84" s="12">
        <f>MAX(ABS(Dataset!B23-Dataset!B28),ABS(Dataset!C23-Dataset!C28),ABS(Dataset!D23-Dataset!D28),ABS(Dataset!E23-Dataset!E28),ABS(Dataset!F23-Dataset!F28),ABS(Dataset!G23-Dataset!G28))</f>
        <v>0.82926829268292701</v>
      </c>
      <c r="K84" s="12">
        <f>MAX(ABS(Dataset!B23-Dataset!B29),ABS(Dataset!C23-Dataset!C29),ABS(Dataset!D23-Dataset!D29),ABS(Dataset!E23-Dataset!E29),ABS(Dataset!F23-Dataset!F29),ABS(Dataset!G23-Dataset!G29))</f>
        <v>0.90243902439024426</v>
      </c>
    </row>
    <row r="85" spans="1:11" ht="25.05" customHeight="1">
      <c r="A85" s="6" t="s">
        <v>21</v>
      </c>
      <c r="B85" s="11">
        <f>MAX(ABS(Dataset!B24-Dataset!B20),ABS(Dataset!C24-Dataset!C20),ABS(Dataset!D24-Dataset!D20),ABS(Dataset!E24-Dataset!E20),ABS(Dataset!F24-Dataset!F20),ABS(Dataset!G24-Dataset!G20))</f>
        <v>0.95145631067961167</v>
      </c>
      <c r="C85" s="11">
        <f>MAX(ABS(Dataset!B24-Dataset!B21),ABS(Dataset!C24-Dataset!C21),ABS(Dataset!D24-Dataset!D21),ABS(Dataset!E24-Dataset!E21),ABS(Dataset!F24-Dataset!F21),ABS(Dataset!G24-Dataset!G21))</f>
        <v>0.72881355932203395</v>
      </c>
      <c r="D85" s="11">
        <f>MAX(ABS(Dataset!B24-Dataset!B22),ABS(Dataset!C24-Dataset!C22),ABS(Dataset!D24-Dataset!D22),ABS(Dataset!E24-Dataset!E22),ABS(Dataset!F24-Dataset!F22),ABS(Dataset!G24-Dataset!G22))</f>
        <v>0.27184466019417475</v>
      </c>
      <c r="E85" s="11">
        <f>MAX(ABS(Dataset!B24-Dataset!B23),ABS(Dataset!C24-Dataset!C23),ABS(Dataset!D24-Dataset!D23),ABS(Dataset!E24-Dataset!E23),ABS(Dataset!F24-Dataset!F23),ABS(Dataset!G24-Dataset!G23))</f>
        <v>0.86585365853658558</v>
      </c>
      <c r="F85" s="11">
        <f>MAX(ABS(Dataset!B24-Dataset!B24),ABS(Dataset!C24-Dataset!C24),ABS(Dataset!D24-Dataset!D24),ABS(Dataset!E24-Dataset!E24),ABS(Dataset!F24-Dataset!F24),ABS(Dataset!G24-Dataset!G24))</f>
        <v>0</v>
      </c>
      <c r="G85" s="11">
        <f>MAX(ABS(Dataset!B24-Dataset!B25),ABS(Dataset!C24-Dataset!C25),ABS(Dataset!D24-Dataset!D25),ABS(Dataset!E24-Dataset!E25),ABS(Dataset!F24-Dataset!F25),ABS(Dataset!G24-Dataset!G25))</f>
        <v>0.6707317073170731</v>
      </c>
      <c r="H85" s="11">
        <f>MAX(ABS(Dataset!B24-Dataset!B26),ABS(Dataset!C24-Dataset!C26),ABS(Dataset!D24-Dataset!D26),ABS(Dataset!E24-Dataset!E26),ABS(Dataset!F24-Dataset!F26),ABS(Dataset!G24-Dataset!G26))</f>
        <v>0.96341463414634132</v>
      </c>
      <c r="I85" s="11">
        <f>MAX(ABS(Dataset!B24-Dataset!B27),ABS(Dataset!C24-Dataset!C27),ABS(Dataset!D24-Dataset!D27),ABS(Dataset!E24-Dataset!E27),ABS(Dataset!F24-Dataset!F27),ABS(Dataset!G24-Dataset!G27))</f>
        <v>0.91463414634146345</v>
      </c>
      <c r="J85" s="11">
        <f>MAX(ABS(Dataset!B24-Dataset!B28),ABS(Dataset!C24-Dataset!C28),ABS(Dataset!D24-Dataset!D28),ABS(Dataset!E24-Dataset!E28),ABS(Dataset!F24-Dataset!F28),ABS(Dataset!G24-Dataset!G28))</f>
        <v>0.125</v>
      </c>
      <c r="K85" s="11">
        <f>MAX(ABS(Dataset!B24-Dataset!B29),ABS(Dataset!C24-Dataset!C29),ABS(Dataset!D24-Dataset!D29),ABS(Dataset!E24-Dataset!E29),ABS(Dataset!F24-Dataset!F29),ABS(Dataset!G24-Dataset!G29))</f>
        <v>0.50819672131147553</v>
      </c>
    </row>
    <row r="86" spans="1:11" ht="25.05" customHeight="1">
      <c r="A86" s="7" t="s">
        <v>23</v>
      </c>
      <c r="B86" s="12">
        <f>MAX(ABS(Dataset!B25-Dataset!B20),ABS(Dataset!C25-Dataset!C20),ABS(Dataset!D25-Dataset!D20),ABS(Dataset!E25-Dataset!E20),ABS(Dataset!F25-Dataset!F20),ABS(Dataset!G25-Dataset!G20))</f>
        <v>0.57281553398058249</v>
      </c>
      <c r="C86" s="12">
        <f>MAX(ABS(Dataset!B25-Dataset!B21),ABS(Dataset!C25-Dataset!C21),ABS(Dataset!D25-Dataset!D21),ABS(Dataset!E25-Dataset!E21),ABS(Dataset!F25-Dataset!F21),ABS(Dataset!G25-Dataset!G21))</f>
        <v>0.33898305084745761</v>
      </c>
      <c r="D86" s="12">
        <f>MAX(ABS(Dataset!B25-Dataset!B22),ABS(Dataset!C25-Dataset!C22),ABS(Dataset!D25-Dataset!D22),ABS(Dataset!E25-Dataset!E22),ABS(Dataset!F25-Dataset!F22),ABS(Dataset!G25-Dataset!G22))</f>
        <v>0.70491803278688514</v>
      </c>
      <c r="E86" s="12">
        <f>MAX(ABS(Dataset!B25-Dataset!B23),ABS(Dataset!C25-Dataset!C23),ABS(Dataset!D25-Dataset!D23),ABS(Dataset!E25-Dataset!E23),ABS(Dataset!F25-Dataset!F23),ABS(Dataset!G25-Dataset!G23))</f>
        <v>0.19512195121951242</v>
      </c>
      <c r="F86" s="12">
        <f>MAX(ABS(Dataset!B25-Dataset!B24),ABS(Dataset!C25-Dataset!C24),ABS(Dataset!D25-Dataset!D24),ABS(Dataset!E25-Dataset!E24),ABS(Dataset!F25-Dataset!F24),ABS(Dataset!G25-Dataset!G24))</f>
        <v>0.6707317073170731</v>
      </c>
      <c r="G86" s="12">
        <f>MAX(ABS(Dataset!B25-Dataset!B25),ABS(Dataset!C25-Dataset!C25),ABS(Dataset!D25-Dataset!D25),ABS(Dataset!E25-Dataset!E25),ABS(Dataset!F25-Dataset!F25),ABS(Dataset!G25-Dataset!G25))</f>
        <v>0</v>
      </c>
      <c r="H86" s="12">
        <f>MAX(ABS(Dataset!B25-Dataset!B26),ABS(Dataset!C25-Dataset!C26),ABS(Dataset!D25-Dataset!D26),ABS(Dataset!E25-Dataset!E26),ABS(Dataset!F25-Dataset!F26),ABS(Dataset!G25-Dataset!G26))</f>
        <v>0.45</v>
      </c>
      <c r="I86" s="12">
        <f>MAX(ABS(Dataset!B25-Dataset!B27),ABS(Dataset!C25-Dataset!C27),ABS(Dataset!D25-Dataset!D27),ABS(Dataset!E25-Dataset!E27),ABS(Dataset!F25-Dataset!F27),ABS(Dataset!G25-Dataset!G27))</f>
        <v>0.375</v>
      </c>
      <c r="J86" s="12">
        <f>MAX(ABS(Dataset!B25-Dataset!B28),ABS(Dataset!C25-Dataset!C28),ABS(Dataset!D25-Dataset!D28),ABS(Dataset!E25-Dataset!E28),ABS(Dataset!F25-Dataset!F28),ABS(Dataset!G25-Dataset!G28))</f>
        <v>0.63414634146341453</v>
      </c>
      <c r="K86" s="12">
        <f>MAX(ABS(Dataset!B25-Dataset!B29),ABS(Dataset!C25-Dataset!C29),ABS(Dataset!D25-Dataset!D29),ABS(Dataset!E25-Dataset!E29),ABS(Dataset!F25-Dataset!F29),ABS(Dataset!G25-Dataset!G29))</f>
        <v>0.70731707317073189</v>
      </c>
    </row>
    <row r="87" spans="1:11" ht="25.05" customHeight="1">
      <c r="A87" s="6" t="s">
        <v>26</v>
      </c>
      <c r="B87" s="11">
        <f>MAX(ABS(Dataset!B26-Dataset!B20),ABS(Dataset!C26-Dataset!C20),ABS(Dataset!D26-Dataset!D20),ABS(Dataset!E26-Dataset!E20),ABS(Dataset!F26-Dataset!F20),ABS(Dataset!G26-Dataset!G20))</f>
        <v>1</v>
      </c>
      <c r="C87" s="11">
        <f>MAX(ABS(Dataset!B26-Dataset!B21),ABS(Dataset!C26-Dataset!C21),ABS(Dataset!D26-Dataset!D21),ABS(Dataset!E26-Dataset!E21),ABS(Dataset!F26-Dataset!F21),ABS(Dataset!G26-Dataset!G21))</f>
        <v>0.57377049180327855</v>
      </c>
      <c r="D87" s="11">
        <f>MAX(ABS(Dataset!B26-Dataset!B22),ABS(Dataset!C26-Dataset!C22),ABS(Dataset!D26-Dataset!D22),ABS(Dataset!E26-Dataset!E22),ABS(Dataset!F26-Dataset!F22),ABS(Dataset!G26-Dataset!G22))</f>
        <v>1</v>
      </c>
      <c r="E87" s="11">
        <f>MAX(ABS(Dataset!B26-Dataset!B23),ABS(Dataset!C26-Dataset!C23),ABS(Dataset!D26-Dataset!D23),ABS(Dataset!E26-Dataset!E23),ABS(Dataset!F26-Dataset!F23),ABS(Dataset!G26-Dataset!G23))</f>
        <v>0.47540983606557374</v>
      </c>
      <c r="F87" s="11">
        <f>MAX(ABS(Dataset!B26-Dataset!B24),ABS(Dataset!C26-Dataset!C24),ABS(Dataset!D26-Dataset!D24),ABS(Dataset!E26-Dataset!E24),ABS(Dataset!F26-Dataset!F24),ABS(Dataset!G26-Dataset!G24))</f>
        <v>0.96341463414634132</v>
      </c>
      <c r="G87" s="11">
        <f>MAX(ABS(Dataset!B26-Dataset!B25),ABS(Dataset!C26-Dataset!C25),ABS(Dataset!D26-Dataset!D25),ABS(Dataset!E26-Dataset!E25),ABS(Dataset!F26-Dataset!F25),ABS(Dataset!G26-Dataset!G25))</f>
        <v>0.45</v>
      </c>
      <c r="H87" s="11">
        <f>MAX(ABS(Dataset!B26-Dataset!B26),ABS(Dataset!C26-Dataset!C26),ABS(Dataset!D26-Dataset!D26),ABS(Dataset!E26-Dataset!E26),ABS(Dataset!F26-Dataset!F26),ABS(Dataset!G26-Dataset!G26))</f>
        <v>0</v>
      </c>
      <c r="I87" s="11">
        <f>MAX(ABS(Dataset!B26-Dataset!B27),ABS(Dataset!C26-Dataset!C27),ABS(Dataset!D26-Dataset!D27),ABS(Dataset!E26-Dataset!E27),ABS(Dataset!F26-Dataset!F27),ABS(Dataset!G26-Dataset!G27))</f>
        <v>0.27868852459016374</v>
      </c>
      <c r="J87" s="11">
        <f>MAX(ABS(Dataset!B26-Dataset!B28),ABS(Dataset!C26-Dataset!C28),ABS(Dataset!D26-Dataset!D28),ABS(Dataset!E26-Dataset!E28),ABS(Dataset!F26-Dataset!F28),ABS(Dataset!G26-Dataset!G28))</f>
        <v>0.92682926829268275</v>
      </c>
      <c r="K87" s="11">
        <f>MAX(ABS(Dataset!B26-Dataset!B29),ABS(Dataset!C26-Dataset!C29),ABS(Dataset!D26-Dataset!D29),ABS(Dataset!E26-Dataset!E29),ABS(Dataset!F26-Dataset!F29),ABS(Dataset!G26-Dataset!G29))</f>
        <v>1</v>
      </c>
    </row>
    <row r="88" spans="1:11" ht="25.05" customHeight="1">
      <c r="A88" s="7" t="s">
        <v>29</v>
      </c>
      <c r="B88" s="12">
        <f>MAX(ABS(Dataset!B27-Dataset!B20),ABS(Dataset!C27-Dataset!C20),ABS(Dataset!D27-Dataset!D20),ABS(Dataset!E27-Dataset!E20),ABS(Dataset!F27-Dataset!F20),ABS(Dataset!G27-Dataset!G20))</f>
        <v>0.92500000000000004</v>
      </c>
      <c r="C88" s="12">
        <f>MAX(ABS(Dataset!B27-Dataset!B21),ABS(Dataset!C27-Dataset!C21),ABS(Dataset!D27-Dataset!D21),ABS(Dataset!E27-Dataset!E21),ABS(Dataset!F27-Dataset!F21),ABS(Dataset!G27-Dataset!G21))</f>
        <v>0.45</v>
      </c>
      <c r="D88" s="12">
        <f>MAX(ABS(Dataset!B27-Dataset!B22),ABS(Dataset!C27-Dataset!C22),ABS(Dataset!D27-Dataset!D22),ABS(Dataset!E27-Dataset!E22),ABS(Dataset!F27-Dataset!F22),ABS(Dataset!G27-Dataset!G22))</f>
        <v>0.7213114754098362</v>
      </c>
      <c r="E88" s="12">
        <f>MAX(ABS(Dataset!B27-Dataset!B23),ABS(Dataset!C27-Dataset!C23),ABS(Dataset!D27-Dataset!D23),ABS(Dataset!E27-Dataset!E23),ABS(Dataset!F27-Dataset!F23),ABS(Dataset!G27-Dataset!G23))</f>
        <v>0.32500000000000001</v>
      </c>
      <c r="F88" s="12">
        <f>MAX(ABS(Dataset!B27-Dataset!B24),ABS(Dataset!C27-Dataset!C24),ABS(Dataset!D27-Dataset!D24),ABS(Dataset!E27-Dataset!E24),ABS(Dataset!F27-Dataset!F24),ABS(Dataset!G27-Dataset!G24))</f>
        <v>0.91463414634146345</v>
      </c>
      <c r="G88" s="12">
        <f>MAX(ABS(Dataset!B27-Dataset!B25),ABS(Dataset!C27-Dataset!C25),ABS(Dataset!D27-Dataset!D25),ABS(Dataset!E27-Dataset!E25),ABS(Dataset!F27-Dataset!F25),ABS(Dataset!G27-Dataset!G25))</f>
        <v>0.375</v>
      </c>
      <c r="H88" s="12">
        <f>MAX(ABS(Dataset!B27-Dataset!B26),ABS(Dataset!C27-Dataset!C26),ABS(Dataset!D27-Dataset!D26),ABS(Dataset!E27-Dataset!E26),ABS(Dataset!F27-Dataset!F26),ABS(Dataset!G27-Dataset!G26))</f>
        <v>0.27868852459016374</v>
      </c>
      <c r="I88" s="12">
        <f>MAX(ABS(Dataset!B27-Dataset!B27),ABS(Dataset!C27-Dataset!C27),ABS(Dataset!D27-Dataset!D27),ABS(Dataset!E27-Dataset!E27),ABS(Dataset!F27-Dataset!F27),ABS(Dataset!G27-Dataset!G27))</f>
        <v>0</v>
      </c>
      <c r="J88" s="12">
        <f>MAX(ABS(Dataset!B27-Dataset!B28),ABS(Dataset!C27-Dataset!C28),ABS(Dataset!D27-Dataset!D28),ABS(Dataset!E27-Dataset!E28),ABS(Dataset!F27-Dataset!F28),ABS(Dataset!G27-Dataset!G28))</f>
        <v>0.87804878048780488</v>
      </c>
      <c r="K88" s="12">
        <f>MAX(ABS(Dataset!B27-Dataset!B29),ABS(Dataset!C27-Dataset!C29),ABS(Dataset!D27-Dataset!D29),ABS(Dataset!E27-Dataset!E29),ABS(Dataset!F27-Dataset!F29),ABS(Dataset!G27-Dataset!G29))</f>
        <v>0.95121951219512213</v>
      </c>
    </row>
    <row r="89" spans="1:11" ht="25.05" customHeight="1">
      <c r="A89" s="6" t="s">
        <v>32</v>
      </c>
      <c r="B89" s="11">
        <f>MAX(ABS(Dataset!B28-Dataset!B20),ABS(Dataset!C28-Dataset!C20),ABS(Dataset!D28-Dataset!D20),ABS(Dataset!E28-Dataset!E20),ABS(Dataset!F28-Dataset!F20),ABS(Dataset!G28-Dataset!G20))</f>
        <v>0.98305084745762716</v>
      </c>
      <c r="C89" s="11">
        <f>MAX(ABS(Dataset!B28-Dataset!B21),ABS(Dataset!C28-Dataset!C21),ABS(Dataset!D28-Dataset!D21),ABS(Dataset!E28-Dataset!E21),ABS(Dataset!F28-Dataset!F21),ABS(Dataset!G28-Dataset!G21))</f>
        <v>0.81355932203389836</v>
      </c>
      <c r="D89" s="11">
        <f>MAX(ABS(Dataset!B28-Dataset!B22),ABS(Dataset!C28-Dataset!C22),ABS(Dataset!D28-Dataset!D22),ABS(Dataset!E28-Dataset!E22),ABS(Dataset!F28-Dataset!F22),ABS(Dataset!G28-Dataset!G22))</f>
        <v>0.28813559322033899</v>
      </c>
      <c r="E89" s="11">
        <f>MAX(ABS(Dataset!B28-Dataset!B23),ABS(Dataset!C28-Dataset!C23),ABS(Dataset!D28-Dataset!D23),ABS(Dataset!E28-Dataset!E23),ABS(Dataset!F28-Dataset!F23),ABS(Dataset!G28-Dataset!G23))</f>
        <v>0.82926829268292701</v>
      </c>
      <c r="F89" s="11">
        <f>MAX(ABS(Dataset!B28-Dataset!B24),ABS(Dataset!C28-Dataset!C24),ABS(Dataset!D28-Dataset!D24),ABS(Dataset!E28-Dataset!E24),ABS(Dataset!F28-Dataset!F24),ABS(Dataset!G28-Dataset!G24))</f>
        <v>0.125</v>
      </c>
      <c r="G89" s="11">
        <f>MAX(ABS(Dataset!B28-Dataset!B25),ABS(Dataset!C28-Dataset!C25),ABS(Dataset!D28-Dataset!D25),ABS(Dataset!E28-Dataset!E25),ABS(Dataset!F28-Dataset!F25),ABS(Dataset!G28-Dataset!G25))</f>
        <v>0.63414634146341453</v>
      </c>
      <c r="H89" s="11">
        <f>MAX(ABS(Dataset!B28-Dataset!B26),ABS(Dataset!C28-Dataset!C26),ABS(Dataset!D28-Dataset!D26),ABS(Dataset!E28-Dataset!E26),ABS(Dataset!F28-Dataset!F26),ABS(Dataset!G28-Dataset!G26))</f>
        <v>0.92682926829268275</v>
      </c>
      <c r="I89" s="11">
        <f>MAX(ABS(Dataset!B28-Dataset!B27),ABS(Dataset!C28-Dataset!C27),ABS(Dataset!D28-Dataset!D27),ABS(Dataset!E28-Dataset!E27),ABS(Dataset!F28-Dataset!F27),ABS(Dataset!G28-Dataset!G27))</f>
        <v>0.87804878048780488</v>
      </c>
      <c r="J89" s="11">
        <f>MAX(ABS(Dataset!B28-Dataset!B28),ABS(Dataset!C28-Dataset!C28),ABS(Dataset!D28-Dataset!D28),ABS(Dataset!E28-Dataset!E28),ABS(Dataset!F28-Dataset!F28),ABS(Dataset!G28-Dataset!G28))</f>
        <v>0</v>
      </c>
      <c r="K89" s="11">
        <f>MAX(ABS(Dataset!B28-Dataset!B29),ABS(Dataset!C28-Dataset!C29),ABS(Dataset!D28-Dataset!D29),ABS(Dataset!E28-Dataset!E29),ABS(Dataset!F28-Dataset!F29),ABS(Dataset!G28-Dataset!G29))</f>
        <v>0.49180327868852447</v>
      </c>
    </row>
    <row r="90" spans="1:11" ht="25.05" customHeight="1">
      <c r="A90" s="8" t="s">
        <v>33</v>
      </c>
      <c r="B90" s="13">
        <f>MAX(ABS(Dataset!B29-Dataset!B20),ABS(Dataset!C29-Dataset!C20),ABS(Dataset!D29-Dataset!D20),ABS(Dataset!E29-Dataset!E20),ABS(Dataset!F29-Dataset!F20),ABS(Dataset!G29-Dataset!G20))</f>
        <v>1</v>
      </c>
      <c r="C90" s="13">
        <f>MAX(ABS(Dataset!B29-Dataset!B21),ABS(Dataset!C29-Dataset!C21),ABS(Dataset!D29-Dataset!D21),ABS(Dataset!E29-Dataset!E21),ABS(Dataset!F29-Dataset!F21),ABS(Dataset!G29-Dataset!G21))</f>
        <v>0.83050847457627119</v>
      </c>
      <c r="D90" s="13">
        <f>MAX(ABS(Dataset!B29-Dataset!B22),ABS(Dataset!C29-Dataset!C22),ABS(Dataset!D29-Dataset!D22),ABS(Dataset!E29-Dataset!E22),ABS(Dataset!F29-Dataset!F22),ABS(Dataset!G29-Dataset!G22))</f>
        <v>0.59016393442622961</v>
      </c>
      <c r="E90" s="13">
        <f>MAX(ABS(Dataset!B29-Dataset!B23),ABS(Dataset!C29-Dataset!C23),ABS(Dataset!D29-Dataset!D23),ABS(Dataset!E29-Dataset!E23),ABS(Dataset!F29-Dataset!F23),ABS(Dataset!G29-Dataset!G23))</f>
        <v>0.90243902439024426</v>
      </c>
      <c r="F90" s="13">
        <f>MAX(ABS(Dataset!B29-Dataset!B24),ABS(Dataset!C29-Dataset!C24),ABS(Dataset!D29-Dataset!D24),ABS(Dataset!E29-Dataset!E24),ABS(Dataset!F29-Dataset!F24),ABS(Dataset!G29-Dataset!G24))</f>
        <v>0.50819672131147553</v>
      </c>
      <c r="G90" s="13">
        <f>MAX(ABS(Dataset!B29-Dataset!B25),ABS(Dataset!C29-Dataset!C25),ABS(Dataset!D29-Dataset!D25),ABS(Dataset!E29-Dataset!E25),ABS(Dataset!F29-Dataset!F25),ABS(Dataset!G29-Dataset!G25))</f>
        <v>0.70731707317073189</v>
      </c>
      <c r="H90" s="13">
        <f>MAX(ABS(Dataset!B29-Dataset!B26),ABS(Dataset!C29-Dataset!C26),ABS(Dataset!D29-Dataset!D26),ABS(Dataset!E29-Dataset!E26),ABS(Dataset!F29-Dataset!F26),ABS(Dataset!G29-Dataset!G26))</f>
        <v>1</v>
      </c>
      <c r="I90" s="13">
        <f>MAX(ABS(Dataset!B29-Dataset!B27),ABS(Dataset!C29-Dataset!C27),ABS(Dataset!D29-Dataset!D27),ABS(Dataset!E29-Dataset!E27),ABS(Dataset!F29-Dataset!F27),ABS(Dataset!G29-Dataset!G27))</f>
        <v>0.95121951219512213</v>
      </c>
      <c r="J90" s="13">
        <f>MAX(ABS(Dataset!B29-Dataset!B28),ABS(Dataset!C29-Dataset!C28),ABS(Dataset!D29-Dataset!D28),ABS(Dataset!E29-Dataset!E28),ABS(Dataset!F29-Dataset!F28),ABS(Dataset!G29-Dataset!G28))</f>
        <v>0.49180327868852447</v>
      </c>
      <c r="K90" s="13">
        <f>MAX(ABS(Dataset!B29-Dataset!B29),ABS(Dataset!C29-Dataset!C29),ABS(Dataset!D29-Dataset!D29),ABS(Dataset!E29-Dataset!E29),ABS(Dataset!F29-Dataset!F29),ABS(Dataset!G29-Dataset!G29))</f>
        <v>0</v>
      </c>
    </row>
    <row r="91" spans="1:1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spans="1:1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 spans="1:1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 spans="1:11" ht="30" customHeight="1">
      <c r="A94" s="35" t="s">
        <v>46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</row>
    <row r="95" spans="1:11" ht="43.95" customHeight="1">
      <c r="A95" s="2" t="s">
        <v>3</v>
      </c>
      <c r="B95" s="2" t="s">
        <v>13</v>
      </c>
      <c r="C95" s="2" t="s">
        <v>15</v>
      </c>
      <c r="D95" s="2" t="s">
        <v>17</v>
      </c>
      <c r="E95" s="2" t="s">
        <v>19</v>
      </c>
      <c r="F95" s="2" t="s">
        <v>21</v>
      </c>
      <c r="G95" s="2" t="s">
        <v>23</v>
      </c>
      <c r="H95" s="2" t="s">
        <v>26</v>
      </c>
      <c r="I95" s="2" t="s">
        <v>29</v>
      </c>
      <c r="J95" s="2" t="s">
        <v>32</v>
      </c>
      <c r="K95" s="2" t="s">
        <v>33</v>
      </c>
    </row>
    <row r="96" spans="1:11" ht="25.05" customHeight="1">
      <c r="A96" s="6" t="s">
        <v>13</v>
      </c>
      <c r="B96" s="11">
        <f>SUM(IF(ABS(Dataset!B20)+ABS(Dataset!B20)=0,0,ABS(Dataset!B20-Dataset!B20)/(ABS(Dataset!B20)+ABS(Dataset!B20))),IF(ABS(Dataset!C20)+ABS(Dataset!C20)=0,0,ABS(Dataset!C20-Dataset!C20)/(ABS(Dataset!C20)+ABS(Dataset!C20))),IF(ABS(Dataset!D20)+ABS(Dataset!D20)=0,0,ABS(Dataset!D20-Dataset!D20)/(ABS(Dataset!D20)+ABS(Dataset!D20))),IF(ABS(Dataset!E20)+ABS(Dataset!E20)=0,0,ABS(Dataset!E20-Dataset!E20)/(ABS(Dataset!E20)+ABS(Dataset!E20))),IF(ABS(Dataset!F20)+ABS(Dataset!F20)=0,0,ABS(Dataset!F20-Dataset!F20)/(ABS(Dataset!F20)+ABS(Dataset!F20))),IF(ABS(Dataset!G20)+ABS(Dataset!G20)=0,0,ABS(Dataset!G20-Dataset!G20)/(ABS(Dataset!G20)+ABS(Dataset!G20))))</f>
        <v>0</v>
      </c>
      <c r="C96" s="11">
        <f>SUM(IF(ABS(Dataset!B20)+ABS(Dataset!B21)=0,0,ABS(Dataset!B20-Dataset!B21)/(ABS(Dataset!B20)+ABS(Dataset!B21))),IF(ABS(Dataset!C20)+ABS(Dataset!C21)=0,0,ABS(Dataset!C20-Dataset!C21)/(ABS(Dataset!C20)+ABS(Dataset!C21))),IF(ABS(Dataset!D20)+ABS(Dataset!D21)=0,0,ABS(Dataset!D20-Dataset!D21)/(ABS(Dataset!D20)+ABS(Dataset!D21))),IF(ABS(Dataset!E20)+ABS(Dataset!E21)=0,0,ABS(Dataset!E20-Dataset!E21)/(ABS(Dataset!E20)+ABS(Dataset!E21))),IF(ABS(Dataset!F20)+ABS(Dataset!F21)=0,0,ABS(Dataset!F20-Dataset!F21)/(ABS(Dataset!F20)+ABS(Dataset!F21))),IF(ABS(Dataset!G20)+ABS(Dataset!G21)=0,0,ABS(Dataset!G20-Dataset!G21)/(ABS(Dataset!G20)+ABS(Dataset!G21))))</f>
        <v>4.6969581441560102</v>
      </c>
      <c r="D96" s="11">
        <f>SUM(IF(ABS(Dataset!B20)+ABS(Dataset!B22)=0,0,ABS(Dataset!B20-Dataset!B22)/(ABS(Dataset!B20)+ABS(Dataset!B22))),IF(ABS(Dataset!C20)+ABS(Dataset!C22)=0,0,ABS(Dataset!C20-Dataset!C22)/(ABS(Dataset!C20)+ABS(Dataset!C22))),IF(ABS(Dataset!D20)+ABS(Dataset!D22)=0,0,ABS(Dataset!D20-Dataset!D22)/(ABS(Dataset!D20)+ABS(Dataset!D22))),IF(ABS(Dataset!E20)+ABS(Dataset!E22)=0,0,ABS(Dataset!E20-Dataset!E22)/(ABS(Dataset!E20)+ABS(Dataset!E22))),IF(ABS(Dataset!F20)+ABS(Dataset!F22)=0,0,ABS(Dataset!F20-Dataset!F22)/(ABS(Dataset!F20)+ABS(Dataset!F22))),IF(ABS(Dataset!G20)+ABS(Dataset!G22)=0,0,ABS(Dataset!G20-Dataset!G22)/(ABS(Dataset!G20)+ABS(Dataset!G22))))</f>
        <v>5.0280233017819453</v>
      </c>
      <c r="E96" s="11">
        <f>SUM(IF(ABS(Dataset!B20)+ABS(Dataset!B23)=0,0,ABS(Dataset!B20-Dataset!B23)/(ABS(Dataset!B20)+ABS(Dataset!B23))),IF(ABS(Dataset!C20)+ABS(Dataset!C23)=0,0,ABS(Dataset!C20-Dataset!C23)/(ABS(Dataset!C20)+ABS(Dataset!C23))),IF(ABS(Dataset!D20)+ABS(Dataset!D23)=0,0,ABS(Dataset!D20-Dataset!D23)/(ABS(Dataset!D20)+ABS(Dataset!D23))),IF(ABS(Dataset!E20)+ABS(Dataset!E23)=0,0,ABS(Dataset!E20-Dataset!E23)/(ABS(Dataset!E20)+ABS(Dataset!E23))),IF(ABS(Dataset!F20)+ABS(Dataset!F23)=0,0,ABS(Dataset!F20-Dataset!F23)/(ABS(Dataset!F20)+ABS(Dataset!F23))),IF(ABS(Dataset!G20)+ABS(Dataset!G23)=0,0,ABS(Dataset!G20-Dataset!G23)/(ABS(Dataset!G20)+ABS(Dataset!G23))))</f>
        <v>4.3294723294723294</v>
      </c>
      <c r="F96" s="11">
        <f>SUM(IF(ABS(Dataset!B20)+ABS(Dataset!B24)=0,0,ABS(Dataset!B20-Dataset!B24)/(ABS(Dataset!B20)+ABS(Dataset!B24))),IF(ABS(Dataset!C20)+ABS(Dataset!C24)=0,0,ABS(Dataset!C20-Dataset!C24)/(ABS(Dataset!C20)+ABS(Dataset!C24))),IF(ABS(Dataset!D20)+ABS(Dataset!D24)=0,0,ABS(Dataset!D20-Dataset!D24)/(ABS(Dataset!D20)+ABS(Dataset!D24))),IF(ABS(Dataset!E20)+ABS(Dataset!E24)=0,0,ABS(Dataset!E20-Dataset!E24)/(ABS(Dataset!E20)+ABS(Dataset!E24))),IF(ABS(Dataset!F20)+ABS(Dataset!F24)=0,0,ABS(Dataset!F20-Dataset!F24)/(ABS(Dataset!F20)+ABS(Dataset!F24))),IF(ABS(Dataset!G20)+ABS(Dataset!G24)=0,0,ABS(Dataset!G20-Dataset!G24)/(ABS(Dataset!G20)+ABS(Dataset!G24))))</f>
        <v>4.943937038476486</v>
      </c>
      <c r="G96" s="11">
        <f>SUM(IF(ABS(Dataset!B20)+ABS(Dataset!B25)=0,0,ABS(Dataset!B20-Dataset!B25)/(ABS(Dataset!B20)+ABS(Dataset!B25))),IF(ABS(Dataset!C20)+ABS(Dataset!C25)=0,0,ABS(Dataset!C20-Dataset!C25)/(ABS(Dataset!C20)+ABS(Dataset!C25))),IF(ABS(Dataset!D20)+ABS(Dataset!D25)=0,0,ABS(Dataset!D20-Dataset!D25)/(ABS(Dataset!D20)+ABS(Dataset!D25))),IF(ABS(Dataset!E20)+ABS(Dataset!E25)=0,0,ABS(Dataset!E20-Dataset!E25)/(ABS(Dataset!E20)+ABS(Dataset!E25))),IF(ABS(Dataset!F20)+ABS(Dataset!F25)=0,0,ABS(Dataset!F20-Dataset!F25)/(ABS(Dataset!F20)+ABS(Dataset!F25))),IF(ABS(Dataset!G20)+ABS(Dataset!G25)=0,0,ABS(Dataset!G20-Dataset!G25)/(ABS(Dataset!G20)+ABS(Dataset!G25))))</f>
        <v>4.4782114437286857</v>
      </c>
      <c r="H96" s="11">
        <f>SUM(IF(ABS(Dataset!B20)+ABS(Dataset!B26)=0,0,ABS(Dataset!B20-Dataset!B26)/(ABS(Dataset!B20)+ABS(Dataset!B26))),IF(ABS(Dataset!C20)+ABS(Dataset!C26)=0,0,ABS(Dataset!C20-Dataset!C26)/(ABS(Dataset!C20)+ABS(Dataset!C26))),IF(ABS(Dataset!D20)+ABS(Dataset!D26)=0,0,ABS(Dataset!D20-Dataset!D26)/(ABS(Dataset!D20)+ABS(Dataset!D26))),IF(ABS(Dataset!E20)+ABS(Dataset!E26)=0,0,ABS(Dataset!E20-Dataset!E26)/(ABS(Dataset!E20)+ABS(Dataset!E26))),IF(ABS(Dataset!F20)+ABS(Dataset!F26)=0,0,ABS(Dataset!F20-Dataset!F26)/(ABS(Dataset!F20)+ABS(Dataset!F26))),IF(ABS(Dataset!G20)+ABS(Dataset!G26)=0,0,ABS(Dataset!G20-Dataset!G26)/(ABS(Dataset!G20)+ABS(Dataset!G26))))</f>
        <v>6</v>
      </c>
      <c r="I96" s="11">
        <f>SUM(IF(ABS(Dataset!B20)+ABS(Dataset!B27)=0,0,ABS(Dataset!B20-Dataset!B27)/(ABS(Dataset!B20)+ABS(Dataset!B27))),IF(ABS(Dataset!C20)+ABS(Dataset!C27)=0,0,ABS(Dataset!C20-Dataset!C27)/(ABS(Dataset!C20)+ABS(Dataset!C27))),IF(ABS(Dataset!D20)+ABS(Dataset!D27)=0,0,ABS(Dataset!D20-Dataset!D27)/(ABS(Dataset!D20)+ABS(Dataset!D27))),IF(ABS(Dataset!E20)+ABS(Dataset!E27)=0,0,ABS(Dataset!E20-Dataset!E27)/(ABS(Dataset!E20)+ABS(Dataset!E27))),IF(ABS(Dataset!F20)+ABS(Dataset!F27)=0,0,ABS(Dataset!F20-Dataset!F27)/(ABS(Dataset!F20)+ABS(Dataset!F27))),IF(ABS(Dataset!G20)+ABS(Dataset!G27)=0,0,ABS(Dataset!G20-Dataset!G27)/(ABS(Dataset!G20)+ABS(Dataset!G27))))</f>
        <v>4.220465116279069</v>
      </c>
      <c r="J96" s="11">
        <f>SUM(IF(ABS(Dataset!B20)+ABS(Dataset!B28)=0,0,ABS(Dataset!B20-Dataset!B28)/(ABS(Dataset!B20)+ABS(Dataset!B28))),IF(ABS(Dataset!C20)+ABS(Dataset!C28)=0,0,ABS(Dataset!C20-Dataset!C28)/(ABS(Dataset!C20)+ABS(Dataset!C28))),IF(ABS(Dataset!D20)+ABS(Dataset!D28)=0,0,ABS(Dataset!D20-Dataset!D28)/(ABS(Dataset!D20)+ABS(Dataset!D28))),IF(ABS(Dataset!E20)+ABS(Dataset!E28)=0,0,ABS(Dataset!E20-Dataset!E28)/(ABS(Dataset!E20)+ABS(Dataset!E28))),IF(ABS(Dataset!F20)+ABS(Dataset!F28)=0,0,ABS(Dataset!F20-Dataset!F28)/(ABS(Dataset!F20)+ABS(Dataset!F28))),IF(ABS(Dataset!G20)+ABS(Dataset!G28)=0,0,ABS(Dataset!G20-Dataset!G28)/(ABS(Dataset!G20)+ABS(Dataset!G28))))</f>
        <v>4.840061596778015</v>
      </c>
      <c r="K96" s="11">
        <f>SUM(IF(ABS(Dataset!B20)+ABS(Dataset!B29)=0,0,ABS(Dataset!B20-Dataset!B29)/(ABS(Dataset!B20)+ABS(Dataset!B29))),IF(ABS(Dataset!C20)+ABS(Dataset!C29)=0,0,ABS(Dataset!C20-Dataset!C29)/(ABS(Dataset!C20)+ABS(Dataset!C29))),IF(ABS(Dataset!D20)+ABS(Dataset!D29)=0,0,ABS(Dataset!D20-Dataset!D29)/(ABS(Dataset!D20)+ABS(Dataset!D29))),IF(ABS(Dataset!E20)+ABS(Dataset!E29)=0,0,ABS(Dataset!E20-Dataset!E29)/(ABS(Dataset!E20)+ABS(Dataset!E29))),IF(ABS(Dataset!F20)+ABS(Dataset!F29)=0,0,ABS(Dataset!F20-Dataset!F29)/(ABS(Dataset!F20)+ABS(Dataset!F29))),IF(ABS(Dataset!G20)+ABS(Dataset!G29)=0,0,ABS(Dataset!G20-Dataset!G29)/(ABS(Dataset!G20)+ABS(Dataset!G29))))</f>
        <v>4.5985988475728563</v>
      </c>
    </row>
    <row r="97" spans="1:11" ht="25.05" customHeight="1">
      <c r="A97" s="7" t="s">
        <v>15</v>
      </c>
      <c r="B97" s="12">
        <f>SUM(IF(ABS(Dataset!B21)+ABS(Dataset!B20)=0,0,ABS(Dataset!B21-Dataset!B20)/(ABS(Dataset!B21)+ABS(Dataset!B20))),IF(ABS(Dataset!C21)+ABS(Dataset!C20)=0,0,ABS(Dataset!C21-Dataset!C20)/(ABS(Dataset!C21)+ABS(Dataset!C20))),IF(ABS(Dataset!D21)+ABS(Dataset!D20)=0,0,ABS(Dataset!D21-Dataset!D20)/(ABS(Dataset!D21)+ABS(Dataset!D20))),IF(ABS(Dataset!E21)+ABS(Dataset!E20)=0,0,ABS(Dataset!E21-Dataset!E20)/(ABS(Dataset!E21)+ABS(Dataset!E20))),IF(ABS(Dataset!F21)+ABS(Dataset!F20)=0,0,ABS(Dataset!F21-Dataset!F20)/(ABS(Dataset!F21)+ABS(Dataset!F20))),IF(ABS(Dataset!G21)+ABS(Dataset!G20)=0,0,ABS(Dataset!G21-Dataset!G20)/(ABS(Dataset!G21)+ABS(Dataset!G20))))</f>
        <v>4.6969581441560102</v>
      </c>
      <c r="C97" s="12">
        <f>SUM(IF(ABS(Dataset!B21)+ABS(Dataset!B21)=0,0,ABS(Dataset!B21-Dataset!B21)/(ABS(Dataset!B21)+ABS(Dataset!B21))),IF(ABS(Dataset!C21)+ABS(Dataset!C21)=0,0,ABS(Dataset!C21-Dataset!C21)/(ABS(Dataset!C21)+ABS(Dataset!C21))),IF(ABS(Dataset!D21)+ABS(Dataset!D21)=0,0,ABS(Dataset!D21-Dataset!D21)/(ABS(Dataset!D21)+ABS(Dataset!D21))),IF(ABS(Dataset!E21)+ABS(Dataset!E21)=0,0,ABS(Dataset!E21-Dataset!E21)/(ABS(Dataset!E21)+ABS(Dataset!E21))),IF(ABS(Dataset!F21)+ABS(Dataset!F21)=0,0,ABS(Dataset!F21-Dataset!F21)/(ABS(Dataset!F21)+ABS(Dataset!F21))),IF(ABS(Dataset!G21)+ABS(Dataset!G21)=0,0,ABS(Dataset!G21-Dataset!G21)/(ABS(Dataset!G21)+ABS(Dataset!G21))))</f>
        <v>0</v>
      </c>
      <c r="D97" s="12">
        <f>SUM(IF(ABS(Dataset!B21)+ABS(Dataset!B22)=0,0,ABS(Dataset!B21-Dataset!B22)/(ABS(Dataset!B21)+ABS(Dataset!B22))),IF(ABS(Dataset!C21)+ABS(Dataset!C22)=0,0,ABS(Dataset!C21-Dataset!C22)/(ABS(Dataset!C21)+ABS(Dataset!C22))),IF(ABS(Dataset!D21)+ABS(Dataset!D22)=0,0,ABS(Dataset!D21-Dataset!D22)/(ABS(Dataset!D21)+ABS(Dataset!D22))),IF(ABS(Dataset!E21)+ABS(Dataset!E22)=0,0,ABS(Dataset!E21-Dataset!E22)/(ABS(Dataset!E21)+ABS(Dataset!E22))),IF(ABS(Dataset!F21)+ABS(Dataset!F22)=0,0,ABS(Dataset!F21-Dataset!F22)/(ABS(Dataset!F21)+ABS(Dataset!F22))),IF(ABS(Dataset!G21)+ABS(Dataset!G22)=0,0,ABS(Dataset!G21-Dataset!G22)/(ABS(Dataset!G21)+ABS(Dataset!G22))))</f>
        <v>1.916496034252462</v>
      </c>
      <c r="E97" s="12">
        <f>SUM(IF(ABS(Dataset!B21)+ABS(Dataset!B23)=0,0,ABS(Dataset!B21-Dataset!B23)/(ABS(Dataset!B21)+ABS(Dataset!B23))),IF(ABS(Dataset!C21)+ABS(Dataset!C23)=0,0,ABS(Dataset!C21-Dataset!C23)/(ABS(Dataset!C21)+ABS(Dataset!C23))),IF(ABS(Dataset!D21)+ABS(Dataset!D23)=0,0,ABS(Dataset!D21-Dataset!D23)/(ABS(Dataset!D21)+ABS(Dataset!D23))),IF(ABS(Dataset!E21)+ABS(Dataset!E23)=0,0,ABS(Dataset!E21-Dataset!E23)/(ABS(Dataset!E21)+ABS(Dataset!E23))),IF(ABS(Dataset!F21)+ABS(Dataset!F23)=0,0,ABS(Dataset!F21-Dataset!F23)/(ABS(Dataset!F21)+ABS(Dataset!F23))),IF(ABS(Dataset!G21)+ABS(Dataset!G23)=0,0,ABS(Dataset!G21-Dataset!G23)/(ABS(Dataset!G21)+ABS(Dataset!G23))))</f>
        <v>1.8962309732126812</v>
      </c>
      <c r="F97" s="12">
        <f>SUM(IF(ABS(Dataset!B21)+ABS(Dataset!B24)=0,0,ABS(Dataset!B21-Dataset!B24)/(ABS(Dataset!B21)+ABS(Dataset!B24))),IF(ABS(Dataset!C21)+ABS(Dataset!C24)=0,0,ABS(Dataset!C21-Dataset!C24)/(ABS(Dataset!C21)+ABS(Dataset!C24))),IF(ABS(Dataset!D21)+ABS(Dataset!D24)=0,0,ABS(Dataset!D21-Dataset!D24)/(ABS(Dataset!D21)+ABS(Dataset!D24))),IF(ABS(Dataset!E21)+ABS(Dataset!E24)=0,0,ABS(Dataset!E21-Dataset!E24)/(ABS(Dataset!E21)+ABS(Dataset!E24))),IF(ABS(Dataset!F21)+ABS(Dataset!F24)=0,0,ABS(Dataset!F21-Dataset!F24)/(ABS(Dataset!F21)+ABS(Dataset!F24))),IF(ABS(Dataset!G21)+ABS(Dataset!G24)=0,0,ABS(Dataset!G21-Dataset!G24)/(ABS(Dataset!G21)+ABS(Dataset!G24))))</f>
        <v>2.1479532026495036</v>
      </c>
      <c r="G97" s="12">
        <f>SUM(IF(ABS(Dataset!B21)+ABS(Dataset!B25)=0,0,ABS(Dataset!B21-Dataset!B25)/(ABS(Dataset!B21)+ABS(Dataset!B25))),IF(ABS(Dataset!C21)+ABS(Dataset!C25)=0,0,ABS(Dataset!C21-Dataset!C25)/(ABS(Dataset!C21)+ABS(Dataset!C25))),IF(ABS(Dataset!D21)+ABS(Dataset!D25)=0,0,ABS(Dataset!D21-Dataset!D25)/(ABS(Dataset!D21)+ABS(Dataset!D25))),IF(ABS(Dataset!E21)+ABS(Dataset!E25)=0,0,ABS(Dataset!E21-Dataset!E25)/(ABS(Dataset!E21)+ABS(Dataset!E25))),IF(ABS(Dataset!F21)+ABS(Dataset!F25)=0,0,ABS(Dataset!F21-Dataset!F25)/(ABS(Dataset!F21)+ABS(Dataset!F25))),IF(ABS(Dataset!G21)+ABS(Dataset!G25)=0,0,ABS(Dataset!G21-Dataset!G25)/(ABS(Dataset!G21)+ABS(Dataset!G25))))</f>
        <v>1.5732499095429167</v>
      </c>
      <c r="H97" s="12">
        <f>SUM(IF(ABS(Dataset!B21)+ABS(Dataset!B26)=0,0,ABS(Dataset!B21-Dataset!B26)/(ABS(Dataset!B21)+ABS(Dataset!B26))),IF(ABS(Dataset!C21)+ABS(Dataset!C26)=0,0,ABS(Dataset!C21-Dataset!C26)/(ABS(Dataset!C21)+ABS(Dataset!C26))),IF(ABS(Dataset!D21)+ABS(Dataset!D26)=0,0,ABS(Dataset!D21-Dataset!D26)/(ABS(Dataset!D21)+ABS(Dataset!D26))),IF(ABS(Dataset!E21)+ABS(Dataset!E26)=0,0,ABS(Dataset!E21-Dataset!E26)/(ABS(Dataset!E21)+ABS(Dataset!E26))),IF(ABS(Dataset!F21)+ABS(Dataset!F26)=0,0,ABS(Dataset!F21-Dataset!F26)/(ABS(Dataset!F21)+ABS(Dataset!F26))),IF(ABS(Dataset!G21)+ABS(Dataset!G26)=0,0,ABS(Dataset!G21-Dataset!G26)/(ABS(Dataset!G21)+ABS(Dataset!G26))))</f>
        <v>3.9205278152646574</v>
      </c>
      <c r="I97" s="12">
        <f>SUM(IF(ABS(Dataset!B21)+ABS(Dataset!B27)=0,0,ABS(Dataset!B21-Dataset!B27)/(ABS(Dataset!B21)+ABS(Dataset!B27))),IF(ABS(Dataset!C21)+ABS(Dataset!C27)=0,0,ABS(Dataset!C21-Dataset!C27)/(ABS(Dataset!C21)+ABS(Dataset!C27))),IF(ABS(Dataset!D21)+ABS(Dataset!D27)=0,0,ABS(Dataset!D21-Dataset!D27)/(ABS(Dataset!D21)+ABS(Dataset!D27))),IF(ABS(Dataset!E21)+ABS(Dataset!E27)=0,0,ABS(Dataset!E21-Dataset!E27)/(ABS(Dataset!E21)+ABS(Dataset!E27))),IF(ABS(Dataset!F21)+ABS(Dataset!F27)=0,0,ABS(Dataset!F21-Dataset!F27)/(ABS(Dataset!F21)+ABS(Dataset!F27))),IF(ABS(Dataset!G21)+ABS(Dataset!G27)=0,0,ABS(Dataset!G21-Dataset!G27)/(ABS(Dataset!G21)+ABS(Dataset!G27))))</f>
        <v>2.7981740481740491</v>
      </c>
      <c r="J97" s="12">
        <f>SUM(IF(ABS(Dataset!B21)+ABS(Dataset!B28)=0,0,ABS(Dataset!B21-Dataset!B28)/(ABS(Dataset!B21)+ABS(Dataset!B28))),IF(ABS(Dataset!C21)+ABS(Dataset!C28)=0,0,ABS(Dataset!C21-Dataset!C28)/(ABS(Dataset!C21)+ABS(Dataset!C28))),IF(ABS(Dataset!D21)+ABS(Dataset!D28)=0,0,ABS(Dataset!D21-Dataset!D28)/(ABS(Dataset!D21)+ABS(Dataset!D28))),IF(ABS(Dataset!E21)+ABS(Dataset!E28)=0,0,ABS(Dataset!E21-Dataset!E28)/(ABS(Dataset!E21)+ABS(Dataset!E28))),IF(ABS(Dataset!F21)+ABS(Dataset!F28)=0,0,ABS(Dataset!F21-Dataset!F28)/(ABS(Dataset!F21)+ABS(Dataset!F28))),IF(ABS(Dataset!G21)+ABS(Dataset!G28)=0,0,ABS(Dataset!G21-Dataset!G28)/(ABS(Dataset!G21)+ABS(Dataset!G28))))</f>
        <v>2.2151448751543628</v>
      </c>
      <c r="K97" s="12">
        <f>SUM(IF(ABS(Dataset!B21)+ABS(Dataset!B29)=0,0,ABS(Dataset!B21-Dataset!B29)/(ABS(Dataset!B21)+ABS(Dataset!B29))),IF(ABS(Dataset!C21)+ABS(Dataset!C29)=0,0,ABS(Dataset!C21-Dataset!C29)/(ABS(Dataset!C21)+ABS(Dataset!C29))),IF(ABS(Dataset!D21)+ABS(Dataset!D29)=0,0,ABS(Dataset!D21-Dataset!D29)/(ABS(Dataset!D21)+ABS(Dataset!D29))),IF(ABS(Dataset!E21)+ABS(Dataset!E29)=0,0,ABS(Dataset!E21-Dataset!E29)/(ABS(Dataset!E21)+ABS(Dataset!E29))),IF(ABS(Dataset!F21)+ABS(Dataset!F29)=0,0,ABS(Dataset!F21-Dataset!F29)/(ABS(Dataset!F21)+ABS(Dataset!F29))),IF(ABS(Dataset!G21)+ABS(Dataset!G29)=0,0,ABS(Dataset!G21-Dataset!G29)/(ABS(Dataset!G21)+ABS(Dataset!G29))))</f>
        <v>2.4088467959328677</v>
      </c>
    </row>
    <row r="98" spans="1:11" ht="25.05" customHeight="1">
      <c r="A98" s="6" t="s">
        <v>17</v>
      </c>
      <c r="B98" s="11">
        <f>SUM(IF(ABS(Dataset!B22)+ABS(Dataset!B20)=0,0,ABS(Dataset!B22-Dataset!B20)/(ABS(Dataset!B22)+ABS(Dataset!B20))),IF(ABS(Dataset!C22)+ABS(Dataset!C20)=0,0,ABS(Dataset!C22-Dataset!C20)/(ABS(Dataset!C22)+ABS(Dataset!C20))),IF(ABS(Dataset!D22)+ABS(Dataset!D20)=0,0,ABS(Dataset!D22-Dataset!D20)/(ABS(Dataset!D22)+ABS(Dataset!D20))),IF(ABS(Dataset!E22)+ABS(Dataset!E20)=0,0,ABS(Dataset!E22-Dataset!E20)/(ABS(Dataset!E22)+ABS(Dataset!E20))),IF(ABS(Dataset!F22)+ABS(Dataset!F20)=0,0,ABS(Dataset!F22-Dataset!F20)/(ABS(Dataset!F22)+ABS(Dataset!F20))),IF(ABS(Dataset!G22)+ABS(Dataset!G20)=0,0,ABS(Dataset!G22-Dataset!G20)/(ABS(Dataset!G22)+ABS(Dataset!G20))))</f>
        <v>5.0280233017819453</v>
      </c>
      <c r="C98" s="11">
        <f>SUM(IF(ABS(Dataset!B22)+ABS(Dataset!B21)=0,0,ABS(Dataset!B22-Dataset!B21)/(ABS(Dataset!B22)+ABS(Dataset!B21))),IF(ABS(Dataset!C22)+ABS(Dataset!C21)=0,0,ABS(Dataset!C22-Dataset!C21)/(ABS(Dataset!C22)+ABS(Dataset!C21))),IF(ABS(Dataset!D22)+ABS(Dataset!D21)=0,0,ABS(Dataset!D22-Dataset!D21)/(ABS(Dataset!D22)+ABS(Dataset!D21))),IF(ABS(Dataset!E22)+ABS(Dataset!E21)=0,0,ABS(Dataset!E22-Dataset!E21)/(ABS(Dataset!E22)+ABS(Dataset!E21))),IF(ABS(Dataset!F22)+ABS(Dataset!F21)=0,0,ABS(Dataset!F22-Dataset!F21)/(ABS(Dataset!F22)+ABS(Dataset!F21))),IF(ABS(Dataset!G22)+ABS(Dataset!G21)=0,0,ABS(Dataset!G22-Dataset!G21)/(ABS(Dataset!G22)+ABS(Dataset!G21))))</f>
        <v>1.916496034252462</v>
      </c>
      <c r="D98" s="11">
        <f>SUM(IF(ABS(Dataset!B22)+ABS(Dataset!B22)=0,0,ABS(Dataset!B22-Dataset!B22)/(ABS(Dataset!B22)+ABS(Dataset!B22))),IF(ABS(Dataset!C22)+ABS(Dataset!C22)=0,0,ABS(Dataset!C22-Dataset!C22)/(ABS(Dataset!C22)+ABS(Dataset!C22))),IF(ABS(Dataset!D22)+ABS(Dataset!D22)=0,0,ABS(Dataset!D22-Dataset!D22)/(ABS(Dataset!D22)+ABS(Dataset!D22))),IF(ABS(Dataset!E22)+ABS(Dataset!E22)=0,0,ABS(Dataset!E22-Dataset!E22)/(ABS(Dataset!E22)+ABS(Dataset!E22))),IF(ABS(Dataset!F22)+ABS(Dataset!F22)=0,0,ABS(Dataset!F22-Dataset!F22)/(ABS(Dataset!F22)+ABS(Dataset!F22))),IF(ABS(Dataset!G22)+ABS(Dataset!G22)=0,0,ABS(Dataset!G22-Dataset!G22)/(ABS(Dataset!G22)+ABS(Dataset!G22))))</f>
        <v>0</v>
      </c>
      <c r="E98" s="11">
        <f>SUM(IF(ABS(Dataset!B22)+ABS(Dataset!B23)=0,0,ABS(Dataset!B22-Dataset!B23)/(ABS(Dataset!B22)+ABS(Dataset!B23))),IF(ABS(Dataset!C22)+ABS(Dataset!C23)=0,0,ABS(Dataset!C22-Dataset!C23)/(ABS(Dataset!C22)+ABS(Dataset!C23))),IF(ABS(Dataset!D22)+ABS(Dataset!D23)=0,0,ABS(Dataset!D22-Dataset!D23)/(ABS(Dataset!D22)+ABS(Dataset!D23))),IF(ABS(Dataset!E22)+ABS(Dataset!E23)=0,0,ABS(Dataset!E22-Dataset!E23)/(ABS(Dataset!E22)+ABS(Dataset!E23))),IF(ABS(Dataset!F22)+ABS(Dataset!F23)=0,0,ABS(Dataset!F22-Dataset!F23)/(ABS(Dataset!F22)+ABS(Dataset!F23))),IF(ABS(Dataset!G22)+ABS(Dataset!G23)=0,0,ABS(Dataset!G22-Dataset!G23)/(ABS(Dataset!G22)+ABS(Dataset!G23))))</f>
        <v>2.2825586417157906</v>
      </c>
      <c r="F98" s="11">
        <f>SUM(IF(ABS(Dataset!B22)+ABS(Dataset!B24)=0,0,ABS(Dataset!B22-Dataset!B24)/(ABS(Dataset!B22)+ABS(Dataset!B24))),IF(ABS(Dataset!C22)+ABS(Dataset!C24)=0,0,ABS(Dataset!C22-Dataset!C24)/(ABS(Dataset!C22)+ABS(Dataset!C24))),IF(ABS(Dataset!D22)+ABS(Dataset!D24)=0,0,ABS(Dataset!D22-Dataset!D24)/(ABS(Dataset!D22)+ABS(Dataset!D24))),IF(ABS(Dataset!E22)+ABS(Dataset!E24)=0,0,ABS(Dataset!E22-Dataset!E24)/(ABS(Dataset!E22)+ABS(Dataset!E24))),IF(ABS(Dataset!F22)+ABS(Dataset!F24)=0,0,ABS(Dataset!F22-Dataset!F24)/(ABS(Dataset!F22)+ABS(Dataset!F24))),IF(ABS(Dataset!G22)+ABS(Dataset!G24)=0,0,ABS(Dataset!G22-Dataset!G24)/(ABS(Dataset!G22)+ABS(Dataset!G24))))</f>
        <v>0.58771202375212672</v>
      </c>
      <c r="G98" s="11">
        <f>SUM(IF(ABS(Dataset!B22)+ABS(Dataset!B25)=0,0,ABS(Dataset!B22-Dataset!B25)/(ABS(Dataset!B22)+ABS(Dataset!B25))),IF(ABS(Dataset!C22)+ABS(Dataset!C25)=0,0,ABS(Dataset!C22-Dataset!C25)/(ABS(Dataset!C22)+ABS(Dataset!C25))),IF(ABS(Dataset!D22)+ABS(Dataset!D25)=0,0,ABS(Dataset!D22-Dataset!D25)/(ABS(Dataset!D22)+ABS(Dataset!D25))),IF(ABS(Dataset!E22)+ABS(Dataset!E25)=0,0,ABS(Dataset!E22-Dataset!E25)/(ABS(Dataset!E22)+ABS(Dataset!E25))),IF(ABS(Dataset!F22)+ABS(Dataset!F25)=0,0,ABS(Dataset!F22-Dataset!F25)/(ABS(Dataset!F22)+ABS(Dataset!F25))),IF(ABS(Dataset!G22)+ABS(Dataset!G25)=0,0,ABS(Dataset!G22-Dataset!G25)/(ABS(Dataset!G22)+ABS(Dataset!G25))))</f>
        <v>1.5209161480519047</v>
      </c>
      <c r="H98" s="11">
        <f>SUM(IF(ABS(Dataset!B22)+ABS(Dataset!B26)=0,0,ABS(Dataset!B22-Dataset!B26)/(ABS(Dataset!B22)+ABS(Dataset!B26))),IF(ABS(Dataset!C22)+ABS(Dataset!C26)=0,0,ABS(Dataset!C22-Dataset!C26)/(ABS(Dataset!C22)+ABS(Dataset!C26))),IF(ABS(Dataset!D22)+ABS(Dataset!D26)=0,0,ABS(Dataset!D22-Dataset!D26)/(ABS(Dataset!D22)+ABS(Dataset!D26))),IF(ABS(Dataset!E22)+ABS(Dataset!E26)=0,0,ABS(Dataset!E22-Dataset!E26)/(ABS(Dataset!E22)+ABS(Dataset!E26))),IF(ABS(Dataset!F22)+ABS(Dataset!F26)=0,0,ABS(Dataset!F22-Dataset!F26)/(ABS(Dataset!F22)+ABS(Dataset!F26))),IF(ABS(Dataset!G22)+ABS(Dataset!G26)=0,0,ABS(Dataset!G22-Dataset!G26)/(ABS(Dataset!G22)+ABS(Dataset!G26))))</f>
        <v>4.4033633996518642</v>
      </c>
      <c r="I98" s="11">
        <f>SUM(IF(ABS(Dataset!B22)+ABS(Dataset!B27)=0,0,ABS(Dataset!B22-Dataset!B27)/(ABS(Dataset!B22)+ABS(Dataset!B27))),IF(ABS(Dataset!C22)+ABS(Dataset!C27)=0,0,ABS(Dataset!C22-Dataset!C27)/(ABS(Dataset!C22)+ABS(Dataset!C27))),IF(ABS(Dataset!D22)+ABS(Dataset!D27)=0,0,ABS(Dataset!D22-Dataset!D27)/(ABS(Dataset!D22)+ABS(Dataset!D27))),IF(ABS(Dataset!E22)+ABS(Dataset!E27)=0,0,ABS(Dataset!E22-Dataset!E27)/(ABS(Dataset!E22)+ABS(Dataset!E27))),IF(ABS(Dataset!F22)+ABS(Dataset!F27)=0,0,ABS(Dataset!F22-Dataset!F27)/(ABS(Dataset!F22)+ABS(Dataset!F27))),IF(ABS(Dataset!G22)+ABS(Dataset!G27)=0,0,ABS(Dataset!G22-Dataset!G27)/(ABS(Dataset!G22)+ABS(Dataset!G27))))</f>
        <v>3.1501614878128548</v>
      </c>
      <c r="J98" s="11">
        <f>SUM(IF(ABS(Dataset!B22)+ABS(Dataset!B28)=0,0,ABS(Dataset!B22-Dataset!B28)/(ABS(Dataset!B22)+ABS(Dataset!B28))),IF(ABS(Dataset!C22)+ABS(Dataset!C28)=0,0,ABS(Dataset!C22-Dataset!C28)/(ABS(Dataset!C22)+ABS(Dataset!C28))),IF(ABS(Dataset!D22)+ABS(Dataset!D28)=0,0,ABS(Dataset!D22-Dataset!D28)/(ABS(Dataset!D22)+ABS(Dataset!D28))),IF(ABS(Dataset!E22)+ABS(Dataset!E28)=0,0,ABS(Dataset!E22-Dataset!E28)/(ABS(Dataset!E22)+ABS(Dataset!E28))),IF(ABS(Dataset!F22)+ABS(Dataset!F28)=0,0,ABS(Dataset!F22-Dataset!F28)/(ABS(Dataset!F22)+ABS(Dataset!F28))),IF(ABS(Dataset!G22)+ABS(Dataset!G28)=0,0,ABS(Dataset!G22-Dataset!G28)/(ABS(Dataset!G22)+ABS(Dataset!G28))))</f>
        <v>0.68856412264041622</v>
      </c>
      <c r="K98" s="11">
        <f>SUM(IF(ABS(Dataset!B22)+ABS(Dataset!B29)=0,0,ABS(Dataset!B22-Dataset!B29)/(ABS(Dataset!B22)+ABS(Dataset!B29))),IF(ABS(Dataset!C22)+ABS(Dataset!C29)=0,0,ABS(Dataset!C22-Dataset!C29)/(ABS(Dataset!C22)+ABS(Dataset!C29))),IF(ABS(Dataset!D22)+ABS(Dataset!D29)=0,0,ABS(Dataset!D22-Dataset!D29)/(ABS(Dataset!D22)+ABS(Dataset!D29))),IF(ABS(Dataset!E22)+ABS(Dataset!E29)=0,0,ABS(Dataset!E22-Dataset!E29)/(ABS(Dataset!E22)+ABS(Dataset!E29))),IF(ABS(Dataset!F22)+ABS(Dataset!F29)=0,0,ABS(Dataset!F22-Dataset!F29)/(ABS(Dataset!F22)+ABS(Dataset!F29))),IF(ABS(Dataset!G22)+ABS(Dataset!G29)=0,0,ABS(Dataset!G22-Dataset!G29)/(ABS(Dataset!G22)+ABS(Dataset!G29))))</f>
        <v>1.3292712450580708</v>
      </c>
    </row>
    <row r="99" spans="1:11" ht="25.05" customHeight="1">
      <c r="A99" s="7" t="s">
        <v>19</v>
      </c>
      <c r="B99" s="12">
        <f>SUM(IF(ABS(Dataset!B23)+ABS(Dataset!B20)=0,0,ABS(Dataset!B23-Dataset!B20)/(ABS(Dataset!B23)+ABS(Dataset!B20))),IF(ABS(Dataset!C23)+ABS(Dataset!C20)=0,0,ABS(Dataset!C23-Dataset!C20)/(ABS(Dataset!C23)+ABS(Dataset!C20))),IF(ABS(Dataset!D23)+ABS(Dataset!D20)=0,0,ABS(Dataset!D23-Dataset!D20)/(ABS(Dataset!D23)+ABS(Dataset!D20))),IF(ABS(Dataset!E23)+ABS(Dataset!E20)=0,0,ABS(Dataset!E23-Dataset!E20)/(ABS(Dataset!E23)+ABS(Dataset!E20))),IF(ABS(Dataset!F23)+ABS(Dataset!F20)=0,0,ABS(Dataset!F23-Dataset!F20)/(ABS(Dataset!F23)+ABS(Dataset!F20))),IF(ABS(Dataset!G23)+ABS(Dataset!G20)=0,0,ABS(Dataset!G23-Dataset!G20)/(ABS(Dataset!G23)+ABS(Dataset!G20))))</f>
        <v>4.3294723294723294</v>
      </c>
      <c r="C99" s="12">
        <f>SUM(IF(ABS(Dataset!B23)+ABS(Dataset!B21)=0,0,ABS(Dataset!B23-Dataset!B21)/(ABS(Dataset!B23)+ABS(Dataset!B21))),IF(ABS(Dataset!C23)+ABS(Dataset!C21)=0,0,ABS(Dataset!C23-Dataset!C21)/(ABS(Dataset!C23)+ABS(Dataset!C21))),IF(ABS(Dataset!D23)+ABS(Dataset!D21)=0,0,ABS(Dataset!D23-Dataset!D21)/(ABS(Dataset!D23)+ABS(Dataset!D21))),IF(ABS(Dataset!E23)+ABS(Dataset!E21)=0,0,ABS(Dataset!E23-Dataset!E21)/(ABS(Dataset!E23)+ABS(Dataset!E21))),IF(ABS(Dataset!F23)+ABS(Dataset!F21)=0,0,ABS(Dataset!F23-Dataset!F21)/(ABS(Dataset!F23)+ABS(Dataset!F21))),IF(ABS(Dataset!G23)+ABS(Dataset!G21)=0,0,ABS(Dataset!G23-Dataset!G21)/(ABS(Dataset!G23)+ABS(Dataset!G21))))</f>
        <v>1.8962309732126812</v>
      </c>
      <c r="D99" s="12">
        <f>SUM(IF(ABS(Dataset!B23)+ABS(Dataset!B22)=0,0,ABS(Dataset!B23-Dataset!B22)/(ABS(Dataset!B23)+ABS(Dataset!B22))),IF(ABS(Dataset!C23)+ABS(Dataset!C22)=0,0,ABS(Dataset!C23-Dataset!C22)/(ABS(Dataset!C23)+ABS(Dataset!C22))),IF(ABS(Dataset!D23)+ABS(Dataset!D22)=0,0,ABS(Dataset!D23-Dataset!D22)/(ABS(Dataset!D23)+ABS(Dataset!D22))),IF(ABS(Dataset!E23)+ABS(Dataset!E22)=0,0,ABS(Dataset!E23-Dataset!E22)/(ABS(Dataset!E23)+ABS(Dataset!E22))),IF(ABS(Dataset!F23)+ABS(Dataset!F22)=0,0,ABS(Dataset!F23-Dataset!F22)/(ABS(Dataset!F23)+ABS(Dataset!F22))),IF(ABS(Dataset!G23)+ABS(Dataset!G22)=0,0,ABS(Dataset!G23-Dataset!G22)/(ABS(Dataset!G23)+ABS(Dataset!G22))))</f>
        <v>2.2825586417157906</v>
      </c>
      <c r="E99" s="12">
        <f>SUM(IF(ABS(Dataset!B23)+ABS(Dataset!B23)=0,0,ABS(Dataset!B23-Dataset!B23)/(ABS(Dataset!B23)+ABS(Dataset!B23))),IF(ABS(Dataset!C23)+ABS(Dataset!C23)=0,0,ABS(Dataset!C23-Dataset!C23)/(ABS(Dataset!C23)+ABS(Dataset!C23))),IF(ABS(Dataset!D23)+ABS(Dataset!D23)=0,0,ABS(Dataset!D23-Dataset!D23)/(ABS(Dataset!D23)+ABS(Dataset!D23))),IF(ABS(Dataset!E23)+ABS(Dataset!E23)=0,0,ABS(Dataset!E23-Dataset!E23)/(ABS(Dataset!E23)+ABS(Dataset!E23))),IF(ABS(Dataset!F23)+ABS(Dataset!F23)=0,0,ABS(Dataset!F23-Dataset!F23)/(ABS(Dataset!F23)+ABS(Dataset!F23))),IF(ABS(Dataset!G23)+ABS(Dataset!G23)=0,0,ABS(Dataset!G23-Dataset!G23)/(ABS(Dataset!G23)+ABS(Dataset!G23))))</f>
        <v>0</v>
      </c>
      <c r="F99" s="12">
        <f>SUM(IF(ABS(Dataset!B23)+ABS(Dataset!B24)=0,0,ABS(Dataset!B23-Dataset!B24)/(ABS(Dataset!B23)+ABS(Dataset!B24))),IF(ABS(Dataset!C23)+ABS(Dataset!C24)=0,0,ABS(Dataset!C23-Dataset!C24)/(ABS(Dataset!C23)+ABS(Dataset!C24))),IF(ABS(Dataset!D23)+ABS(Dataset!D24)=0,0,ABS(Dataset!D23-Dataset!D24)/(ABS(Dataset!D23)+ABS(Dataset!D24))),IF(ABS(Dataset!E23)+ABS(Dataset!E24)=0,0,ABS(Dataset!E23-Dataset!E24)/(ABS(Dataset!E23)+ABS(Dataset!E24))),IF(ABS(Dataset!F23)+ABS(Dataset!F24)=0,0,ABS(Dataset!F23-Dataset!F24)/(ABS(Dataset!F23)+ABS(Dataset!F24))),IF(ABS(Dataset!G23)+ABS(Dataset!G24)=0,0,ABS(Dataset!G23-Dataset!G24)/(ABS(Dataset!G23)+ABS(Dataset!G24))))</f>
        <v>2.6733656111630069</v>
      </c>
      <c r="G99" s="12">
        <f>SUM(IF(ABS(Dataset!B23)+ABS(Dataset!B25)=0,0,ABS(Dataset!B23-Dataset!B25)/(ABS(Dataset!B23)+ABS(Dataset!B25))),IF(ABS(Dataset!C23)+ABS(Dataset!C25)=0,0,ABS(Dataset!C23-Dataset!C25)/(ABS(Dataset!C23)+ABS(Dataset!C25))),IF(ABS(Dataset!D23)+ABS(Dataset!D25)=0,0,ABS(Dataset!D23-Dataset!D25)/(ABS(Dataset!D23)+ABS(Dataset!D25))),IF(ABS(Dataset!E23)+ABS(Dataset!E25)=0,0,ABS(Dataset!E23-Dataset!E25)/(ABS(Dataset!E23)+ABS(Dataset!E25))),IF(ABS(Dataset!F23)+ABS(Dataset!F25)=0,0,ABS(Dataset!F23-Dataset!F25)/(ABS(Dataset!F23)+ABS(Dataset!F25))),IF(ABS(Dataset!G23)+ABS(Dataset!G25)=0,0,ABS(Dataset!G23-Dataset!G25)/(ABS(Dataset!G23)+ABS(Dataset!G25))))</f>
        <v>1.4174415543013681</v>
      </c>
      <c r="H99" s="12">
        <f>SUM(IF(ABS(Dataset!B23)+ABS(Dataset!B26)=0,0,ABS(Dataset!B23-Dataset!B26)/(ABS(Dataset!B23)+ABS(Dataset!B26))),IF(ABS(Dataset!C23)+ABS(Dataset!C26)=0,0,ABS(Dataset!C23-Dataset!C26)/(ABS(Dataset!C23)+ABS(Dataset!C26))),IF(ABS(Dataset!D23)+ABS(Dataset!D26)=0,0,ABS(Dataset!D23-Dataset!D26)/(ABS(Dataset!D23)+ABS(Dataset!D26))),IF(ABS(Dataset!E23)+ABS(Dataset!E26)=0,0,ABS(Dataset!E23-Dataset!E26)/(ABS(Dataset!E23)+ABS(Dataset!E26))),IF(ABS(Dataset!F23)+ABS(Dataset!F26)=0,0,ABS(Dataset!F23-Dataset!F26)/(ABS(Dataset!F23)+ABS(Dataset!F26))),IF(ABS(Dataset!G23)+ABS(Dataset!G26)=0,0,ABS(Dataset!G23-Dataset!G26)/(ABS(Dataset!G23)+ABS(Dataset!G26))))</f>
        <v>3.3732876712328772</v>
      </c>
      <c r="I99" s="12">
        <f>SUM(IF(ABS(Dataset!B23)+ABS(Dataset!B27)=0,0,ABS(Dataset!B23-Dataset!B27)/(ABS(Dataset!B23)+ABS(Dataset!B27))),IF(ABS(Dataset!C23)+ABS(Dataset!C27)=0,0,ABS(Dataset!C23-Dataset!C27)/(ABS(Dataset!C23)+ABS(Dataset!C27))),IF(ABS(Dataset!D23)+ABS(Dataset!D27)=0,0,ABS(Dataset!D23-Dataset!D27)/(ABS(Dataset!D23)+ABS(Dataset!D27))),IF(ABS(Dataset!E23)+ABS(Dataset!E27)=0,0,ABS(Dataset!E23-Dataset!E27)/(ABS(Dataset!E23)+ABS(Dataset!E27))),IF(ABS(Dataset!F23)+ABS(Dataset!F27)=0,0,ABS(Dataset!F23-Dataset!F27)/(ABS(Dataset!F23)+ABS(Dataset!F27))),IF(ABS(Dataset!G23)+ABS(Dataset!G27)=0,0,ABS(Dataset!G23-Dataset!G27)/(ABS(Dataset!G23)+ABS(Dataset!G27))))</f>
        <v>1.5724314369296386</v>
      </c>
      <c r="J99" s="12">
        <f>SUM(IF(ABS(Dataset!B23)+ABS(Dataset!B28)=0,0,ABS(Dataset!B23-Dataset!B28)/(ABS(Dataset!B23)+ABS(Dataset!B28))),IF(ABS(Dataset!C23)+ABS(Dataset!C28)=0,0,ABS(Dataset!C23-Dataset!C28)/(ABS(Dataset!C23)+ABS(Dataset!C28))),IF(ABS(Dataset!D23)+ABS(Dataset!D28)=0,0,ABS(Dataset!D23-Dataset!D28)/(ABS(Dataset!D23)+ABS(Dataset!D28))),IF(ABS(Dataset!E23)+ABS(Dataset!E28)=0,0,ABS(Dataset!E23-Dataset!E28)/(ABS(Dataset!E23)+ABS(Dataset!E28))),IF(ABS(Dataset!F23)+ABS(Dataset!F28)=0,0,ABS(Dataset!F23-Dataset!F28)/(ABS(Dataset!F23)+ABS(Dataset!F28))),IF(ABS(Dataset!G23)+ABS(Dataset!G28)=0,0,ABS(Dataset!G23-Dataset!G28)/(ABS(Dataset!G23)+ABS(Dataset!G28))))</f>
        <v>2.772266460417069</v>
      </c>
      <c r="K99" s="12">
        <f>SUM(IF(ABS(Dataset!B23)+ABS(Dataset!B29)=0,0,ABS(Dataset!B23-Dataset!B29)/(ABS(Dataset!B23)+ABS(Dataset!B29))),IF(ABS(Dataset!C23)+ABS(Dataset!C29)=0,0,ABS(Dataset!C23-Dataset!C29)/(ABS(Dataset!C23)+ABS(Dataset!C29))),IF(ABS(Dataset!D23)+ABS(Dataset!D29)=0,0,ABS(Dataset!D23-Dataset!D29)/(ABS(Dataset!D23)+ABS(Dataset!D29))),IF(ABS(Dataset!E23)+ABS(Dataset!E29)=0,0,ABS(Dataset!E23-Dataset!E29)/(ABS(Dataset!E23)+ABS(Dataset!E29))),IF(ABS(Dataset!F23)+ABS(Dataset!F29)=0,0,ABS(Dataset!F23-Dataset!F29)/(ABS(Dataset!F23)+ABS(Dataset!F29))),IF(ABS(Dataset!G23)+ABS(Dataset!G29)=0,0,ABS(Dataset!G23-Dataset!G29)/(ABS(Dataset!G23)+ABS(Dataset!G29))))</f>
        <v>2.7102453058678031</v>
      </c>
    </row>
    <row r="100" spans="1:11" ht="25.05" customHeight="1">
      <c r="A100" s="6" t="s">
        <v>21</v>
      </c>
      <c r="B100" s="11">
        <f>SUM(IF(ABS(Dataset!B24)+ABS(Dataset!B20)=0,0,ABS(Dataset!B24-Dataset!B20)/(ABS(Dataset!B24)+ABS(Dataset!B20))),IF(ABS(Dataset!C24)+ABS(Dataset!C20)=0,0,ABS(Dataset!C24-Dataset!C20)/(ABS(Dataset!C24)+ABS(Dataset!C20))),IF(ABS(Dataset!D24)+ABS(Dataset!D20)=0,0,ABS(Dataset!D24-Dataset!D20)/(ABS(Dataset!D24)+ABS(Dataset!D20))),IF(ABS(Dataset!E24)+ABS(Dataset!E20)=0,0,ABS(Dataset!E24-Dataset!E20)/(ABS(Dataset!E24)+ABS(Dataset!E20))),IF(ABS(Dataset!F24)+ABS(Dataset!F20)=0,0,ABS(Dataset!F24-Dataset!F20)/(ABS(Dataset!F24)+ABS(Dataset!F20))),IF(ABS(Dataset!G24)+ABS(Dataset!G20)=0,0,ABS(Dataset!G24-Dataset!G20)/(ABS(Dataset!G24)+ABS(Dataset!G20))))</f>
        <v>4.943937038476486</v>
      </c>
      <c r="C100" s="11">
        <f>SUM(IF(ABS(Dataset!B24)+ABS(Dataset!B21)=0,0,ABS(Dataset!B24-Dataset!B21)/(ABS(Dataset!B24)+ABS(Dataset!B21))),IF(ABS(Dataset!C24)+ABS(Dataset!C21)=0,0,ABS(Dataset!C24-Dataset!C21)/(ABS(Dataset!C24)+ABS(Dataset!C21))),IF(ABS(Dataset!D24)+ABS(Dataset!D21)=0,0,ABS(Dataset!D24-Dataset!D21)/(ABS(Dataset!D24)+ABS(Dataset!D21))),IF(ABS(Dataset!E24)+ABS(Dataset!E21)=0,0,ABS(Dataset!E24-Dataset!E21)/(ABS(Dataset!E24)+ABS(Dataset!E21))),IF(ABS(Dataset!F24)+ABS(Dataset!F21)=0,0,ABS(Dataset!F24-Dataset!F21)/(ABS(Dataset!F24)+ABS(Dataset!F21))),IF(ABS(Dataset!G24)+ABS(Dataset!G21)=0,0,ABS(Dataset!G24-Dataset!G21)/(ABS(Dataset!G24)+ABS(Dataset!G21))))</f>
        <v>2.1479532026495036</v>
      </c>
      <c r="D100" s="11">
        <f>SUM(IF(ABS(Dataset!B24)+ABS(Dataset!B22)=0,0,ABS(Dataset!B24-Dataset!B22)/(ABS(Dataset!B24)+ABS(Dataset!B22))),IF(ABS(Dataset!C24)+ABS(Dataset!C22)=0,0,ABS(Dataset!C24-Dataset!C22)/(ABS(Dataset!C24)+ABS(Dataset!C22))),IF(ABS(Dataset!D24)+ABS(Dataset!D22)=0,0,ABS(Dataset!D24-Dataset!D22)/(ABS(Dataset!D24)+ABS(Dataset!D22))),IF(ABS(Dataset!E24)+ABS(Dataset!E22)=0,0,ABS(Dataset!E24-Dataset!E22)/(ABS(Dataset!E24)+ABS(Dataset!E22))),IF(ABS(Dataset!F24)+ABS(Dataset!F22)=0,0,ABS(Dataset!F24-Dataset!F22)/(ABS(Dataset!F24)+ABS(Dataset!F22))),IF(ABS(Dataset!G24)+ABS(Dataset!G22)=0,0,ABS(Dataset!G24-Dataset!G22)/(ABS(Dataset!G24)+ABS(Dataset!G22))))</f>
        <v>0.58771202375212672</v>
      </c>
      <c r="E100" s="11">
        <f>SUM(IF(ABS(Dataset!B24)+ABS(Dataset!B23)=0,0,ABS(Dataset!B24-Dataset!B23)/(ABS(Dataset!B24)+ABS(Dataset!B23))),IF(ABS(Dataset!C24)+ABS(Dataset!C23)=0,0,ABS(Dataset!C24-Dataset!C23)/(ABS(Dataset!C24)+ABS(Dataset!C23))),IF(ABS(Dataset!D24)+ABS(Dataset!D23)=0,0,ABS(Dataset!D24-Dataset!D23)/(ABS(Dataset!D24)+ABS(Dataset!D23))),IF(ABS(Dataset!E24)+ABS(Dataset!E23)=0,0,ABS(Dataset!E24-Dataset!E23)/(ABS(Dataset!E24)+ABS(Dataset!E23))),IF(ABS(Dataset!F24)+ABS(Dataset!F23)=0,0,ABS(Dataset!F24-Dataset!F23)/(ABS(Dataset!F24)+ABS(Dataset!F23))),IF(ABS(Dataset!G24)+ABS(Dataset!G23)=0,0,ABS(Dataset!G24-Dataset!G23)/(ABS(Dataset!G24)+ABS(Dataset!G23))))</f>
        <v>2.6733656111630069</v>
      </c>
      <c r="F100" s="11">
        <f>SUM(IF(ABS(Dataset!B24)+ABS(Dataset!B24)=0,0,ABS(Dataset!B24-Dataset!B24)/(ABS(Dataset!B24)+ABS(Dataset!B24))),IF(ABS(Dataset!C24)+ABS(Dataset!C24)=0,0,ABS(Dataset!C24-Dataset!C24)/(ABS(Dataset!C24)+ABS(Dataset!C24))),IF(ABS(Dataset!D24)+ABS(Dataset!D24)=0,0,ABS(Dataset!D24-Dataset!D24)/(ABS(Dataset!D24)+ABS(Dataset!D24))),IF(ABS(Dataset!E24)+ABS(Dataset!E24)=0,0,ABS(Dataset!E24-Dataset!E24)/(ABS(Dataset!E24)+ABS(Dataset!E24))),IF(ABS(Dataset!F24)+ABS(Dataset!F24)=0,0,ABS(Dataset!F24-Dataset!F24)/(ABS(Dataset!F24)+ABS(Dataset!F24))),IF(ABS(Dataset!G24)+ABS(Dataset!G24)=0,0,ABS(Dataset!G24-Dataset!G24)/(ABS(Dataset!G24)+ABS(Dataset!G24))))</f>
        <v>0</v>
      </c>
      <c r="G100" s="11">
        <f>SUM(IF(ABS(Dataset!B24)+ABS(Dataset!B25)=0,0,ABS(Dataset!B24-Dataset!B25)/(ABS(Dataset!B24)+ABS(Dataset!B25))),IF(ABS(Dataset!C24)+ABS(Dataset!C25)=0,0,ABS(Dataset!C24-Dataset!C25)/(ABS(Dataset!C24)+ABS(Dataset!C25))),IF(ABS(Dataset!D24)+ABS(Dataset!D25)=0,0,ABS(Dataset!D24-Dataset!D25)/(ABS(Dataset!D24)+ABS(Dataset!D25))),IF(ABS(Dataset!E24)+ABS(Dataset!E25)=0,0,ABS(Dataset!E24-Dataset!E25)/(ABS(Dataset!E24)+ABS(Dataset!E25))),IF(ABS(Dataset!F24)+ABS(Dataset!F25)=0,0,ABS(Dataset!F24-Dataset!F25)/(ABS(Dataset!F24)+ABS(Dataset!F25))),IF(ABS(Dataset!G24)+ABS(Dataset!G25)=0,0,ABS(Dataset!G24-Dataset!G25)/(ABS(Dataset!G24)+ABS(Dataset!G25))))</f>
        <v>1.9955908182461175</v>
      </c>
      <c r="H100" s="11">
        <f>SUM(IF(ABS(Dataset!B24)+ABS(Dataset!B26)=0,0,ABS(Dataset!B24-Dataset!B26)/(ABS(Dataset!B24)+ABS(Dataset!B26))),IF(ABS(Dataset!C24)+ABS(Dataset!C26)=0,0,ABS(Dataset!C24-Dataset!C26)/(ABS(Dataset!C24)+ABS(Dataset!C26))),IF(ABS(Dataset!D24)+ABS(Dataset!D26)=0,0,ABS(Dataset!D24-Dataset!D26)/(ABS(Dataset!D24)+ABS(Dataset!D26))),IF(ABS(Dataset!E24)+ABS(Dataset!E26)=0,0,ABS(Dataset!E24-Dataset!E26)/(ABS(Dataset!E24)+ABS(Dataset!E26))),IF(ABS(Dataset!F24)+ABS(Dataset!F26)=0,0,ABS(Dataset!F24-Dataset!F26)/(ABS(Dataset!F24)+ABS(Dataset!F26))),IF(ABS(Dataset!G24)+ABS(Dataset!G26)=0,0,ABS(Dataset!G24-Dataset!G26)/(ABS(Dataset!G24)+ABS(Dataset!G26))))</f>
        <v>4.6619780219780225</v>
      </c>
      <c r="I100" s="11">
        <f>SUM(IF(ABS(Dataset!B24)+ABS(Dataset!B27)=0,0,ABS(Dataset!B24-Dataset!B27)/(ABS(Dataset!B24)+ABS(Dataset!B27))),IF(ABS(Dataset!C24)+ABS(Dataset!C27)=0,0,ABS(Dataset!C24-Dataset!C27)/(ABS(Dataset!C24)+ABS(Dataset!C27))),IF(ABS(Dataset!D24)+ABS(Dataset!D27)=0,0,ABS(Dataset!D24-Dataset!D27)/(ABS(Dataset!D24)+ABS(Dataset!D27))),IF(ABS(Dataset!E24)+ABS(Dataset!E27)=0,0,ABS(Dataset!E24-Dataset!E27)/(ABS(Dataset!E24)+ABS(Dataset!E27))),IF(ABS(Dataset!F24)+ABS(Dataset!F27)=0,0,ABS(Dataset!F24-Dataset!F27)/(ABS(Dataset!F24)+ABS(Dataset!F27))),IF(ABS(Dataset!G24)+ABS(Dataset!G27)=0,0,ABS(Dataset!G24-Dataset!G27)/(ABS(Dataset!G24)+ABS(Dataset!G27))))</f>
        <v>3.4776031098845559</v>
      </c>
      <c r="J100" s="11">
        <f>SUM(IF(ABS(Dataset!B24)+ABS(Dataset!B28)=0,0,ABS(Dataset!B24-Dataset!B28)/(ABS(Dataset!B24)+ABS(Dataset!B28))),IF(ABS(Dataset!C24)+ABS(Dataset!C28)=0,0,ABS(Dataset!C24-Dataset!C28)/(ABS(Dataset!C24)+ABS(Dataset!C28))),IF(ABS(Dataset!D24)+ABS(Dataset!D28)=0,0,ABS(Dataset!D24-Dataset!D28)/(ABS(Dataset!D24)+ABS(Dataset!D28))),IF(ABS(Dataset!E24)+ABS(Dataset!E28)=0,0,ABS(Dataset!E24-Dataset!E28)/(ABS(Dataset!E24)+ABS(Dataset!E28))),IF(ABS(Dataset!F24)+ABS(Dataset!F28)=0,0,ABS(Dataset!F24-Dataset!F28)/(ABS(Dataset!F24)+ABS(Dataset!F28))),IF(ABS(Dataset!G24)+ABS(Dataset!G28)=0,0,ABS(Dataset!G24-Dataset!G28)/(ABS(Dataset!G24)+ABS(Dataset!G28))))</f>
        <v>0.21850053476654585</v>
      </c>
      <c r="K100" s="11">
        <f>SUM(IF(ABS(Dataset!B24)+ABS(Dataset!B29)=0,0,ABS(Dataset!B24-Dataset!B29)/(ABS(Dataset!B24)+ABS(Dataset!B29))),IF(ABS(Dataset!C24)+ABS(Dataset!C29)=0,0,ABS(Dataset!C24-Dataset!C29)/(ABS(Dataset!C24)+ABS(Dataset!C29))),IF(ABS(Dataset!D24)+ABS(Dataset!D29)=0,0,ABS(Dataset!D24-Dataset!D29)/(ABS(Dataset!D24)+ABS(Dataset!D29))),IF(ABS(Dataset!E24)+ABS(Dataset!E29)=0,0,ABS(Dataset!E24-Dataset!E29)/(ABS(Dataset!E24)+ABS(Dataset!E29))),IF(ABS(Dataset!F24)+ABS(Dataset!F29)=0,0,ABS(Dataset!F24-Dataset!F29)/(ABS(Dataset!F24)+ABS(Dataset!F29))),IF(ABS(Dataset!G24)+ABS(Dataset!G29)=0,0,ABS(Dataset!G24-Dataset!G29)/(ABS(Dataset!G24)+ABS(Dataset!G29))))</f>
        <v>0.75443581547509464</v>
      </c>
    </row>
    <row r="101" spans="1:11" ht="25.05" customHeight="1">
      <c r="A101" s="7" t="s">
        <v>23</v>
      </c>
      <c r="B101" s="12">
        <f>SUM(IF(ABS(Dataset!B25)+ABS(Dataset!B20)=0,0,ABS(Dataset!B25-Dataset!B20)/(ABS(Dataset!B25)+ABS(Dataset!B20))),IF(ABS(Dataset!C25)+ABS(Dataset!C20)=0,0,ABS(Dataset!C25-Dataset!C20)/(ABS(Dataset!C25)+ABS(Dataset!C20))),IF(ABS(Dataset!D25)+ABS(Dataset!D20)=0,0,ABS(Dataset!D25-Dataset!D20)/(ABS(Dataset!D25)+ABS(Dataset!D20))),IF(ABS(Dataset!E25)+ABS(Dataset!E20)=0,0,ABS(Dataset!E25-Dataset!E20)/(ABS(Dataset!E25)+ABS(Dataset!E20))),IF(ABS(Dataset!F25)+ABS(Dataset!F20)=0,0,ABS(Dataset!F25-Dataset!F20)/(ABS(Dataset!F25)+ABS(Dataset!F20))),IF(ABS(Dataset!G25)+ABS(Dataset!G20)=0,0,ABS(Dataset!G25-Dataset!G20)/(ABS(Dataset!G25)+ABS(Dataset!G20))))</f>
        <v>4.4782114437286857</v>
      </c>
      <c r="C101" s="12">
        <f>SUM(IF(ABS(Dataset!B25)+ABS(Dataset!B21)=0,0,ABS(Dataset!B25-Dataset!B21)/(ABS(Dataset!B25)+ABS(Dataset!B21))),IF(ABS(Dataset!C25)+ABS(Dataset!C21)=0,0,ABS(Dataset!C25-Dataset!C21)/(ABS(Dataset!C25)+ABS(Dataset!C21))),IF(ABS(Dataset!D25)+ABS(Dataset!D21)=0,0,ABS(Dataset!D25-Dataset!D21)/(ABS(Dataset!D25)+ABS(Dataset!D21))),IF(ABS(Dataset!E25)+ABS(Dataset!E21)=0,0,ABS(Dataset!E25-Dataset!E21)/(ABS(Dataset!E25)+ABS(Dataset!E21))),IF(ABS(Dataset!F25)+ABS(Dataset!F21)=0,0,ABS(Dataset!F25-Dataset!F21)/(ABS(Dataset!F25)+ABS(Dataset!F21))),IF(ABS(Dataset!G25)+ABS(Dataset!G21)=0,0,ABS(Dataset!G25-Dataset!G21)/(ABS(Dataset!G25)+ABS(Dataset!G21))))</f>
        <v>1.5732499095429167</v>
      </c>
      <c r="D101" s="12">
        <f>SUM(IF(ABS(Dataset!B25)+ABS(Dataset!B22)=0,0,ABS(Dataset!B25-Dataset!B22)/(ABS(Dataset!B25)+ABS(Dataset!B22))),IF(ABS(Dataset!C25)+ABS(Dataset!C22)=0,0,ABS(Dataset!C25-Dataset!C22)/(ABS(Dataset!C25)+ABS(Dataset!C22))),IF(ABS(Dataset!D25)+ABS(Dataset!D22)=0,0,ABS(Dataset!D25-Dataset!D22)/(ABS(Dataset!D25)+ABS(Dataset!D22))),IF(ABS(Dataset!E25)+ABS(Dataset!E22)=0,0,ABS(Dataset!E25-Dataset!E22)/(ABS(Dataset!E25)+ABS(Dataset!E22))),IF(ABS(Dataset!F25)+ABS(Dataset!F22)=0,0,ABS(Dataset!F25-Dataset!F22)/(ABS(Dataset!F25)+ABS(Dataset!F22))),IF(ABS(Dataset!G25)+ABS(Dataset!G22)=0,0,ABS(Dataset!G25-Dataset!G22)/(ABS(Dataset!G25)+ABS(Dataset!G22))))</f>
        <v>1.5209161480519047</v>
      </c>
      <c r="E101" s="12">
        <f>SUM(IF(ABS(Dataset!B25)+ABS(Dataset!B23)=0,0,ABS(Dataset!B25-Dataset!B23)/(ABS(Dataset!B25)+ABS(Dataset!B23))),IF(ABS(Dataset!C25)+ABS(Dataset!C23)=0,0,ABS(Dataset!C25-Dataset!C23)/(ABS(Dataset!C25)+ABS(Dataset!C23))),IF(ABS(Dataset!D25)+ABS(Dataset!D23)=0,0,ABS(Dataset!D25-Dataset!D23)/(ABS(Dataset!D25)+ABS(Dataset!D23))),IF(ABS(Dataset!E25)+ABS(Dataset!E23)=0,0,ABS(Dataset!E25-Dataset!E23)/(ABS(Dataset!E25)+ABS(Dataset!E23))),IF(ABS(Dataset!F25)+ABS(Dataset!F23)=0,0,ABS(Dataset!F25-Dataset!F23)/(ABS(Dataset!F25)+ABS(Dataset!F23))),IF(ABS(Dataset!G25)+ABS(Dataset!G23)=0,0,ABS(Dataset!G25-Dataset!G23)/(ABS(Dataset!G25)+ABS(Dataset!G23))))</f>
        <v>1.4174415543013681</v>
      </c>
      <c r="F101" s="12">
        <f>SUM(IF(ABS(Dataset!B25)+ABS(Dataset!B24)=0,0,ABS(Dataset!B25-Dataset!B24)/(ABS(Dataset!B25)+ABS(Dataset!B24))),IF(ABS(Dataset!C25)+ABS(Dataset!C24)=0,0,ABS(Dataset!C25-Dataset!C24)/(ABS(Dataset!C25)+ABS(Dataset!C24))),IF(ABS(Dataset!D25)+ABS(Dataset!D24)=0,0,ABS(Dataset!D25-Dataset!D24)/(ABS(Dataset!D25)+ABS(Dataset!D24))),IF(ABS(Dataset!E25)+ABS(Dataset!E24)=0,0,ABS(Dataset!E25-Dataset!E24)/(ABS(Dataset!E25)+ABS(Dataset!E24))),IF(ABS(Dataset!F25)+ABS(Dataset!F24)=0,0,ABS(Dataset!F25-Dataset!F24)/(ABS(Dataset!F25)+ABS(Dataset!F24))),IF(ABS(Dataset!G25)+ABS(Dataset!G24)=0,0,ABS(Dataset!G25-Dataset!G24)/(ABS(Dataset!G25)+ABS(Dataset!G24))))</f>
        <v>1.9955908182461175</v>
      </c>
      <c r="G101" s="12">
        <f>SUM(IF(ABS(Dataset!B25)+ABS(Dataset!B25)=0,0,ABS(Dataset!B25-Dataset!B25)/(ABS(Dataset!B25)+ABS(Dataset!B25))),IF(ABS(Dataset!C25)+ABS(Dataset!C25)=0,0,ABS(Dataset!C25-Dataset!C25)/(ABS(Dataset!C25)+ABS(Dataset!C25))),IF(ABS(Dataset!D25)+ABS(Dataset!D25)=0,0,ABS(Dataset!D25-Dataset!D25)/(ABS(Dataset!D25)+ABS(Dataset!D25))),IF(ABS(Dataset!E25)+ABS(Dataset!E25)=0,0,ABS(Dataset!E25-Dataset!E25)/(ABS(Dataset!E25)+ABS(Dataset!E25))),IF(ABS(Dataset!F25)+ABS(Dataset!F25)=0,0,ABS(Dataset!F25-Dataset!F25)/(ABS(Dataset!F25)+ABS(Dataset!F25))),IF(ABS(Dataset!G25)+ABS(Dataset!G25)=0,0,ABS(Dataset!G25-Dataset!G25)/(ABS(Dataset!G25)+ABS(Dataset!G25))))</f>
        <v>0</v>
      </c>
      <c r="H101" s="12">
        <f>SUM(IF(ABS(Dataset!B25)+ABS(Dataset!B26)=0,0,ABS(Dataset!B25-Dataset!B26)/(ABS(Dataset!B25)+ABS(Dataset!B26))),IF(ABS(Dataset!C25)+ABS(Dataset!C26)=0,0,ABS(Dataset!C25-Dataset!C26)/(ABS(Dataset!C25)+ABS(Dataset!C26))),IF(ABS(Dataset!D25)+ABS(Dataset!D26)=0,0,ABS(Dataset!D25-Dataset!D26)/(ABS(Dataset!D25)+ABS(Dataset!D26))),IF(ABS(Dataset!E25)+ABS(Dataset!E26)=0,0,ABS(Dataset!E25-Dataset!E26)/(ABS(Dataset!E25)+ABS(Dataset!E26))),IF(ABS(Dataset!F25)+ABS(Dataset!F26)=0,0,ABS(Dataset!F25-Dataset!F26)/(ABS(Dataset!F25)+ABS(Dataset!F26))),IF(ABS(Dataset!G25)+ABS(Dataset!G26)=0,0,ABS(Dataset!G25-Dataset!G26)/(ABS(Dataset!G25)+ABS(Dataset!G26))))</f>
        <v>3.9732990413841476</v>
      </c>
      <c r="I101" s="12">
        <f>SUM(IF(ABS(Dataset!B25)+ABS(Dataset!B27)=0,0,ABS(Dataset!B25-Dataset!B27)/(ABS(Dataset!B25)+ABS(Dataset!B27))),IF(ABS(Dataset!C25)+ABS(Dataset!C27)=0,0,ABS(Dataset!C25-Dataset!C27)/(ABS(Dataset!C25)+ABS(Dataset!C27))),IF(ABS(Dataset!D25)+ABS(Dataset!D27)=0,0,ABS(Dataset!D25-Dataset!D27)/(ABS(Dataset!D25)+ABS(Dataset!D27))),IF(ABS(Dataset!E25)+ABS(Dataset!E27)=0,0,ABS(Dataset!E25-Dataset!E27)/(ABS(Dataset!E25)+ABS(Dataset!E27))),IF(ABS(Dataset!F25)+ABS(Dataset!F27)=0,0,ABS(Dataset!F25-Dataset!F27)/(ABS(Dataset!F25)+ABS(Dataset!F27))),IF(ABS(Dataset!G25)+ABS(Dataset!G27)=0,0,ABS(Dataset!G25-Dataset!G27)/(ABS(Dataset!G25)+ABS(Dataset!G27))))</f>
        <v>1.9505572441742667</v>
      </c>
      <c r="J101" s="12">
        <f>SUM(IF(ABS(Dataset!B25)+ABS(Dataset!B28)=0,0,ABS(Dataset!B25-Dataset!B28)/(ABS(Dataset!B25)+ABS(Dataset!B28))),IF(ABS(Dataset!C25)+ABS(Dataset!C28)=0,0,ABS(Dataset!C25-Dataset!C28)/(ABS(Dataset!C25)+ABS(Dataset!C28))),IF(ABS(Dataset!D25)+ABS(Dataset!D28)=0,0,ABS(Dataset!D25-Dataset!D28)/(ABS(Dataset!D25)+ABS(Dataset!D28))),IF(ABS(Dataset!E25)+ABS(Dataset!E28)=0,0,ABS(Dataset!E25-Dataset!E28)/(ABS(Dataset!E25)+ABS(Dataset!E28))),IF(ABS(Dataset!F25)+ABS(Dataset!F28)=0,0,ABS(Dataset!F25-Dataset!F28)/(ABS(Dataset!F25)+ABS(Dataset!F28))),IF(ABS(Dataset!G25)+ABS(Dataset!G28)=0,0,ABS(Dataset!G25-Dataset!G28)/(ABS(Dataset!G25)+ABS(Dataset!G28))))</f>
        <v>2.0863312834326755</v>
      </c>
      <c r="K101" s="12">
        <f>SUM(IF(ABS(Dataset!B25)+ABS(Dataset!B29)=0,0,ABS(Dataset!B25-Dataset!B29)/(ABS(Dataset!B25)+ABS(Dataset!B29))),IF(ABS(Dataset!C25)+ABS(Dataset!C29)=0,0,ABS(Dataset!C25-Dataset!C29)/(ABS(Dataset!C25)+ABS(Dataset!C29))),IF(ABS(Dataset!D25)+ABS(Dataset!D29)=0,0,ABS(Dataset!D25-Dataset!D29)/(ABS(Dataset!D25)+ABS(Dataset!D29))),IF(ABS(Dataset!E25)+ABS(Dataset!E29)=0,0,ABS(Dataset!E25-Dataset!E29)/(ABS(Dataset!E25)+ABS(Dataset!E29))),IF(ABS(Dataset!F25)+ABS(Dataset!F29)=0,0,ABS(Dataset!F25-Dataset!F29)/(ABS(Dataset!F25)+ABS(Dataset!F29))),IF(ABS(Dataset!G25)+ABS(Dataset!G29)=0,0,ABS(Dataset!G25-Dataset!G29)/(ABS(Dataset!G25)+ABS(Dataset!G29))))</f>
        <v>1.9793449027892722</v>
      </c>
    </row>
    <row r="102" spans="1:11" ht="25.05" customHeight="1">
      <c r="A102" s="6" t="s">
        <v>26</v>
      </c>
      <c r="B102" s="11">
        <f>SUM(IF(ABS(Dataset!B26)+ABS(Dataset!B20)=0,0,ABS(Dataset!B26-Dataset!B20)/(ABS(Dataset!B26)+ABS(Dataset!B20))),IF(ABS(Dataset!C26)+ABS(Dataset!C20)=0,0,ABS(Dataset!C26-Dataset!C20)/(ABS(Dataset!C26)+ABS(Dataset!C20))),IF(ABS(Dataset!D26)+ABS(Dataset!D20)=0,0,ABS(Dataset!D26-Dataset!D20)/(ABS(Dataset!D26)+ABS(Dataset!D20))),IF(ABS(Dataset!E26)+ABS(Dataset!E20)=0,0,ABS(Dataset!E26-Dataset!E20)/(ABS(Dataset!E26)+ABS(Dataset!E20))),IF(ABS(Dataset!F26)+ABS(Dataset!F20)=0,0,ABS(Dataset!F26-Dataset!F20)/(ABS(Dataset!F26)+ABS(Dataset!F20))),IF(ABS(Dataset!G26)+ABS(Dataset!G20)=0,0,ABS(Dataset!G26-Dataset!G20)/(ABS(Dataset!G26)+ABS(Dataset!G20))))</f>
        <v>6</v>
      </c>
      <c r="C102" s="11">
        <f>SUM(IF(ABS(Dataset!B26)+ABS(Dataset!B21)=0,0,ABS(Dataset!B26-Dataset!B21)/(ABS(Dataset!B26)+ABS(Dataset!B21))),IF(ABS(Dataset!C26)+ABS(Dataset!C21)=0,0,ABS(Dataset!C26-Dataset!C21)/(ABS(Dataset!C26)+ABS(Dataset!C21))),IF(ABS(Dataset!D26)+ABS(Dataset!D21)=0,0,ABS(Dataset!D26-Dataset!D21)/(ABS(Dataset!D26)+ABS(Dataset!D21))),IF(ABS(Dataset!E26)+ABS(Dataset!E21)=0,0,ABS(Dataset!E26-Dataset!E21)/(ABS(Dataset!E26)+ABS(Dataset!E21))),IF(ABS(Dataset!F26)+ABS(Dataset!F21)=0,0,ABS(Dataset!F26-Dataset!F21)/(ABS(Dataset!F26)+ABS(Dataset!F21))),IF(ABS(Dataset!G26)+ABS(Dataset!G21)=0,0,ABS(Dataset!G26-Dataset!G21)/(ABS(Dataset!G26)+ABS(Dataset!G21))))</f>
        <v>3.9205278152646574</v>
      </c>
      <c r="D102" s="11">
        <f>SUM(IF(ABS(Dataset!B26)+ABS(Dataset!B22)=0,0,ABS(Dataset!B26-Dataset!B22)/(ABS(Dataset!B26)+ABS(Dataset!B22))),IF(ABS(Dataset!C26)+ABS(Dataset!C22)=0,0,ABS(Dataset!C26-Dataset!C22)/(ABS(Dataset!C26)+ABS(Dataset!C22))),IF(ABS(Dataset!D26)+ABS(Dataset!D22)=0,0,ABS(Dataset!D26-Dataset!D22)/(ABS(Dataset!D26)+ABS(Dataset!D22))),IF(ABS(Dataset!E26)+ABS(Dataset!E22)=0,0,ABS(Dataset!E26-Dataset!E22)/(ABS(Dataset!E26)+ABS(Dataset!E22))),IF(ABS(Dataset!F26)+ABS(Dataset!F22)=0,0,ABS(Dataset!F26-Dataset!F22)/(ABS(Dataset!F26)+ABS(Dataset!F22))),IF(ABS(Dataset!G26)+ABS(Dataset!G22)=0,0,ABS(Dataset!G26-Dataset!G22)/(ABS(Dataset!G26)+ABS(Dataset!G22))))</f>
        <v>4.4033633996518642</v>
      </c>
      <c r="E102" s="11">
        <f>SUM(IF(ABS(Dataset!B26)+ABS(Dataset!B23)=0,0,ABS(Dataset!B26-Dataset!B23)/(ABS(Dataset!B26)+ABS(Dataset!B23))),IF(ABS(Dataset!C26)+ABS(Dataset!C23)=0,0,ABS(Dataset!C26-Dataset!C23)/(ABS(Dataset!C26)+ABS(Dataset!C23))),IF(ABS(Dataset!D26)+ABS(Dataset!D23)=0,0,ABS(Dataset!D26-Dataset!D23)/(ABS(Dataset!D26)+ABS(Dataset!D23))),IF(ABS(Dataset!E26)+ABS(Dataset!E23)=0,0,ABS(Dataset!E26-Dataset!E23)/(ABS(Dataset!E26)+ABS(Dataset!E23))),IF(ABS(Dataset!F26)+ABS(Dataset!F23)=0,0,ABS(Dataset!F26-Dataset!F23)/(ABS(Dataset!F26)+ABS(Dataset!F23))),IF(ABS(Dataset!G26)+ABS(Dataset!G23)=0,0,ABS(Dataset!G26-Dataset!G23)/(ABS(Dataset!G26)+ABS(Dataset!G23))))</f>
        <v>3.3732876712328772</v>
      </c>
      <c r="F102" s="11">
        <f>SUM(IF(ABS(Dataset!B26)+ABS(Dataset!B24)=0,0,ABS(Dataset!B26-Dataset!B24)/(ABS(Dataset!B26)+ABS(Dataset!B24))),IF(ABS(Dataset!C26)+ABS(Dataset!C24)=0,0,ABS(Dataset!C26-Dataset!C24)/(ABS(Dataset!C26)+ABS(Dataset!C24))),IF(ABS(Dataset!D26)+ABS(Dataset!D24)=0,0,ABS(Dataset!D26-Dataset!D24)/(ABS(Dataset!D26)+ABS(Dataset!D24))),IF(ABS(Dataset!E26)+ABS(Dataset!E24)=0,0,ABS(Dataset!E26-Dataset!E24)/(ABS(Dataset!E26)+ABS(Dataset!E24))),IF(ABS(Dataset!F26)+ABS(Dataset!F24)=0,0,ABS(Dataset!F26-Dataset!F24)/(ABS(Dataset!F26)+ABS(Dataset!F24))),IF(ABS(Dataset!G26)+ABS(Dataset!G24)=0,0,ABS(Dataset!G26-Dataset!G24)/(ABS(Dataset!G26)+ABS(Dataset!G24))))</f>
        <v>4.6619780219780225</v>
      </c>
      <c r="G102" s="11">
        <f>SUM(IF(ABS(Dataset!B26)+ABS(Dataset!B25)=0,0,ABS(Dataset!B26-Dataset!B25)/(ABS(Dataset!B26)+ABS(Dataset!B25))),IF(ABS(Dataset!C26)+ABS(Dataset!C25)=0,0,ABS(Dataset!C26-Dataset!C25)/(ABS(Dataset!C26)+ABS(Dataset!C25))),IF(ABS(Dataset!D26)+ABS(Dataset!D25)=0,0,ABS(Dataset!D26-Dataset!D25)/(ABS(Dataset!D26)+ABS(Dataset!D25))),IF(ABS(Dataset!E26)+ABS(Dataset!E25)=0,0,ABS(Dataset!E26-Dataset!E25)/(ABS(Dataset!E26)+ABS(Dataset!E25))),IF(ABS(Dataset!F26)+ABS(Dataset!F25)=0,0,ABS(Dataset!F26-Dataset!F25)/(ABS(Dataset!F26)+ABS(Dataset!F25))),IF(ABS(Dataset!G26)+ABS(Dataset!G25)=0,0,ABS(Dataset!G26-Dataset!G25)/(ABS(Dataset!G26)+ABS(Dataset!G25))))</f>
        <v>3.9732990413841476</v>
      </c>
      <c r="H102" s="11">
        <f>SUM(IF(ABS(Dataset!B26)+ABS(Dataset!B26)=0,0,ABS(Dataset!B26-Dataset!B26)/(ABS(Dataset!B26)+ABS(Dataset!B26))),IF(ABS(Dataset!C26)+ABS(Dataset!C26)=0,0,ABS(Dataset!C26-Dataset!C26)/(ABS(Dataset!C26)+ABS(Dataset!C26))),IF(ABS(Dataset!D26)+ABS(Dataset!D26)=0,0,ABS(Dataset!D26-Dataset!D26)/(ABS(Dataset!D26)+ABS(Dataset!D26))),IF(ABS(Dataset!E26)+ABS(Dataset!E26)=0,0,ABS(Dataset!E26-Dataset!E26)/(ABS(Dataset!E26)+ABS(Dataset!E26))),IF(ABS(Dataset!F26)+ABS(Dataset!F26)=0,0,ABS(Dataset!F26-Dataset!F26)/(ABS(Dataset!F26)+ABS(Dataset!F26))),IF(ABS(Dataset!G26)+ABS(Dataset!G26)=0,0,ABS(Dataset!G26-Dataset!G26)/(ABS(Dataset!G26)+ABS(Dataset!G26))))</f>
        <v>0</v>
      </c>
      <c r="I102" s="11">
        <f>SUM(IF(ABS(Dataset!B26)+ABS(Dataset!B27)=0,0,ABS(Dataset!B26-Dataset!B27)/(ABS(Dataset!B26)+ABS(Dataset!B27))),IF(ABS(Dataset!C26)+ABS(Dataset!C27)=0,0,ABS(Dataset!C26-Dataset!C27)/(ABS(Dataset!C26)+ABS(Dataset!C27))),IF(ABS(Dataset!D26)+ABS(Dataset!D27)=0,0,ABS(Dataset!D26-Dataset!D27)/(ABS(Dataset!D26)+ABS(Dataset!D27))),IF(ABS(Dataset!E26)+ABS(Dataset!E27)=0,0,ABS(Dataset!E26-Dataset!E27)/(ABS(Dataset!E26)+ABS(Dataset!E27))),IF(ABS(Dataset!F26)+ABS(Dataset!F27)=0,0,ABS(Dataset!F26-Dataset!F27)/(ABS(Dataset!F26)+ABS(Dataset!F27))),IF(ABS(Dataset!G26)+ABS(Dataset!G27)=0,0,ABS(Dataset!G26-Dataset!G27)/(ABS(Dataset!G26)+ABS(Dataset!G27))))</f>
        <v>3.5040784449843807</v>
      </c>
      <c r="J102" s="11">
        <f>SUM(IF(ABS(Dataset!B26)+ABS(Dataset!B28)=0,0,ABS(Dataset!B26-Dataset!B28)/(ABS(Dataset!B26)+ABS(Dataset!B28))),IF(ABS(Dataset!C26)+ABS(Dataset!C28)=0,0,ABS(Dataset!C26-Dataset!C28)/(ABS(Dataset!C26)+ABS(Dataset!C28))),IF(ABS(Dataset!D26)+ABS(Dataset!D28)=0,0,ABS(Dataset!D26-Dataset!D28)/(ABS(Dataset!D26)+ABS(Dataset!D28))),IF(ABS(Dataset!E26)+ABS(Dataset!E28)=0,0,ABS(Dataset!E26-Dataset!E28)/(ABS(Dataset!E26)+ABS(Dataset!E28))),IF(ABS(Dataset!F26)+ABS(Dataset!F28)=0,0,ABS(Dataset!F26-Dataset!F28)/(ABS(Dataset!F26)+ABS(Dataset!F28))),IF(ABS(Dataset!G26)+ABS(Dataset!G28)=0,0,ABS(Dataset!G26-Dataset!G28)/(ABS(Dataset!G26)+ABS(Dataset!G28))))</f>
        <v>4.675138324941801</v>
      </c>
      <c r="K102" s="11">
        <f>SUM(IF(ABS(Dataset!B26)+ABS(Dataset!B29)=0,0,ABS(Dataset!B26-Dataset!B29)/(ABS(Dataset!B26)+ABS(Dataset!B29))),IF(ABS(Dataset!C26)+ABS(Dataset!C29)=0,0,ABS(Dataset!C26-Dataset!C29)/(ABS(Dataset!C26)+ABS(Dataset!C29))),IF(ABS(Dataset!D26)+ABS(Dataset!D29)=0,0,ABS(Dataset!D26-Dataset!D29)/(ABS(Dataset!D26)+ABS(Dataset!D29))),IF(ABS(Dataset!E26)+ABS(Dataset!E29)=0,0,ABS(Dataset!E26-Dataset!E29)/(ABS(Dataset!E26)+ABS(Dataset!E29))),IF(ABS(Dataset!F26)+ABS(Dataset!F29)=0,0,ABS(Dataset!F26-Dataset!F29)/(ABS(Dataset!F26)+ABS(Dataset!F29))),IF(ABS(Dataset!G26)+ABS(Dataset!G29)=0,0,ABS(Dataset!G26-Dataset!G29)/(ABS(Dataset!G26)+ABS(Dataset!G29))))</f>
        <v>4.8016344279502174</v>
      </c>
    </row>
    <row r="103" spans="1:11" ht="25.05" customHeight="1">
      <c r="A103" s="7" t="s">
        <v>29</v>
      </c>
      <c r="B103" s="12">
        <f>SUM(IF(ABS(Dataset!B27)+ABS(Dataset!B20)=0,0,ABS(Dataset!B27-Dataset!B20)/(ABS(Dataset!B27)+ABS(Dataset!B20))),IF(ABS(Dataset!C27)+ABS(Dataset!C20)=0,0,ABS(Dataset!C27-Dataset!C20)/(ABS(Dataset!C27)+ABS(Dataset!C20))),IF(ABS(Dataset!D27)+ABS(Dataset!D20)=0,0,ABS(Dataset!D27-Dataset!D20)/(ABS(Dataset!D27)+ABS(Dataset!D20))),IF(ABS(Dataset!E27)+ABS(Dataset!E20)=0,0,ABS(Dataset!E27-Dataset!E20)/(ABS(Dataset!E27)+ABS(Dataset!E20))),IF(ABS(Dataset!F27)+ABS(Dataset!F20)=0,0,ABS(Dataset!F27-Dataset!F20)/(ABS(Dataset!F27)+ABS(Dataset!F20))),IF(ABS(Dataset!G27)+ABS(Dataset!G20)=0,0,ABS(Dataset!G27-Dataset!G20)/(ABS(Dataset!G27)+ABS(Dataset!G20))))</f>
        <v>4.220465116279069</v>
      </c>
      <c r="C103" s="12">
        <f>SUM(IF(ABS(Dataset!B27)+ABS(Dataset!B21)=0,0,ABS(Dataset!B27-Dataset!B21)/(ABS(Dataset!B27)+ABS(Dataset!B21))),IF(ABS(Dataset!C27)+ABS(Dataset!C21)=0,0,ABS(Dataset!C27-Dataset!C21)/(ABS(Dataset!C27)+ABS(Dataset!C21))),IF(ABS(Dataset!D27)+ABS(Dataset!D21)=0,0,ABS(Dataset!D27-Dataset!D21)/(ABS(Dataset!D27)+ABS(Dataset!D21))),IF(ABS(Dataset!E27)+ABS(Dataset!E21)=0,0,ABS(Dataset!E27-Dataset!E21)/(ABS(Dataset!E27)+ABS(Dataset!E21))),IF(ABS(Dataset!F27)+ABS(Dataset!F21)=0,0,ABS(Dataset!F27-Dataset!F21)/(ABS(Dataset!F27)+ABS(Dataset!F21))),IF(ABS(Dataset!G27)+ABS(Dataset!G21)=0,0,ABS(Dataset!G27-Dataset!G21)/(ABS(Dataset!G27)+ABS(Dataset!G21))))</f>
        <v>2.7981740481740491</v>
      </c>
      <c r="D103" s="12">
        <f>SUM(IF(ABS(Dataset!B27)+ABS(Dataset!B22)=0,0,ABS(Dataset!B27-Dataset!B22)/(ABS(Dataset!B27)+ABS(Dataset!B22))),IF(ABS(Dataset!C27)+ABS(Dataset!C22)=0,0,ABS(Dataset!C27-Dataset!C22)/(ABS(Dataset!C27)+ABS(Dataset!C22))),IF(ABS(Dataset!D27)+ABS(Dataset!D22)=0,0,ABS(Dataset!D27-Dataset!D22)/(ABS(Dataset!D27)+ABS(Dataset!D22))),IF(ABS(Dataset!E27)+ABS(Dataset!E22)=0,0,ABS(Dataset!E27-Dataset!E22)/(ABS(Dataset!E27)+ABS(Dataset!E22))),IF(ABS(Dataset!F27)+ABS(Dataset!F22)=0,0,ABS(Dataset!F27-Dataset!F22)/(ABS(Dataset!F27)+ABS(Dataset!F22))),IF(ABS(Dataset!G27)+ABS(Dataset!G22)=0,0,ABS(Dataset!G27-Dataset!G22)/(ABS(Dataset!G27)+ABS(Dataset!G22))))</f>
        <v>3.1501614878128548</v>
      </c>
      <c r="E103" s="12">
        <f>SUM(IF(ABS(Dataset!B27)+ABS(Dataset!B23)=0,0,ABS(Dataset!B27-Dataset!B23)/(ABS(Dataset!B27)+ABS(Dataset!B23))),IF(ABS(Dataset!C27)+ABS(Dataset!C23)=0,0,ABS(Dataset!C27-Dataset!C23)/(ABS(Dataset!C27)+ABS(Dataset!C23))),IF(ABS(Dataset!D27)+ABS(Dataset!D23)=0,0,ABS(Dataset!D27-Dataset!D23)/(ABS(Dataset!D27)+ABS(Dataset!D23))),IF(ABS(Dataset!E27)+ABS(Dataset!E23)=0,0,ABS(Dataset!E27-Dataset!E23)/(ABS(Dataset!E27)+ABS(Dataset!E23))),IF(ABS(Dataset!F27)+ABS(Dataset!F23)=0,0,ABS(Dataset!F27-Dataset!F23)/(ABS(Dataset!F27)+ABS(Dataset!F23))),IF(ABS(Dataset!G27)+ABS(Dataset!G23)=0,0,ABS(Dataset!G27-Dataset!G23)/(ABS(Dataset!G27)+ABS(Dataset!G23))))</f>
        <v>1.5724314369296386</v>
      </c>
      <c r="F103" s="12">
        <f>SUM(IF(ABS(Dataset!B27)+ABS(Dataset!B24)=0,0,ABS(Dataset!B27-Dataset!B24)/(ABS(Dataset!B27)+ABS(Dataset!B24))),IF(ABS(Dataset!C27)+ABS(Dataset!C24)=0,0,ABS(Dataset!C27-Dataset!C24)/(ABS(Dataset!C27)+ABS(Dataset!C24))),IF(ABS(Dataset!D27)+ABS(Dataset!D24)=0,0,ABS(Dataset!D27-Dataset!D24)/(ABS(Dataset!D27)+ABS(Dataset!D24))),IF(ABS(Dataset!E27)+ABS(Dataset!E24)=0,0,ABS(Dataset!E27-Dataset!E24)/(ABS(Dataset!E27)+ABS(Dataset!E24))),IF(ABS(Dataset!F27)+ABS(Dataset!F24)=0,0,ABS(Dataset!F27-Dataset!F24)/(ABS(Dataset!F27)+ABS(Dataset!F24))),IF(ABS(Dataset!G27)+ABS(Dataset!G24)=0,0,ABS(Dataset!G27-Dataset!G24)/(ABS(Dataset!G27)+ABS(Dataset!G24))))</f>
        <v>3.4776031098845559</v>
      </c>
      <c r="G103" s="12">
        <f>SUM(IF(ABS(Dataset!B27)+ABS(Dataset!B25)=0,0,ABS(Dataset!B27-Dataset!B25)/(ABS(Dataset!B27)+ABS(Dataset!B25))),IF(ABS(Dataset!C27)+ABS(Dataset!C25)=0,0,ABS(Dataset!C27-Dataset!C25)/(ABS(Dataset!C27)+ABS(Dataset!C25))),IF(ABS(Dataset!D27)+ABS(Dataset!D25)=0,0,ABS(Dataset!D27-Dataset!D25)/(ABS(Dataset!D27)+ABS(Dataset!D25))),IF(ABS(Dataset!E27)+ABS(Dataset!E25)=0,0,ABS(Dataset!E27-Dataset!E25)/(ABS(Dataset!E27)+ABS(Dataset!E25))),IF(ABS(Dataset!F27)+ABS(Dataset!F25)=0,0,ABS(Dataset!F27-Dataset!F25)/(ABS(Dataset!F27)+ABS(Dataset!F25))),IF(ABS(Dataset!G27)+ABS(Dataset!G25)=0,0,ABS(Dataset!G27-Dataset!G25)/(ABS(Dataset!G27)+ABS(Dataset!G25))))</f>
        <v>1.9505572441742667</v>
      </c>
      <c r="H103" s="12">
        <f>SUM(IF(ABS(Dataset!B27)+ABS(Dataset!B26)=0,0,ABS(Dataset!B27-Dataset!B26)/(ABS(Dataset!B27)+ABS(Dataset!B26))),IF(ABS(Dataset!C27)+ABS(Dataset!C26)=0,0,ABS(Dataset!C27-Dataset!C26)/(ABS(Dataset!C27)+ABS(Dataset!C26))),IF(ABS(Dataset!D27)+ABS(Dataset!D26)=0,0,ABS(Dataset!D27-Dataset!D26)/(ABS(Dataset!D27)+ABS(Dataset!D26))),IF(ABS(Dataset!E27)+ABS(Dataset!E26)=0,0,ABS(Dataset!E27-Dataset!E26)/(ABS(Dataset!E27)+ABS(Dataset!E26))),IF(ABS(Dataset!F27)+ABS(Dataset!F26)=0,0,ABS(Dataset!F27-Dataset!F26)/(ABS(Dataset!F27)+ABS(Dataset!F26))),IF(ABS(Dataset!G27)+ABS(Dataset!G26)=0,0,ABS(Dataset!G27-Dataset!G26)/(ABS(Dataset!G27)+ABS(Dataset!G26))))</f>
        <v>3.5040784449843807</v>
      </c>
      <c r="I103" s="12">
        <f>SUM(IF(ABS(Dataset!B27)+ABS(Dataset!B27)=0,0,ABS(Dataset!B27-Dataset!B27)/(ABS(Dataset!B27)+ABS(Dataset!B27))),IF(ABS(Dataset!C27)+ABS(Dataset!C27)=0,0,ABS(Dataset!C27-Dataset!C27)/(ABS(Dataset!C27)+ABS(Dataset!C27))),IF(ABS(Dataset!D27)+ABS(Dataset!D27)=0,0,ABS(Dataset!D27-Dataset!D27)/(ABS(Dataset!D27)+ABS(Dataset!D27))),IF(ABS(Dataset!E27)+ABS(Dataset!E27)=0,0,ABS(Dataset!E27-Dataset!E27)/(ABS(Dataset!E27)+ABS(Dataset!E27))),IF(ABS(Dataset!F27)+ABS(Dataset!F27)=0,0,ABS(Dataset!F27-Dataset!F27)/(ABS(Dataset!F27)+ABS(Dataset!F27))),IF(ABS(Dataset!G27)+ABS(Dataset!G27)=0,0,ABS(Dataset!G27-Dataset!G27)/(ABS(Dataset!G27)+ABS(Dataset!G27))))</f>
        <v>0</v>
      </c>
      <c r="J103" s="12">
        <f>SUM(IF(ABS(Dataset!B27)+ABS(Dataset!B28)=0,0,ABS(Dataset!B27-Dataset!B28)/(ABS(Dataset!B27)+ABS(Dataset!B28))),IF(ABS(Dataset!C27)+ABS(Dataset!C28)=0,0,ABS(Dataset!C27-Dataset!C28)/(ABS(Dataset!C27)+ABS(Dataset!C28))),IF(ABS(Dataset!D27)+ABS(Dataset!D28)=0,0,ABS(Dataset!D27-Dataset!D28)/(ABS(Dataset!D27)+ABS(Dataset!D28))),IF(ABS(Dataset!E27)+ABS(Dataset!E28)=0,0,ABS(Dataset!E27-Dataset!E28)/(ABS(Dataset!E27)+ABS(Dataset!E28))),IF(ABS(Dataset!F27)+ABS(Dataset!F28)=0,0,ABS(Dataset!F27-Dataset!F28)/(ABS(Dataset!F27)+ABS(Dataset!F28))),IF(ABS(Dataset!G27)+ABS(Dataset!G28)=0,0,ABS(Dataset!G27-Dataset!G28)/(ABS(Dataset!G27)+ABS(Dataset!G28))))</f>
        <v>3.5203043631796107</v>
      </c>
      <c r="K103" s="12">
        <f>SUM(IF(ABS(Dataset!B27)+ABS(Dataset!B29)=0,0,ABS(Dataset!B27-Dataset!B29)/(ABS(Dataset!B27)+ABS(Dataset!B29))),IF(ABS(Dataset!C27)+ABS(Dataset!C29)=0,0,ABS(Dataset!C27-Dataset!C29)/(ABS(Dataset!C27)+ABS(Dataset!C29))),IF(ABS(Dataset!D27)+ABS(Dataset!D29)=0,0,ABS(Dataset!D27-Dataset!D29)/(ABS(Dataset!D27)+ABS(Dataset!D29))),IF(ABS(Dataset!E27)+ABS(Dataset!E29)=0,0,ABS(Dataset!E27-Dataset!E29)/(ABS(Dataset!E27)+ABS(Dataset!E29))),IF(ABS(Dataset!F27)+ABS(Dataset!F29)=0,0,ABS(Dataset!F27-Dataset!F29)/(ABS(Dataset!F27)+ABS(Dataset!F29))),IF(ABS(Dataset!G27)+ABS(Dataset!G29)=0,0,ABS(Dataset!G27-Dataset!G29)/(ABS(Dataset!G27)+ABS(Dataset!G29))))</f>
        <v>3.3623582536039107</v>
      </c>
    </row>
    <row r="104" spans="1:11" ht="25.05" customHeight="1">
      <c r="A104" s="6" t="s">
        <v>32</v>
      </c>
      <c r="B104" s="11">
        <f>SUM(IF(ABS(Dataset!B28)+ABS(Dataset!B20)=0,0,ABS(Dataset!B28-Dataset!B20)/(ABS(Dataset!B28)+ABS(Dataset!B20))),IF(ABS(Dataset!C28)+ABS(Dataset!C20)=0,0,ABS(Dataset!C28-Dataset!C20)/(ABS(Dataset!C28)+ABS(Dataset!C20))),IF(ABS(Dataset!D28)+ABS(Dataset!D20)=0,0,ABS(Dataset!D28-Dataset!D20)/(ABS(Dataset!D28)+ABS(Dataset!D20))),IF(ABS(Dataset!E28)+ABS(Dataset!E20)=0,0,ABS(Dataset!E28-Dataset!E20)/(ABS(Dataset!E28)+ABS(Dataset!E20))),IF(ABS(Dataset!F28)+ABS(Dataset!F20)=0,0,ABS(Dataset!F28-Dataset!F20)/(ABS(Dataset!F28)+ABS(Dataset!F20))),IF(ABS(Dataset!G28)+ABS(Dataset!G20)=0,0,ABS(Dataset!G28-Dataset!G20)/(ABS(Dataset!G28)+ABS(Dataset!G20))))</f>
        <v>4.840061596778015</v>
      </c>
      <c r="C104" s="11">
        <f>SUM(IF(ABS(Dataset!B28)+ABS(Dataset!B21)=0,0,ABS(Dataset!B28-Dataset!B21)/(ABS(Dataset!B28)+ABS(Dataset!B21))),IF(ABS(Dataset!C28)+ABS(Dataset!C21)=0,0,ABS(Dataset!C28-Dataset!C21)/(ABS(Dataset!C28)+ABS(Dataset!C21))),IF(ABS(Dataset!D28)+ABS(Dataset!D21)=0,0,ABS(Dataset!D28-Dataset!D21)/(ABS(Dataset!D28)+ABS(Dataset!D21))),IF(ABS(Dataset!E28)+ABS(Dataset!E21)=0,0,ABS(Dataset!E28-Dataset!E21)/(ABS(Dataset!E28)+ABS(Dataset!E21))),IF(ABS(Dataset!F28)+ABS(Dataset!F21)=0,0,ABS(Dataset!F28-Dataset!F21)/(ABS(Dataset!F28)+ABS(Dataset!F21))),IF(ABS(Dataset!G28)+ABS(Dataset!G21)=0,0,ABS(Dataset!G28-Dataset!G21)/(ABS(Dataset!G28)+ABS(Dataset!G21))))</f>
        <v>2.2151448751543628</v>
      </c>
      <c r="D104" s="11">
        <f>SUM(IF(ABS(Dataset!B28)+ABS(Dataset!B22)=0,0,ABS(Dataset!B28-Dataset!B22)/(ABS(Dataset!B28)+ABS(Dataset!B22))),IF(ABS(Dataset!C28)+ABS(Dataset!C22)=0,0,ABS(Dataset!C28-Dataset!C22)/(ABS(Dataset!C28)+ABS(Dataset!C22))),IF(ABS(Dataset!D28)+ABS(Dataset!D22)=0,0,ABS(Dataset!D28-Dataset!D22)/(ABS(Dataset!D28)+ABS(Dataset!D22))),IF(ABS(Dataset!E28)+ABS(Dataset!E22)=0,0,ABS(Dataset!E28-Dataset!E22)/(ABS(Dataset!E28)+ABS(Dataset!E22))),IF(ABS(Dataset!F28)+ABS(Dataset!F22)=0,0,ABS(Dataset!F28-Dataset!F22)/(ABS(Dataset!F28)+ABS(Dataset!F22))),IF(ABS(Dataset!G28)+ABS(Dataset!G22)=0,0,ABS(Dataset!G28-Dataset!G22)/(ABS(Dataset!G28)+ABS(Dataset!G22))))</f>
        <v>0.68856412264041622</v>
      </c>
      <c r="E104" s="11">
        <f>SUM(IF(ABS(Dataset!B28)+ABS(Dataset!B23)=0,0,ABS(Dataset!B28-Dataset!B23)/(ABS(Dataset!B28)+ABS(Dataset!B23))),IF(ABS(Dataset!C28)+ABS(Dataset!C23)=0,0,ABS(Dataset!C28-Dataset!C23)/(ABS(Dataset!C28)+ABS(Dataset!C23))),IF(ABS(Dataset!D28)+ABS(Dataset!D23)=0,0,ABS(Dataset!D28-Dataset!D23)/(ABS(Dataset!D28)+ABS(Dataset!D23))),IF(ABS(Dataset!E28)+ABS(Dataset!E23)=0,0,ABS(Dataset!E28-Dataset!E23)/(ABS(Dataset!E28)+ABS(Dataset!E23))),IF(ABS(Dataset!F28)+ABS(Dataset!F23)=0,0,ABS(Dataset!F28-Dataset!F23)/(ABS(Dataset!F28)+ABS(Dataset!F23))),IF(ABS(Dataset!G28)+ABS(Dataset!G23)=0,0,ABS(Dataset!G28-Dataset!G23)/(ABS(Dataset!G28)+ABS(Dataset!G23))))</f>
        <v>2.772266460417069</v>
      </c>
      <c r="F104" s="11">
        <f>SUM(IF(ABS(Dataset!B28)+ABS(Dataset!B24)=0,0,ABS(Dataset!B28-Dataset!B24)/(ABS(Dataset!B28)+ABS(Dataset!B24))),IF(ABS(Dataset!C28)+ABS(Dataset!C24)=0,0,ABS(Dataset!C28-Dataset!C24)/(ABS(Dataset!C28)+ABS(Dataset!C24))),IF(ABS(Dataset!D28)+ABS(Dataset!D24)=0,0,ABS(Dataset!D28-Dataset!D24)/(ABS(Dataset!D28)+ABS(Dataset!D24))),IF(ABS(Dataset!E28)+ABS(Dataset!E24)=0,0,ABS(Dataset!E28-Dataset!E24)/(ABS(Dataset!E28)+ABS(Dataset!E24))),IF(ABS(Dataset!F28)+ABS(Dataset!F24)=0,0,ABS(Dataset!F28-Dataset!F24)/(ABS(Dataset!F28)+ABS(Dataset!F24))),IF(ABS(Dataset!G28)+ABS(Dataset!G24)=0,0,ABS(Dataset!G28-Dataset!G24)/(ABS(Dataset!G28)+ABS(Dataset!G24))))</f>
        <v>0.21850053476654585</v>
      </c>
      <c r="G104" s="11">
        <f>SUM(IF(ABS(Dataset!B28)+ABS(Dataset!B25)=0,0,ABS(Dataset!B28-Dataset!B25)/(ABS(Dataset!B28)+ABS(Dataset!B25))),IF(ABS(Dataset!C28)+ABS(Dataset!C25)=0,0,ABS(Dataset!C28-Dataset!C25)/(ABS(Dataset!C28)+ABS(Dataset!C25))),IF(ABS(Dataset!D28)+ABS(Dataset!D25)=0,0,ABS(Dataset!D28-Dataset!D25)/(ABS(Dataset!D28)+ABS(Dataset!D25))),IF(ABS(Dataset!E28)+ABS(Dataset!E25)=0,0,ABS(Dataset!E28-Dataset!E25)/(ABS(Dataset!E28)+ABS(Dataset!E25))),IF(ABS(Dataset!F28)+ABS(Dataset!F25)=0,0,ABS(Dataset!F28-Dataset!F25)/(ABS(Dataset!F28)+ABS(Dataset!F25))),IF(ABS(Dataset!G28)+ABS(Dataset!G25)=0,0,ABS(Dataset!G28-Dataset!G25)/(ABS(Dataset!G28)+ABS(Dataset!G25))))</f>
        <v>2.0863312834326755</v>
      </c>
      <c r="H104" s="11">
        <f>SUM(IF(ABS(Dataset!B28)+ABS(Dataset!B26)=0,0,ABS(Dataset!B28-Dataset!B26)/(ABS(Dataset!B28)+ABS(Dataset!B26))),IF(ABS(Dataset!C28)+ABS(Dataset!C26)=0,0,ABS(Dataset!C28-Dataset!C26)/(ABS(Dataset!C28)+ABS(Dataset!C26))),IF(ABS(Dataset!D28)+ABS(Dataset!D26)=0,0,ABS(Dataset!D28-Dataset!D26)/(ABS(Dataset!D28)+ABS(Dataset!D26))),IF(ABS(Dataset!E28)+ABS(Dataset!E26)=0,0,ABS(Dataset!E28-Dataset!E26)/(ABS(Dataset!E28)+ABS(Dataset!E26))),IF(ABS(Dataset!F28)+ABS(Dataset!F26)=0,0,ABS(Dataset!F28-Dataset!F26)/(ABS(Dataset!F28)+ABS(Dataset!F26))),IF(ABS(Dataset!G28)+ABS(Dataset!G26)=0,0,ABS(Dataset!G28-Dataset!G26)/(ABS(Dataset!G28)+ABS(Dataset!G26))))</f>
        <v>4.675138324941801</v>
      </c>
      <c r="I104" s="11">
        <f>SUM(IF(ABS(Dataset!B28)+ABS(Dataset!B27)=0,0,ABS(Dataset!B28-Dataset!B27)/(ABS(Dataset!B28)+ABS(Dataset!B27))),IF(ABS(Dataset!C28)+ABS(Dataset!C27)=0,0,ABS(Dataset!C28-Dataset!C27)/(ABS(Dataset!C28)+ABS(Dataset!C27))),IF(ABS(Dataset!D28)+ABS(Dataset!D27)=0,0,ABS(Dataset!D28-Dataset!D27)/(ABS(Dataset!D28)+ABS(Dataset!D27))),IF(ABS(Dataset!E28)+ABS(Dataset!E27)=0,0,ABS(Dataset!E28-Dataset!E27)/(ABS(Dataset!E28)+ABS(Dataset!E27))),IF(ABS(Dataset!F28)+ABS(Dataset!F27)=0,0,ABS(Dataset!F28-Dataset!F27)/(ABS(Dataset!F28)+ABS(Dataset!F27))),IF(ABS(Dataset!G28)+ABS(Dataset!G27)=0,0,ABS(Dataset!G28-Dataset!G27)/(ABS(Dataset!G28)+ABS(Dataset!G27))))</f>
        <v>3.5203043631796107</v>
      </c>
      <c r="J104" s="11">
        <f>SUM(IF(ABS(Dataset!B28)+ABS(Dataset!B28)=0,0,ABS(Dataset!B28-Dataset!B28)/(ABS(Dataset!B28)+ABS(Dataset!B28))),IF(ABS(Dataset!C28)+ABS(Dataset!C28)=0,0,ABS(Dataset!C28-Dataset!C28)/(ABS(Dataset!C28)+ABS(Dataset!C28))),IF(ABS(Dataset!D28)+ABS(Dataset!D28)=0,0,ABS(Dataset!D28-Dataset!D28)/(ABS(Dataset!D28)+ABS(Dataset!D28))),IF(ABS(Dataset!E28)+ABS(Dataset!E28)=0,0,ABS(Dataset!E28-Dataset!E28)/(ABS(Dataset!E28)+ABS(Dataset!E28))),IF(ABS(Dataset!F28)+ABS(Dataset!F28)=0,0,ABS(Dataset!F28-Dataset!F28)/(ABS(Dataset!F28)+ABS(Dataset!F28))),IF(ABS(Dataset!G28)+ABS(Dataset!G28)=0,0,ABS(Dataset!G28-Dataset!G28)/(ABS(Dataset!G28)+ABS(Dataset!G28))))</f>
        <v>0</v>
      </c>
      <c r="K104" s="11">
        <f>SUM(IF(ABS(Dataset!B28)+ABS(Dataset!B29)=0,0,ABS(Dataset!B28-Dataset!B29)/(ABS(Dataset!B28)+ABS(Dataset!B29))),IF(ABS(Dataset!C28)+ABS(Dataset!C29)=0,0,ABS(Dataset!C28-Dataset!C29)/(ABS(Dataset!C28)+ABS(Dataset!C29))),IF(ABS(Dataset!D28)+ABS(Dataset!D29)=0,0,ABS(Dataset!D28-Dataset!D29)/(ABS(Dataset!D28)+ABS(Dataset!D29))),IF(ABS(Dataset!E28)+ABS(Dataset!E29)=0,0,ABS(Dataset!E28-Dataset!E29)/(ABS(Dataset!E28)+ABS(Dataset!E29))),IF(ABS(Dataset!F28)+ABS(Dataset!F29)=0,0,ABS(Dataset!F28-Dataset!F29)/(ABS(Dataset!F28)+ABS(Dataset!F29))),IF(ABS(Dataset!G28)+ABS(Dataset!G29)=0,0,ABS(Dataset!G28-Dataset!G29)/(ABS(Dataset!G28)+ABS(Dataset!G29))))</f>
        <v>0.65099485217327802</v>
      </c>
    </row>
    <row r="105" spans="1:11" ht="25.05" customHeight="1">
      <c r="A105" s="8" t="s">
        <v>33</v>
      </c>
      <c r="B105" s="13">
        <f>SUM(IF(ABS(Dataset!B29)+ABS(Dataset!B20)=0,0,ABS(Dataset!B29-Dataset!B20)/(ABS(Dataset!B29)+ABS(Dataset!B20))),IF(ABS(Dataset!C29)+ABS(Dataset!C20)=0,0,ABS(Dataset!C29-Dataset!C20)/(ABS(Dataset!C29)+ABS(Dataset!C20))),IF(ABS(Dataset!D29)+ABS(Dataset!D20)=0,0,ABS(Dataset!D29-Dataset!D20)/(ABS(Dataset!D29)+ABS(Dataset!D20))),IF(ABS(Dataset!E29)+ABS(Dataset!E20)=0,0,ABS(Dataset!E29-Dataset!E20)/(ABS(Dataset!E29)+ABS(Dataset!E20))),IF(ABS(Dataset!F29)+ABS(Dataset!F20)=0,0,ABS(Dataset!F29-Dataset!F20)/(ABS(Dataset!F29)+ABS(Dataset!F20))),IF(ABS(Dataset!G29)+ABS(Dataset!G20)=0,0,ABS(Dataset!G29-Dataset!G20)/(ABS(Dataset!G29)+ABS(Dataset!G20))))</f>
        <v>4.5985988475728563</v>
      </c>
      <c r="C105" s="13">
        <f>SUM(IF(ABS(Dataset!B29)+ABS(Dataset!B21)=0,0,ABS(Dataset!B29-Dataset!B21)/(ABS(Dataset!B29)+ABS(Dataset!B21))),IF(ABS(Dataset!C29)+ABS(Dataset!C21)=0,0,ABS(Dataset!C29-Dataset!C21)/(ABS(Dataset!C29)+ABS(Dataset!C21))),IF(ABS(Dataset!D29)+ABS(Dataset!D21)=0,0,ABS(Dataset!D29-Dataset!D21)/(ABS(Dataset!D29)+ABS(Dataset!D21))),IF(ABS(Dataset!E29)+ABS(Dataset!E21)=0,0,ABS(Dataset!E29-Dataset!E21)/(ABS(Dataset!E29)+ABS(Dataset!E21))),IF(ABS(Dataset!F29)+ABS(Dataset!F21)=0,0,ABS(Dataset!F29-Dataset!F21)/(ABS(Dataset!F29)+ABS(Dataset!F21))),IF(ABS(Dataset!G29)+ABS(Dataset!G21)=0,0,ABS(Dataset!G29-Dataset!G21)/(ABS(Dataset!G29)+ABS(Dataset!G21))))</f>
        <v>2.4088467959328677</v>
      </c>
      <c r="D105" s="13">
        <f>SUM(IF(ABS(Dataset!B29)+ABS(Dataset!B22)=0,0,ABS(Dataset!B29-Dataset!B22)/(ABS(Dataset!B29)+ABS(Dataset!B22))),IF(ABS(Dataset!C29)+ABS(Dataset!C22)=0,0,ABS(Dataset!C29-Dataset!C22)/(ABS(Dataset!C29)+ABS(Dataset!C22))),IF(ABS(Dataset!D29)+ABS(Dataset!D22)=0,0,ABS(Dataset!D29-Dataset!D22)/(ABS(Dataset!D29)+ABS(Dataset!D22))),IF(ABS(Dataset!E29)+ABS(Dataset!E22)=0,0,ABS(Dataset!E29-Dataset!E22)/(ABS(Dataset!E29)+ABS(Dataset!E22))),IF(ABS(Dataset!F29)+ABS(Dataset!F22)=0,0,ABS(Dataset!F29-Dataset!F22)/(ABS(Dataset!F29)+ABS(Dataset!F22))),IF(ABS(Dataset!G29)+ABS(Dataset!G22)=0,0,ABS(Dataset!G29-Dataset!G22)/(ABS(Dataset!G29)+ABS(Dataset!G22))))</f>
        <v>1.3292712450580708</v>
      </c>
      <c r="E105" s="13">
        <f>SUM(IF(ABS(Dataset!B29)+ABS(Dataset!B23)=0,0,ABS(Dataset!B29-Dataset!B23)/(ABS(Dataset!B29)+ABS(Dataset!B23))),IF(ABS(Dataset!C29)+ABS(Dataset!C23)=0,0,ABS(Dataset!C29-Dataset!C23)/(ABS(Dataset!C29)+ABS(Dataset!C23))),IF(ABS(Dataset!D29)+ABS(Dataset!D23)=0,0,ABS(Dataset!D29-Dataset!D23)/(ABS(Dataset!D29)+ABS(Dataset!D23))),IF(ABS(Dataset!E29)+ABS(Dataset!E23)=0,0,ABS(Dataset!E29-Dataset!E23)/(ABS(Dataset!E29)+ABS(Dataset!E23))),IF(ABS(Dataset!F29)+ABS(Dataset!F23)=0,0,ABS(Dataset!F29-Dataset!F23)/(ABS(Dataset!F29)+ABS(Dataset!F23))),IF(ABS(Dataset!G29)+ABS(Dataset!G23)=0,0,ABS(Dataset!G29-Dataset!G23)/(ABS(Dataset!G29)+ABS(Dataset!G23))))</f>
        <v>2.7102453058678031</v>
      </c>
      <c r="F105" s="13">
        <f>SUM(IF(ABS(Dataset!B29)+ABS(Dataset!B24)=0,0,ABS(Dataset!B29-Dataset!B24)/(ABS(Dataset!B29)+ABS(Dataset!B24))),IF(ABS(Dataset!C29)+ABS(Dataset!C24)=0,0,ABS(Dataset!C29-Dataset!C24)/(ABS(Dataset!C29)+ABS(Dataset!C24))),IF(ABS(Dataset!D29)+ABS(Dataset!D24)=0,0,ABS(Dataset!D29-Dataset!D24)/(ABS(Dataset!D29)+ABS(Dataset!D24))),IF(ABS(Dataset!E29)+ABS(Dataset!E24)=0,0,ABS(Dataset!E29-Dataset!E24)/(ABS(Dataset!E29)+ABS(Dataset!E24))),IF(ABS(Dataset!F29)+ABS(Dataset!F24)=0,0,ABS(Dataset!F29-Dataset!F24)/(ABS(Dataset!F29)+ABS(Dataset!F24))),IF(ABS(Dataset!G29)+ABS(Dataset!G24)=0,0,ABS(Dataset!G29-Dataset!G24)/(ABS(Dataset!G29)+ABS(Dataset!G24))))</f>
        <v>0.75443581547509464</v>
      </c>
      <c r="G105" s="13">
        <f>SUM(IF(ABS(Dataset!B29)+ABS(Dataset!B25)=0,0,ABS(Dataset!B29-Dataset!B25)/(ABS(Dataset!B29)+ABS(Dataset!B25))),IF(ABS(Dataset!C29)+ABS(Dataset!C25)=0,0,ABS(Dataset!C29-Dataset!C25)/(ABS(Dataset!C29)+ABS(Dataset!C25))),IF(ABS(Dataset!D29)+ABS(Dataset!D25)=0,0,ABS(Dataset!D29-Dataset!D25)/(ABS(Dataset!D29)+ABS(Dataset!D25))),IF(ABS(Dataset!E29)+ABS(Dataset!E25)=0,0,ABS(Dataset!E29-Dataset!E25)/(ABS(Dataset!E29)+ABS(Dataset!E25))),IF(ABS(Dataset!F29)+ABS(Dataset!F25)=0,0,ABS(Dataset!F29-Dataset!F25)/(ABS(Dataset!F29)+ABS(Dataset!F25))),IF(ABS(Dataset!G29)+ABS(Dataset!G25)=0,0,ABS(Dataset!G29-Dataset!G25)/(ABS(Dataset!G29)+ABS(Dataset!G25))))</f>
        <v>1.9793449027892722</v>
      </c>
      <c r="H105" s="13">
        <f>SUM(IF(ABS(Dataset!B29)+ABS(Dataset!B26)=0,0,ABS(Dataset!B29-Dataset!B26)/(ABS(Dataset!B29)+ABS(Dataset!B26))),IF(ABS(Dataset!C29)+ABS(Dataset!C26)=0,0,ABS(Dataset!C29-Dataset!C26)/(ABS(Dataset!C29)+ABS(Dataset!C26))),IF(ABS(Dataset!D29)+ABS(Dataset!D26)=0,0,ABS(Dataset!D29-Dataset!D26)/(ABS(Dataset!D29)+ABS(Dataset!D26))),IF(ABS(Dataset!E29)+ABS(Dataset!E26)=0,0,ABS(Dataset!E29-Dataset!E26)/(ABS(Dataset!E29)+ABS(Dataset!E26))),IF(ABS(Dataset!F29)+ABS(Dataset!F26)=0,0,ABS(Dataset!F29-Dataset!F26)/(ABS(Dataset!F29)+ABS(Dataset!F26))),IF(ABS(Dataset!G29)+ABS(Dataset!G26)=0,0,ABS(Dataset!G29-Dataset!G26)/(ABS(Dataset!G29)+ABS(Dataset!G26))))</f>
        <v>4.8016344279502174</v>
      </c>
      <c r="I105" s="13">
        <f>SUM(IF(ABS(Dataset!B29)+ABS(Dataset!B27)=0,0,ABS(Dataset!B29-Dataset!B27)/(ABS(Dataset!B29)+ABS(Dataset!B27))),IF(ABS(Dataset!C29)+ABS(Dataset!C27)=0,0,ABS(Dataset!C29-Dataset!C27)/(ABS(Dataset!C29)+ABS(Dataset!C27))),IF(ABS(Dataset!D29)+ABS(Dataset!D27)=0,0,ABS(Dataset!D29-Dataset!D27)/(ABS(Dataset!D29)+ABS(Dataset!D27))),IF(ABS(Dataset!E29)+ABS(Dataset!E27)=0,0,ABS(Dataset!E29-Dataset!E27)/(ABS(Dataset!E29)+ABS(Dataset!E27))),IF(ABS(Dataset!F29)+ABS(Dataset!F27)=0,0,ABS(Dataset!F29-Dataset!F27)/(ABS(Dataset!F29)+ABS(Dataset!F27))),IF(ABS(Dataset!G29)+ABS(Dataset!G27)=0,0,ABS(Dataset!G29-Dataset!G27)/(ABS(Dataset!G29)+ABS(Dataset!G27))))</f>
        <v>3.3623582536039107</v>
      </c>
      <c r="J105" s="13">
        <f>SUM(IF(ABS(Dataset!B29)+ABS(Dataset!B28)=0,0,ABS(Dataset!B29-Dataset!B28)/(ABS(Dataset!B29)+ABS(Dataset!B28))),IF(ABS(Dataset!C29)+ABS(Dataset!C28)=0,0,ABS(Dataset!C29-Dataset!C28)/(ABS(Dataset!C29)+ABS(Dataset!C28))),IF(ABS(Dataset!D29)+ABS(Dataset!D28)=0,0,ABS(Dataset!D29-Dataset!D28)/(ABS(Dataset!D29)+ABS(Dataset!D28))),IF(ABS(Dataset!E29)+ABS(Dataset!E28)=0,0,ABS(Dataset!E29-Dataset!E28)/(ABS(Dataset!E29)+ABS(Dataset!E28))),IF(ABS(Dataset!F29)+ABS(Dataset!F28)=0,0,ABS(Dataset!F29-Dataset!F28)/(ABS(Dataset!F29)+ABS(Dataset!F28))),IF(ABS(Dataset!G29)+ABS(Dataset!G28)=0,0,ABS(Dataset!G29-Dataset!G28)/(ABS(Dataset!G29)+ABS(Dataset!G28))))</f>
        <v>0.65099485217327802</v>
      </c>
      <c r="K105" s="13">
        <f>SUM(IF(ABS(Dataset!B29)+ABS(Dataset!B29)=0,0,ABS(Dataset!B29-Dataset!B29)/(ABS(Dataset!B29)+ABS(Dataset!B29))),IF(ABS(Dataset!C29)+ABS(Dataset!C29)=0,0,ABS(Dataset!C29-Dataset!C29)/(ABS(Dataset!C29)+ABS(Dataset!C29))),IF(ABS(Dataset!D29)+ABS(Dataset!D29)=0,0,ABS(Dataset!D29-Dataset!D29)/(ABS(Dataset!D29)+ABS(Dataset!D29))),IF(ABS(Dataset!E29)+ABS(Dataset!E29)=0,0,ABS(Dataset!E29-Dataset!E29)/(ABS(Dataset!E29)+ABS(Dataset!E29))),IF(ABS(Dataset!F29)+ABS(Dataset!F29)=0,0,ABS(Dataset!F29-Dataset!F29)/(ABS(Dataset!F29)+ABS(Dataset!F29))),IF(ABS(Dataset!G29)+ABS(Dataset!G29)=0,0,ABS(Dataset!G29-Dataset!G29)/(ABS(Dataset!G29)+ABS(Dataset!G29))))</f>
        <v>0</v>
      </c>
    </row>
    <row r="106" spans="1:1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spans="1:1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spans="1:1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 spans="1:11" ht="30" customHeight="1">
      <c r="A109" s="35" t="s">
        <v>47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</row>
    <row r="110" spans="1:11" ht="43.95" customHeight="1">
      <c r="A110" s="2" t="s">
        <v>3</v>
      </c>
      <c r="B110" s="2" t="s">
        <v>13</v>
      </c>
      <c r="C110" s="2" t="s">
        <v>15</v>
      </c>
      <c r="D110" s="2" t="s">
        <v>17</v>
      </c>
      <c r="E110" s="2" t="s">
        <v>19</v>
      </c>
      <c r="F110" s="2" t="s">
        <v>21</v>
      </c>
      <c r="G110" s="2" t="s">
        <v>23</v>
      </c>
      <c r="H110" s="2" t="s">
        <v>26</v>
      </c>
      <c r="I110" s="2" t="s">
        <v>29</v>
      </c>
      <c r="J110" s="2" t="s">
        <v>32</v>
      </c>
      <c r="K110" s="2" t="s">
        <v>33</v>
      </c>
    </row>
    <row r="111" spans="1:11" ht="25.05" customHeight="1">
      <c r="A111" s="6" t="s">
        <v>13</v>
      </c>
      <c r="B111" s="11">
        <f>SUM(ABS(Dataset!B20-Dataset!B20),ABS(Dataset!C20-Dataset!C20),ABS(Dataset!D20-Dataset!D20),ABS(Dataset!E20-Dataset!E20),ABS(Dataset!F20-Dataset!F20),ABS(Dataset!G20-Dataset!G20))</f>
        <v>0</v>
      </c>
      <c r="C111" s="11">
        <f>SUM(ABS(Dataset!B20-Dataset!B21),ABS(Dataset!C20-Dataset!C21),ABS(Dataset!D20-Dataset!D21),ABS(Dataset!E20-Dataset!E21),ABS(Dataset!F20-Dataset!F21),ABS(Dataset!G20-Dataset!G21))</f>
        <v>2.1704252573401157</v>
      </c>
      <c r="D111" s="11">
        <f>SUM(ABS(Dataset!B20-Dataset!B22),ABS(Dataset!C20-Dataset!C22),ABS(Dataset!D20-Dataset!D22),ABS(Dataset!E20-Dataset!E22),ABS(Dataset!F20-Dataset!F22),ABS(Dataset!G20-Dataset!G22))</f>
        <v>4.191462987432498</v>
      </c>
      <c r="E111" s="11">
        <f>SUM(ABS(Dataset!B20-Dataset!B23),ABS(Dataset!C20-Dataset!C23),ABS(Dataset!D20-Dataset!D23),ABS(Dataset!E20-Dataset!E23),ABS(Dataset!F20-Dataset!F23),ABS(Dataset!G20-Dataset!G23))</f>
        <v>1.9773601152171774</v>
      </c>
      <c r="F111" s="11">
        <f>SUM(ABS(Dataset!B20-Dataset!B24),ABS(Dataset!C20-Dataset!C24),ABS(Dataset!D20-Dataset!D24),ABS(Dataset!E20-Dataset!E24),ABS(Dataset!F20-Dataset!F24),ABS(Dataset!G20-Dataset!G24))</f>
        <v>4.7334236448113343</v>
      </c>
      <c r="G111" s="11">
        <f>SUM(ABS(Dataset!B20-Dataset!B25),ABS(Dataset!C20-Dataset!C25),ABS(Dataset!D20-Dataset!D25),ABS(Dataset!E20-Dataset!E25),ABS(Dataset!F20-Dataset!F25),ABS(Dataset!G20-Dataset!G25))</f>
        <v>2.4141269755056678</v>
      </c>
      <c r="H111" s="11">
        <f>SUM(ABS(Dataset!B20-Dataset!B26),ABS(Dataset!C20-Dataset!C26),ABS(Dataset!D20-Dataset!D26),ABS(Dataset!E20-Dataset!E26),ABS(Dataset!F20-Dataset!F26),ABS(Dataset!G20-Dataset!G26))</f>
        <v>1.9394575193735948</v>
      </c>
      <c r="I111" s="11">
        <f>SUM(ABS(Dataset!B20-Dataset!B27),ABS(Dataset!C20-Dataset!C27),ABS(Dataset!D20-Dataset!D27),ABS(Dataset!E20-Dataset!E27),ABS(Dataset!F20-Dataset!F27),ABS(Dataset!G20-Dataset!G27))</f>
        <v>2.1208819178081133</v>
      </c>
      <c r="J111" s="11">
        <f>SUM(ABS(Dataset!B20-Dataset!B28),ABS(Dataset!C20-Dataset!C28),ABS(Dataset!D20-Dataset!D28),ABS(Dataset!E20-Dataset!E28),ABS(Dataset!F20-Dataset!F28),ABS(Dataset!G20-Dataset!G28))</f>
        <v>4.5963279083392381</v>
      </c>
      <c r="K111" s="11">
        <f>SUM(ABS(Dataset!B20-Dataset!B29),ABS(Dataset!C20-Dataset!C29),ABS(Dataset!D20-Dataset!D29),ABS(Dataset!E20-Dataset!E29),ABS(Dataset!F20-Dataset!F29),ABS(Dataset!G20-Dataset!G29))</f>
        <v>4.5299080367852858</v>
      </c>
    </row>
    <row r="112" spans="1:11" ht="25.05" customHeight="1">
      <c r="A112" s="7" t="s">
        <v>15</v>
      </c>
      <c r="B112" s="12">
        <f>SUM(ABS(Dataset!B21-Dataset!B20),ABS(Dataset!C21-Dataset!C20),ABS(Dataset!D21-Dataset!D20),ABS(Dataset!E21-Dataset!E20),ABS(Dataset!F21-Dataset!F20),ABS(Dataset!G21-Dataset!G20))</f>
        <v>2.1704252573401157</v>
      </c>
      <c r="C112" s="12">
        <f>SUM(ABS(Dataset!B21-Dataset!B21),ABS(Dataset!C21-Dataset!C21),ABS(Dataset!D21-Dataset!D21),ABS(Dataset!E21-Dataset!E21),ABS(Dataset!F21-Dataset!F21),ABS(Dataset!G21-Dataset!G21))</f>
        <v>0</v>
      </c>
      <c r="D112" s="12">
        <f>SUM(ABS(Dataset!B21-Dataset!B22),ABS(Dataset!C21-Dataset!C22),ABS(Dataset!D21-Dataset!D22),ABS(Dataset!E21-Dataset!E22),ABS(Dataset!F21-Dataset!F22),ABS(Dataset!G21-Dataset!G22))</f>
        <v>2.0210377300923819</v>
      </c>
      <c r="E112" s="12">
        <f>SUM(ABS(Dataset!B21-Dataset!B23),ABS(Dataset!C21-Dataset!C23),ABS(Dataset!D21-Dataset!D23),ABS(Dataset!E21-Dataset!E23),ABS(Dataset!F21-Dataset!F23),ABS(Dataset!G21-Dataset!G23))</f>
        <v>1.1944227198751189</v>
      </c>
      <c r="F112" s="12">
        <f>SUM(ABS(Dataset!B21-Dataset!B24),ABS(Dataset!C21-Dataset!C24),ABS(Dataset!D21-Dataset!D24),ABS(Dataset!E21-Dataset!E24),ABS(Dataset!F21-Dataset!F24),ABS(Dataset!G21-Dataset!G24))</f>
        <v>2.6129983874712184</v>
      </c>
      <c r="G112" s="12">
        <f>SUM(ABS(Dataset!B21-Dataset!B25),ABS(Dataset!C21-Dataset!C25),ABS(Dataset!D21-Dataset!D25),ABS(Dataset!E21-Dataset!E25),ABS(Dataset!F21-Dataset!F25),ABS(Dataset!G21-Dataset!G25))</f>
        <v>1.2444585582866452</v>
      </c>
      <c r="H112" s="12">
        <f>SUM(ABS(Dataset!B21-Dataset!B26),ABS(Dataset!C21-Dataset!C26),ABS(Dataset!D21-Dataset!D26),ABS(Dataset!E21-Dataset!E26),ABS(Dataset!F21-Dataset!F26),ABS(Dataset!G21-Dataset!G26))</f>
        <v>2.0140342612337983</v>
      </c>
      <c r="I112" s="12">
        <f>SUM(ABS(Dataset!B21-Dataset!B27),ABS(Dataset!C21-Dataset!C27),ABS(Dataset!D21-Dataset!D27),ABS(Dataset!E21-Dataset!E27),ABS(Dataset!F21-Dataset!F27),ABS(Dataset!G21-Dataset!G27))</f>
        <v>1.6860909781694884</v>
      </c>
      <c r="J112" s="12">
        <f>SUM(ABS(Dataset!B21-Dataset!B28),ABS(Dataset!C21-Dataset!C28),ABS(Dataset!D21-Dataset!D28),ABS(Dataset!E21-Dataset!E28),ABS(Dataset!F21-Dataset!F28),ABS(Dataset!G21-Dataset!G28))</f>
        <v>2.7259026509991222</v>
      </c>
      <c r="K112" s="12">
        <f>SUM(ABS(Dataset!B21-Dataset!B29),ABS(Dataset!C21-Dataset!C29),ABS(Dataset!D21-Dataset!D29),ABS(Dataset!E21-Dataset!E29),ABS(Dataset!F21-Dataset!F29),ABS(Dataset!G21-Dataset!G29))</f>
        <v>3.037351631904186</v>
      </c>
    </row>
    <row r="113" spans="1:11" ht="25.05" customHeight="1">
      <c r="A113" s="6" t="s">
        <v>17</v>
      </c>
      <c r="B113" s="11">
        <f>SUM(ABS(Dataset!B22-Dataset!B20),ABS(Dataset!C22-Dataset!C20),ABS(Dataset!D22-Dataset!D20),ABS(Dataset!E22-Dataset!E20),ABS(Dataset!F22-Dataset!F20),ABS(Dataset!G22-Dataset!G20))</f>
        <v>4.191462987432498</v>
      </c>
      <c r="C113" s="11">
        <f>SUM(ABS(Dataset!B22-Dataset!B21),ABS(Dataset!C22-Dataset!C21),ABS(Dataset!D22-Dataset!D21),ABS(Dataset!E22-Dataset!E21),ABS(Dataset!F22-Dataset!F21),ABS(Dataset!G22-Dataset!G21))</f>
        <v>2.0210377300923819</v>
      </c>
      <c r="D113" s="11">
        <f>SUM(ABS(Dataset!B22-Dataset!B22),ABS(Dataset!C22-Dataset!C22),ABS(Dataset!D22-Dataset!D22),ABS(Dataset!E22-Dataset!E22),ABS(Dataset!F22-Dataset!F22),ABS(Dataset!G22-Dataset!G22))</f>
        <v>0</v>
      </c>
      <c r="E113" s="11">
        <f>SUM(ABS(Dataset!B22-Dataset!B23),ABS(Dataset!C22-Dataset!C23),ABS(Dataset!D22-Dataset!D23),ABS(Dataset!E22-Dataset!E23),ABS(Dataset!F22-Dataset!F23),ABS(Dataset!G22-Dataset!G23))</f>
        <v>2.3141028722153205</v>
      </c>
      <c r="F113" s="11">
        <f>SUM(ABS(Dataset!B22-Dataset!B24),ABS(Dataset!C22-Dataset!C24),ABS(Dataset!D22-Dataset!D24),ABS(Dataset!E22-Dataset!E24),ABS(Dataset!F22-Dataset!F24),ABS(Dataset!G22-Dataset!G24))</f>
        <v>0.90589508360834459</v>
      </c>
      <c r="G113" s="11">
        <f>SUM(ABS(Dataset!B22-Dataset!B25),ABS(Dataset!C22-Dataset!C25),ABS(Dataset!D22-Dataset!D25),ABS(Dataset!E22-Dataset!E25),ABS(Dataset!F22-Dataset!F25),ABS(Dataset!G22-Dataset!G25))</f>
        <v>1.7773360119268304</v>
      </c>
      <c r="H113" s="11">
        <f>SUM(ABS(Dataset!B22-Dataset!B26),ABS(Dataset!C22-Dataset!C26),ABS(Dataset!D22-Dataset!D26),ABS(Dataset!E22-Dataset!E26),ABS(Dataset!F22-Dataset!F26),ABS(Dataset!G22-Dataset!G26))</f>
        <v>3.5118615256358723</v>
      </c>
      <c r="I113" s="11">
        <f>SUM(ABS(Dataset!B22-Dataset!B27),ABS(Dataset!C22-Dataset!C27),ABS(Dataset!D22-Dataset!D27),ABS(Dataset!E22-Dataset!E27),ABS(Dataset!F22-Dataset!F27),ABS(Dataset!G22-Dataset!G27))</f>
        <v>2.8205810696243843</v>
      </c>
      <c r="J113" s="11">
        <f>SUM(ABS(Dataset!B22-Dataset!B28),ABS(Dataset!C22-Dataset!C28),ABS(Dataset!D22-Dataset!D28),ABS(Dataset!E22-Dataset!E28),ABS(Dataset!F22-Dataset!F28),ABS(Dataset!G22-Dataset!G28))</f>
        <v>1.0515862323821503</v>
      </c>
      <c r="K113" s="11">
        <f>SUM(ABS(Dataset!B22-Dataset!B29),ABS(Dataset!C22-Dataset!C29),ABS(Dataset!D22-Dataset!D29),ABS(Dataset!E22-Dataset!E29),ABS(Dataset!F22-Dataset!F29),ABS(Dataset!G22-Dataset!G29))</f>
        <v>2.0187729182052472</v>
      </c>
    </row>
    <row r="114" spans="1:11" ht="25.05" customHeight="1">
      <c r="A114" s="7" t="s">
        <v>19</v>
      </c>
      <c r="B114" s="12">
        <f>SUM(ABS(Dataset!B23-Dataset!B20),ABS(Dataset!C23-Dataset!C20),ABS(Dataset!D23-Dataset!D20),ABS(Dataset!E23-Dataset!E20),ABS(Dataset!F23-Dataset!F20),ABS(Dataset!G23-Dataset!G20))</f>
        <v>1.9773601152171774</v>
      </c>
      <c r="C114" s="12">
        <f>SUM(ABS(Dataset!B23-Dataset!B21),ABS(Dataset!C23-Dataset!C21),ABS(Dataset!D23-Dataset!D21),ABS(Dataset!E23-Dataset!E21),ABS(Dataset!F23-Dataset!F21),ABS(Dataset!G23-Dataset!G21))</f>
        <v>1.1944227198751189</v>
      </c>
      <c r="D114" s="12">
        <f>SUM(ABS(Dataset!B23-Dataset!B22),ABS(Dataset!C23-Dataset!C22),ABS(Dataset!D23-Dataset!D22),ABS(Dataset!E23-Dataset!E22),ABS(Dataset!F23-Dataset!F22),ABS(Dataset!G23-Dataset!G22))</f>
        <v>2.3141028722153205</v>
      </c>
      <c r="E114" s="12">
        <f>SUM(ABS(Dataset!B23-Dataset!B23),ABS(Dataset!C23-Dataset!C23),ABS(Dataset!D23-Dataset!D23),ABS(Dataset!E23-Dataset!E23),ABS(Dataset!F23-Dataset!F23),ABS(Dataset!G23-Dataset!G23))</f>
        <v>0</v>
      </c>
      <c r="F114" s="12">
        <f>SUM(ABS(Dataset!B23-Dataset!B24),ABS(Dataset!C23-Dataset!C24),ABS(Dataset!D23-Dataset!D24),ABS(Dataset!E23-Dataset!E24),ABS(Dataset!F23-Dataset!F24),ABS(Dataset!G23-Dataset!G24))</f>
        <v>3.0560635295941569</v>
      </c>
      <c r="G114" s="12">
        <f>SUM(ABS(Dataset!B23-Dataset!B25),ABS(Dataset!C23-Dataset!C25),ABS(Dataset!D23-Dataset!D25),ABS(Dataset!E23-Dataset!E25),ABS(Dataset!F23-Dataset!F25),ABS(Dataset!G23-Dataset!G25))</f>
        <v>0.89742259799340807</v>
      </c>
      <c r="H114" s="12">
        <f>SUM(ABS(Dataset!B23-Dataset!B26),ABS(Dataset!C23-Dataset!C26),ABS(Dataset!D23-Dataset!D26),ABS(Dataset!E23-Dataset!E26),ABS(Dataset!F23-Dataset!F26),ABS(Dataset!G23-Dataset!G26))</f>
        <v>1.1977586534205518</v>
      </c>
      <c r="I114" s="12">
        <f>SUM(ABS(Dataset!B23-Dataset!B27),ABS(Dataset!C23-Dataset!C27),ABS(Dataset!D23-Dataset!D27),ABS(Dataset!E23-Dataset!E27),ABS(Dataset!F23-Dataset!F27),ABS(Dataset!G23-Dataset!G27))</f>
        <v>0.75103025552044378</v>
      </c>
      <c r="J114" s="12">
        <f>SUM(ABS(Dataset!B23-Dataset!B28),ABS(Dataset!C23-Dataset!C28),ABS(Dataset!D23-Dataset!D28),ABS(Dataset!E23-Dataset!E28),ABS(Dataset!F23-Dataset!F28),ABS(Dataset!G23-Dataset!G28))</f>
        <v>3.1689677931220608</v>
      </c>
      <c r="K114" s="12">
        <f>SUM(ABS(Dataset!B23-Dataset!B29),ABS(Dataset!C23-Dataset!C29),ABS(Dataset!D23-Dataset!D29),ABS(Dataset!E23-Dataset!E29),ABS(Dataset!F23-Dataset!F29),ABS(Dataset!G23-Dataset!G29))</f>
        <v>3.283695462551715</v>
      </c>
    </row>
    <row r="115" spans="1:11" ht="25.05" customHeight="1">
      <c r="A115" s="6" t="s">
        <v>21</v>
      </c>
      <c r="B115" s="11">
        <f>SUM(ABS(Dataset!B24-Dataset!B20),ABS(Dataset!C24-Dataset!C20),ABS(Dataset!D24-Dataset!D20),ABS(Dataset!E24-Dataset!E20),ABS(Dataset!F24-Dataset!F20),ABS(Dataset!G24-Dataset!G20))</f>
        <v>4.7334236448113343</v>
      </c>
      <c r="C115" s="11">
        <f>SUM(ABS(Dataset!B24-Dataset!B21),ABS(Dataset!C24-Dataset!C21),ABS(Dataset!D24-Dataset!D21),ABS(Dataset!E24-Dataset!E21),ABS(Dataset!F24-Dataset!F21),ABS(Dataset!G24-Dataset!G21))</f>
        <v>2.6129983874712184</v>
      </c>
      <c r="D115" s="11">
        <f>SUM(ABS(Dataset!B24-Dataset!B22),ABS(Dataset!C24-Dataset!C22),ABS(Dataset!D24-Dataset!D22),ABS(Dataset!E24-Dataset!E22),ABS(Dataset!F24-Dataset!F22),ABS(Dataset!G24-Dataset!G22))</f>
        <v>0.90589508360834459</v>
      </c>
      <c r="E115" s="11">
        <f>SUM(ABS(Dataset!B24-Dataset!B23),ABS(Dataset!C24-Dataset!C23),ABS(Dataset!D24-Dataset!D23),ABS(Dataset!E24-Dataset!E23),ABS(Dataset!F24-Dataset!F23),ABS(Dataset!G24-Dataset!G23))</f>
        <v>3.0560635295941569</v>
      </c>
      <c r="F115" s="11">
        <f>SUM(ABS(Dataset!B24-Dataset!B24),ABS(Dataset!C24-Dataset!C24),ABS(Dataset!D24-Dataset!D24),ABS(Dataset!E24-Dataset!E24),ABS(Dataset!F24-Dataset!F24),ABS(Dataset!G24-Dataset!G24))</f>
        <v>0</v>
      </c>
      <c r="G115" s="11">
        <f>SUM(ABS(Dataset!B24-Dataset!B25),ABS(Dataset!C24-Dataset!C25),ABS(Dataset!D24-Dataset!D25),ABS(Dataset!E24-Dataset!E25),ABS(Dataset!F24-Dataset!F25),ABS(Dataset!G24-Dataset!G25))</f>
        <v>2.5192966693056666</v>
      </c>
      <c r="H115" s="11">
        <f>SUM(ABS(Dataset!B24-Dataset!B26),ABS(Dataset!C24-Dataset!C26),ABS(Dataset!D24-Dataset!D26),ABS(Dataset!E24-Dataset!E26),ABS(Dataset!F24-Dataset!F26),ABS(Dataset!G24-Dataset!G26))</f>
        <v>4.2538221830147087</v>
      </c>
      <c r="I115" s="11">
        <f>SUM(ABS(Dataset!B24-Dataset!B27),ABS(Dataset!C24-Dataset!C27),ABS(Dataset!D24-Dataset!D27),ABS(Dataset!E24-Dataset!E27),ABS(Dataset!F24-Dataset!F27),ABS(Dataset!G24-Dataset!G27))</f>
        <v>3.5625417270032216</v>
      </c>
      <c r="J115" s="11">
        <f>SUM(ABS(Dataset!B24-Dataset!B28),ABS(Dataset!C24-Dataset!C28),ABS(Dataset!D24-Dataset!D28),ABS(Dataset!E24-Dataset!E28),ABS(Dataset!F24-Dataset!F28),ABS(Dataset!G24-Dataset!G28))</f>
        <v>0.32600473762398041</v>
      </c>
      <c r="K115" s="11">
        <f>SUM(ABS(Dataset!B24-Dataset!B29),ABS(Dataset!C24-Dataset!C29),ABS(Dataset!D24-Dataset!D29),ABS(Dataset!E24-Dataset!E29),ABS(Dataset!F24-Dataset!F29),ABS(Dataset!G24-Dataset!G29))</f>
        <v>1.1128778345969024</v>
      </c>
    </row>
    <row r="116" spans="1:11" ht="25.05" customHeight="1">
      <c r="A116" s="7" t="s">
        <v>23</v>
      </c>
      <c r="B116" s="12">
        <f>SUM(ABS(Dataset!B25-Dataset!B20),ABS(Dataset!C25-Dataset!C20),ABS(Dataset!D25-Dataset!D20),ABS(Dataset!E25-Dataset!E20),ABS(Dataset!F25-Dataset!F20),ABS(Dataset!G25-Dataset!G20))</f>
        <v>2.4141269755056678</v>
      </c>
      <c r="C116" s="12">
        <f>SUM(ABS(Dataset!B25-Dataset!B21),ABS(Dataset!C25-Dataset!C21),ABS(Dataset!D25-Dataset!D21),ABS(Dataset!E25-Dataset!E21),ABS(Dataset!F25-Dataset!F21),ABS(Dataset!G25-Dataset!G21))</f>
        <v>1.2444585582866452</v>
      </c>
      <c r="D116" s="12">
        <f>SUM(ABS(Dataset!B25-Dataset!B22),ABS(Dataset!C25-Dataset!C22),ABS(Dataset!D25-Dataset!D22),ABS(Dataset!E25-Dataset!E22),ABS(Dataset!F25-Dataset!F22),ABS(Dataset!G25-Dataset!G22))</f>
        <v>1.7773360119268304</v>
      </c>
      <c r="E116" s="12">
        <f>SUM(ABS(Dataset!B25-Dataset!B23),ABS(Dataset!C25-Dataset!C23),ABS(Dataset!D25-Dataset!D23),ABS(Dataset!E25-Dataset!E23),ABS(Dataset!F25-Dataset!F23),ABS(Dataset!G25-Dataset!G23))</f>
        <v>0.89742259799340807</v>
      </c>
      <c r="F116" s="12">
        <f>SUM(ABS(Dataset!B25-Dataset!B24),ABS(Dataset!C25-Dataset!C24),ABS(Dataset!D25-Dataset!D24),ABS(Dataset!E25-Dataset!E24),ABS(Dataset!F25-Dataset!F24),ABS(Dataset!G25-Dataset!G24))</f>
        <v>2.5192966693056666</v>
      </c>
      <c r="G116" s="12">
        <f>SUM(ABS(Dataset!B25-Dataset!B25),ABS(Dataset!C25-Dataset!C25),ABS(Dataset!D25-Dataset!D25),ABS(Dataset!E25-Dataset!E25),ABS(Dataset!F25-Dataset!F25),ABS(Dataset!G25-Dataset!G25))</f>
        <v>0</v>
      </c>
      <c r="H116" s="12">
        <f>SUM(ABS(Dataset!B25-Dataset!B26),ABS(Dataset!C25-Dataset!C26),ABS(Dataset!D25-Dataset!D26),ABS(Dataset!E25-Dataset!E26),ABS(Dataset!F25-Dataset!F26),ABS(Dataset!G25-Dataset!G26))</f>
        <v>1.7345255137090418</v>
      </c>
      <c r="I116" s="12">
        <f>SUM(ABS(Dataset!B25-Dataset!B27),ABS(Dataset!C25-Dataset!C27),ABS(Dataset!D25-Dataset!D27),ABS(Dataset!E25-Dataset!E27),ABS(Dataset!F25-Dataset!F27),ABS(Dataset!G25-Dataset!G27))</f>
        <v>1.0432450576975543</v>
      </c>
      <c r="J116" s="12">
        <f>SUM(ABS(Dataset!B25-Dataset!B28),ABS(Dataset!C25-Dataset!C28),ABS(Dataset!D25-Dataset!D28),ABS(Dataset!E25-Dataset!E28),ABS(Dataset!F25-Dataset!F28),ABS(Dataset!G25-Dataset!G28))</f>
        <v>2.6322009328335705</v>
      </c>
      <c r="K116" s="12">
        <f>SUM(ABS(Dataset!B25-Dataset!B29),ABS(Dataset!C25-Dataset!C29),ABS(Dataset!D25-Dataset!D29),ABS(Dataset!E25-Dataset!E29),ABS(Dataset!F25-Dataset!F29),ABS(Dataset!G25-Dataset!G29))</f>
        <v>2.6157810612796184</v>
      </c>
    </row>
    <row r="117" spans="1:11" ht="25.05" customHeight="1">
      <c r="A117" s="6" t="s">
        <v>26</v>
      </c>
      <c r="B117" s="11">
        <f>SUM(ABS(Dataset!B26-Dataset!B20),ABS(Dataset!C26-Dataset!C20),ABS(Dataset!D26-Dataset!D20),ABS(Dataset!E26-Dataset!E20),ABS(Dataset!F26-Dataset!F20),ABS(Dataset!G26-Dataset!G20))</f>
        <v>1.9394575193735948</v>
      </c>
      <c r="C117" s="11">
        <f>SUM(ABS(Dataset!B26-Dataset!B21),ABS(Dataset!C26-Dataset!C21),ABS(Dataset!D26-Dataset!D21),ABS(Dataset!E26-Dataset!E21),ABS(Dataset!F26-Dataset!F21),ABS(Dataset!G26-Dataset!G21))</f>
        <v>2.0140342612337983</v>
      </c>
      <c r="D117" s="11">
        <f>SUM(ABS(Dataset!B26-Dataset!B22),ABS(Dataset!C26-Dataset!C22),ABS(Dataset!D26-Dataset!D22),ABS(Dataset!E26-Dataset!E22),ABS(Dataset!F26-Dataset!F22),ABS(Dataset!G26-Dataset!G22))</f>
        <v>3.5118615256358723</v>
      </c>
      <c r="E117" s="11">
        <f>SUM(ABS(Dataset!B26-Dataset!B23),ABS(Dataset!C26-Dataset!C23),ABS(Dataset!D26-Dataset!D23),ABS(Dataset!E26-Dataset!E23),ABS(Dataset!F26-Dataset!F23),ABS(Dataset!G26-Dataset!G23))</f>
        <v>1.1977586534205518</v>
      </c>
      <c r="F117" s="11">
        <f>SUM(ABS(Dataset!B26-Dataset!B24),ABS(Dataset!C26-Dataset!C24),ABS(Dataset!D26-Dataset!D24),ABS(Dataset!E26-Dataset!E24),ABS(Dataset!F26-Dataset!F24),ABS(Dataset!G26-Dataset!G24))</f>
        <v>4.2538221830147087</v>
      </c>
      <c r="G117" s="11">
        <f>SUM(ABS(Dataset!B26-Dataset!B25),ABS(Dataset!C26-Dataset!C25),ABS(Dataset!D26-Dataset!D25),ABS(Dataset!E26-Dataset!E25),ABS(Dataset!F26-Dataset!F25),ABS(Dataset!G26-Dataset!G25))</f>
        <v>1.7345255137090418</v>
      </c>
      <c r="H117" s="11">
        <f>SUM(ABS(Dataset!B26-Dataset!B26),ABS(Dataset!C26-Dataset!C26),ABS(Dataset!D26-Dataset!D26),ABS(Dataset!E26-Dataset!E26),ABS(Dataset!F26-Dataset!F26),ABS(Dataset!G26-Dataset!G26))</f>
        <v>0</v>
      </c>
      <c r="I117" s="11">
        <f>SUM(ABS(Dataset!B26-Dataset!B27),ABS(Dataset!C26-Dataset!C27),ABS(Dataset!D26-Dataset!D27),ABS(Dataset!E26-Dataset!E27),ABS(Dataset!F26-Dataset!F27),ABS(Dataset!G26-Dataset!G27))</f>
        <v>0.69128045601148758</v>
      </c>
      <c r="J117" s="11">
        <f>SUM(ABS(Dataset!B26-Dataset!B28),ABS(Dataset!C26-Dataset!C28),ABS(Dataset!D26-Dataset!D28),ABS(Dataset!E26-Dataset!E28),ABS(Dataset!F26-Dataset!F28),ABS(Dataset!G26-Dataset!G28))</f>
        <v>4.3667264465426125</v>
      </c>
      <c r="K117" s="11">
        <f>SUM(ABS(Dataset!B26-Dataset!B29),ABS(Dataset!C26-Dataset!C29),ABS(Dataset!D26-Dataset!D29),ABS(Dataset!E26-Dataset!E29),ABS(Dataset!F26-Dataset!F29),ABS(Dataset!G26-Dataset!G29))</f>
        <v>4.3503065749886609</v>
      </c>
    </row>
    <row r="118" spans="1:11" ht="25.05" customHeight="1">
      <c r="A118" s="7" t="s">
        <v>29</v>
      </c>
      <c r="B118" s="12">
        <f>SUM(ABS(Dataset!B27-Dataset!B20),ABS(Dataset!C27-Dataset!C20),ABS(Dataset!D27-Dataset!D20),ABS(Dataset!E27-Dataset!E20),ABS(Dataset!F27-Dataset!F20),ABS(Dataset!G27-Dataset!G20))</f>
        <v>2.1208819178081133</v>
      </c>
      <c r="C118" s="12">
        <f>SUM(ABS(Dataset!B27-Dataset!B21),ABS(Dataset!C27-Dataset!C21),ABS(Dataset!D27-Dataset!D21),ABS(Dataset!E27-Dataset!E21),ABS(Dataset!F27-Dataset!F21),ABS(Dataset!G27-Dataset!G21))</f>
        <v>1.6860909781694884</v>
      </c>
      <c r="D118" s="12">
        <f>SUM(ABS(Dataset!B27-Dataset!B22),ABS(Dataset!C27-Dataset!C22),ABS(Dataset!D27-Dataset!D22),ABS(Dataset!E27-Dataset!E22),ABS(Dataset!F27-Dataset!F22),ABS(Dataset!G27-Dataset!G22))</f>
        <v>2.8205810696243843</v>
      </c>
      <c r="E118" s="12">
        <f>SUM(ABS(Dataset!B27-Dataset!B23),ABS(Dataset!C27-Dataset!C23),ABS(Dataset!D27-Dataset!D23),ABS(Dataset!E27-Dataset!E23),ABS(Dataset!F27-Dataset!F23),ABS(Dataset!G27-Dataset!G23))</f>
        <v>0.75103025552044378</v>
      </c>
      <c r="F118" s="12">
        <f>SUM(ABS(Dataset!B27-Dataset!B24),ABS(Dataset!C27-Dataset!C24),ABS(Dataset!D27-Dataset!D24),ABS(Dataset!E27-Dataset!E24),ABS(Dataset!F27-Dataset!F24),ABS(Dataset!G27-Dataset!G24))</f>
        <v>3.5625417270032216</v>
      </c>
      <c r="G118" s="12">
        <f>SUM(ABS(Dataset!B27-Dataset!B25),ABS(Dataset!C27-Dataset!C25),ABS(Dataset!D27-Dataset!D25),ABS(Dataset!E27-Dataset!E25),ABS(Dataset!F27-Dataset!F25),ABS(Dataset!G27-Dataset!G25))</f>
        <v>1.0432450576975543</v>
      </c>
      <c r="H118" s="12">
        <f>SUM(ABS(Dataset!B27-Dataset!B26),ABS(Dataset!C27-Dataset!C26),ABS(Dataset!D27-Dataset!D26),ABS(Dataset!E27-Dataset!E26),ABS(Dataset!F27-Dataset!F26),ABS(Dataset!G27-Dataset!G26))</f>
        <v>0.69128045601148758</v>
      </c>
      <c r="I118" s="12">
        <f>SUM(ABS(Dataset!B27-Dataset!B27),ABS(Dataset!C27-Dataset!C27),ABS(Dataset!D27-Dataset!D27),ABS(Dataset!E27-Dataset!E27),ABS(Dataset!F27-Dataset!F27),ABS(Dataset!G27-Dataset!G27))</f>
        <v>0</v>
      </c>
      <c r="J118" s="12">
        <f>SUM(ABS(Dataset!B27-Dataset!B28),ABS(Dataset!C27-Dataset!C28),ABS(Dataset!D27-Dataset!D28),ABS(Dataset!E27-Dataset!E28),ABS(Dataset!F27-Dataset!F28),ABS(Dataset!G27-Dataset!G28))</f>
        <v>3.6754459905311245</v>
      </c>
      <c r="K118" s="12">
        <f>SUM(ABS(Dataset!B27-Dataset!B29),ABS(Dataset!C27-Dataset!C29),ABS(Dataset!D27-Dataset!D29),ABS(Dataset!E27-Dataset!E29),ABS(Dataset!F27-Dataset!F29),ABS(Dataset!G27-Dataset!G29))</f>
        <v>3.6590261189771724</v>
      </c>
    </row>
    <row r="119" spans="1:11" ht="25.05" customHeight="1">
      <c r="A119" s="6" t="s">
        <v>32</v>
      </c>
      <c r="B119" s="11">
        <f>SUM(ABS(Dataset!B28-Dataset!B20),ABS(Dataset!C28-Dataset!C20),ABS(Dataset!D28-Dataset!D20),ABS(Dataset!E28-Dataset!E20),ABS(Dataset!F28-Dataset!F20),ABS(Dataset!G28-Dataset!G20))</f>
        <v>4.5963279083392381</v>
      </c>
      <c r="C119" s="11">
        <f>SUM(ABS(Dataset!B28-Dataset!B21),ABS(Dataset!C28-Dataset!C21),ABS(Dataset!D28-Dataset!D21),ABS(Dataset!E28-Dataset!E21),ABS(Dataset!F28-Dataset!F21),ABS(Dataset!G28-Dataset!G21))</f>
        <v>2.7259026509991222</v>
      </c>
      <c r="D119" s="11">
        <f>SUM(ABS(Dataset!B28-Dataset!B22),ABS(Dataset!C28-Dataset!C22),ABS(Dataset!D28-Dataset!D22),ABS(Dataset!E28-Dataset!E22),ABS(Dataset!F28-Dataset!F22),ABS(Dataset!G28-Dataset!G22))</f>
        <v>1.0515862323821503</v>
      </c>
      <c r="E119" s="11">
        <f>SUM(ABS(Dataset!B28-Dataset!B23),ABS(Dataset!C28-Dataset!C23),ABS(Dataset!D28-Dataset!D23),ABS(Dataset!E28-Dataset!E23),ABS(Dataset!F28-Dataset!F23),ABS(Dataset!G28-Dataset!G23))</f>
        <v>3.1689677931220608</v>
      </c>
      <c r="F119" s="11">
        <f>SUM(ABS(Dataset!B28-Dataset!B24),ABS(Dataset!C28-Dataset!C24),ABS(Dataset!D28-Dataset!D24),ABS(Dataset!E28-Dataset!E24),ABS(Dataset!F28-Dataset!F24),ABS(Dataset!G28-Dataset!G24))</f>
        <v>0.32600473762398041</v>
      </c>
      <c r="G119" s="11">
        <f>SUM(ABS(Dataset!B28-Dataset!B25),ABS(Dataset!C28-Dataset!C25),ABS(Dataset!D28-Dataset!D25),ABS(Dataset!E28-Dataset!E25),ABS(Dataset!F28-Dataset!F25),ABS(Dataset!G28-Dataset!G25))</f>
        <v>2.6322009328335705</v>
      </c>
      <c r="H119" s="11">
        <f>SUM(ABS(Dataset!B28-Dataset!B26),ABS(Dataset!C28-Dataset!C26),ABS(Dataset!D28-Dataset!D26),ABS(Dataset!E28-Dataset!E26),ABS(Dataset!F28-Dataset!F26),ABS(Dataset!G28-Dataset!G26))</f>
        <v>4.3667264465426125</v>
      </c>
      <c r="I119" s="11">
        <f>SUM(ABS(Dataset!B28-Dataset!B27),ABS(Dataset!C28-Dataset!C27),ABS(Dataset!D28-Dataset!D27),ABS(Dataset!E28-Dataset!E27),ABS(Dataset!F28-Dataset!F27),ABS(Dataset!G28-Dataset!G27))</f>
        <v>3.6754459905311245</v>
      </c>
      <c r="J119" s="11">
        <f>SUM(ABS(Dataset!B28-Dataset!B28),ABS(Dataset!C28-Dataset!C28),ABS(Dataset!D28-Dataset!D28),ABS(Dataset!E28-Dataset!E28),ABS(Dataset!F28-Dataset!F28),ABS(Dataset!G28-Dataset!G28))</f>
        <v>0</v>
      </c>
      <c r="K119" s="11">
        <f>SUM(ABS(Dataset!B28-Dataset!B29),ABS(Dataset!C28-Dataset!C29),ABS(Dataset!D28-Dataset!D29),ABS(Dataset!E28-Dataset!E29),ABS(Dataset!F28-Dataset!F29),ABS(Dataset!G28-Dataset!G29))</f>
        <v>0.96718668582309664</v>
      </c>
    </row>
    <row r="120" spans="1:11" ht="25.05" customHeight="1">
      <c r="A120" s="8" t="s">
        <v>33</v>
      </c>
      <c r="B120" s="13">
        <f>SUM(ABS(Dataset!B29-Dataset!B20),ABS(Dataset!C29-Dataset!C20),ABS(Dataset!D29-Dataset!D20),ABS(Dataset!E29-Dataset!E20),ABS(Dataset!F29-Dataset!F20),ABS(Dataset!G29-Dataset!G20))</f>
        <v>4.5299080367852858</v>
      </c>
      <c r="C120" s="13">
        <f>SUM(ABS(Dataset!B29-Dataset!B21),ABS(Dataset!C29-Dataset!C21),ABS(Dataset!D29-Dataset!D21),ABS(Dataset!E29-Dataset!E21),ABS(Dataset!F29-Dataset!F21),ABS(Dataset!G29-Dataset!G21))</f>
        <v>3.037351631904186</v>
      </c>
      <c r="D120" s="13">
        <f>SUM(ABS(Dataset!B29-Dataset!B22),ABS(Dataset!C29-Dataset!C22),ABS(Dataset!D29-Dataset!D22),ABS(Dataset!E29-Dataset!E22),ABS(Dataset!F29-Dataset!F22),ABS(Dataset!G29-Dataset!G22))</f>
        <v>2.0187729182052472</v>
      </c>
      <c r="E120" s="13">
        <f>SUM(ABS(Dataset!B29-Dataset!B23),ABS(Dataset!C29-Dataset!C23),ABS(Dataset!D29-Dataset!D23),ABS(Dataset!E29-Dataset!E23),ABS(Dataset!F29-Dataset!F23),ABS(Dataset!G29-Dataset!G23))</f>
        <v>3.283695462551715</v>
      </c>
      <c r="F120" s="13">
        <f>SUM(ABS(Dataset!B29-Dataset!B24),ABS(Dataset!C29-Dataset!C24),ABS(Dataset!D29-Dataset!D24),ABS(Dataset!E29-Dataset!E24),ABS(Dataset!F29-Dataset!F24),ABS(Dataset!G29-Dataset!G24))</f>
        <v>1.1128778345969024</v>
      </c>
      <c r="G120" s="13">
        <f>SUM(ABS(Dataset!B29-Dataset!B25),ABS(Dataset!C29-Dataset!C25),ABS(Dataset!D29-Dataset!D25),ABS(Dataset!E29-Dataset!E25),ABS(Dataset!F29-Dataset!F25),ABS(Dataset!G29-Dataset!G25))</f>
        <v>2.6157810612796184</v>
      </c>
      <c r="H120" s="13">
        <f>SUM(ABS(Dataset!B29-Dataset!B26),ABS(Dataset!C29-Dataset!C26),ABS(Dataset!D29-Dataset!D26),ABS(Dataset!E29-Dataset!E26),ABS(Dataset!F29-Dataset!F26),ABS(Dataset!G29-Dataset!G26))</f>
        <v>4.3503065749886609</v>
      </c>
      <c r="I120" s="13">
        <f>SUM(ABS(Dataset!B29-Dataset!B27),ABS(Dataset!C29-Dataset!C27),ABS(Dataset!D29-Dataset!D27),ABS(Dataset!E29-Dataset!E27),ABS(Dataset!F29-Dataset!F27),ABS(Dataset!G29-Dataset!G27))</f>
        <v>3.6590261189771724</v>
      </c>
      <c r="J120" s="13">
        <f>SUM(ABS(Dataset!B29-Dataset!B28),ABS(Dataset!C29-Dataset!C28),ABS(Dataset!D29-Dataset!D28),ABS(Dataset!E29-Dataset!E28),ABS(Dataset!F29-Dataset!F28),ABS(Dataset!G29-Dataset!G28))</f>
        <v>0.96718668582309664</v>
      </c>
      <c r="K120" s="13">
        <f>SUM(ABS(Dataset!B29-Dataset!B29),ABS(Dataset!C29-Dataset!C29),ABS(Dataset!D29-Dataset!D29),ABS(Dataset!E29-Dataset!E29),ABS(Dataset!F29-Dataset!F29),ABS(Dataset!G29-Dataset!G29))</f>
        <v>0</v>
      </c>
    </row>
  </sheetData>
  <mergeCells count="9">
    <mergeCell ref="A64:K64"/>
    <mergeCell ref="A79:K79"/>
    <mergeCell ref="A94:K94"/>
    <mergeCell ref="A109:K109"/>
    <mergeCell ref="A2:K2"/>
    <mergeCell ref="A4:K4"/>
    <mergeCell ref="A19:K19"/>
    <mergeCell ref="A34:K34"/>
    <mergeCell ref="A49:K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6A98"/>
  </sheetPr>
  <dimension ref="A2:S120"/>
  <sheetViews>
    <sheetView showGridLines="0" topLeftCell="G1" workbookViewId="0">
      <pane ySplit="5" topLeftCell="A65" activePane="bottomLeft" state="frozen"/>
      <selection pane="bottomLeft"/>
    </sheetView>
  </sheetViews>
  <sheetFormatPr defaultRowHeight="13.8"/>
  <cols>
    <col min="1" max="1" width="13" customWidth="1"/>
    <col min="2" max="2" width="10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1" width="14" customWidth="1"/>
    <col min="12" max="12" width="10" customWidth="1"/>
    <col min="13" max="13" width="14" customWidth="1"/>
    <col min="14" max="14" width="10" customWidth="1"/>
    <col min="15" max="15" width="14" customWidth="1"/>
    <col min="16" max="16" width="10" customWidth="1"/>
    <col min="17" max="17" width="14" customWidth="1"/>
    <col min="18" max="18" width="10" customWidth="1"/>
    <col min="19" max="19" width="14" customWidth="1"/>
  </cols>
  <sheetData>
    <row r="2" spans="1:19" ht="36" customHeight="1">
      <c r="A2" s="34" t="s">
        <v>48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27"/>
      <c r="M2" s="27"/>
      <c r="N2" s="27"/>
      <c r="O2" s="27"/>
      <c r="P2" s="27"/>
      <c r="Q2" s="27"/>
      <c r="R2" s="27"/>
      <c r="S2" s="27"/>
    </row>
    <row r="3" spans="1:19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spans="1:19" ht="30" customHeight="1">
      <c r="A4" s="35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1:19" ht="43.95" customHeight="1">
      <c r="A5" s="2" t="s">
        <v>3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61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</row>
    <row r="6" spans="1:19" ht="25.05" customHeight="1">
      <c r="A6" s="6" t="s">
        <v>13</v>
      </c>
      <c r="B6" s="6" t="s">
        <v>15</v>
      </c>
      <c r="C6" s="11">
        <f>Distances!C6</f>
        <v>33.294744329998991</v>
      </c>
      <c r="D6" s="6" t="s">
        <v>19</v>
      </c>
      <c r="E6" s="11">
        <f>Distances!E6</f>
        <v>52.83729743277943</v>
      </c>
      <c r="F6" s="6" t="s">
        <v>26</v>
      </c>
      <c r="G6" s="11">
        <f>Distances!H6</f>
        <v>53.987128095500687</v>
      </c>
      <c r="H6" s="6" t="s">
        <v>29</v>
      </c>
      <c r="I6" s="11">
        <f>Distances!I6</f>
        <v>57.210663341723283</v>
      </c>
      <c r="J6" s="6" t="s">
        <v>23</v>
      </c>
      <c r="K6" s="11">
        <f>Distances!G6</f>
        <v>69.816975013244445</v>
      </c>
      <c r="L6" s="6" t="s">
        <v>17</v>
      </c>
      <c r="M6" s="11">
        <f>Distances!D6</f>
        <v>84.512365959071346</v>
      </c>
      <c r="N6" s="6" t="s">
        <v>21</v>
      </c>
      <c r="O6" s="11">
        <f>Distances!F6</f>
        <v>113.28327325779389</v>
      </c>
      <c r="P6" s="6" t="s">
        <v>32</v>
      </c>
      <c r="Q6" s="11">
        <f>Distances!J6</f>
        <v>115.85495241896223</v>
      </c>
      <c r="R6" s="6" t="s">
        <v>33</v>
      </c>
      <c r="S6" s="11">
        <f>Distances!K6</f>
        <v>119.70417703655959</v>
      </c>
    </row>
    <row r="7" spans="1:19" ht="25.05" customHeight="1">
      <c r="A7" s="7" t="s">
        <v>15</v>
      </c>
      <c r="B7" s="7" t="s">
        <v>19</v>
      </c>
      <c r="C7" s="12">
        <f>Distances!E7</f>
        <v>21.409810835222249</v>
      </c>
      <c r="D7" s="7" t="s">
        <v>26</v>
      </c>
      <c r="E7" s="12">
        <f>Distances!H7</f>
        <v>23.750157894211988</v>
      </c>
      <c r="F7" s="7" t="s">
        <v>29</v>
      </c>
      <c r="G7" s="12">
        <f>Distances!I7</f>
        <v>26.300950553164423</v>
      </c>
      <c r="H7" s="7" t="s">
        <v>13</v>
      </c>
      <c r="I7" s="12">
        <f>Distances!B7</f>
        <v>33.294744329998991</v>
      </c>
      <c r="J7" s="7" t="s">
        <v>23</v>
      </c>
      <c r="K7" s="12">
        <f>Distances!G7</f>
        <v>39.609973491533673</v>
      </c>
      <c r="L7" s="7" t="s">
        <v>17</v>
      </c>
      <c r="M7" s="12">
        <f>Distances!D7</f>
        <v>54.899544624705221</v>
      </c>
      <c r="N7" s="7" t="s">
        <v>21</v>
      </c>
      <c r="O7" s="12">
        <f>Distances!F7</f>
        <v>84.909481213819703</v>
      </c>
      <c r="P7" s="7" t="s">
        <v>32</v>
      </c>
      <c r="Q7" s="12">
        <f>Distances!J7</f>
        <v>88.559189246514677</v>
      </c>
      <c r="R7" s="7" t="s">
        <v>33</v>
      </c>
      <c r="S7" s="12">
        <f>Distances!K7</f>
        <v>92.573484324616416</v>
      </c>
    </row>
    <row r="8" spans="1:19" ht="25.05" customHeight="1">
      <c r="A8" s="6" t="s">
        <v>17</v>
      </c>
      <c r="B8" s="6" t="s">
        <v>23</v>
      </c>
      <c r="C8" s="11">
        <f>Distances!G8</f>
        <v>16.691015547293699</v>
      </c>
      <c r="D8" s="6" t="s">
        <v>21</v>
      </c>
      <c r="E8" s="11">
        <f>Distances!F8</f>
        <v>30.771740282278479</v>
      </c>
      <c r="F8" s="6" t="s">
        <v>32</v>
      </c>
      <c r="G8" s="11">
        <f>Distances!J8</f>
        <v>34.828867337310868</v>
      </c>
      <c r="H8" s="6" t="s">
        <v>19</v>
      </c>
      <c r="I8" s="11">
        <f>Distances!E8</f>
        <v>34.882373772436992</v>
      </c>
      <c r="J8" s="6" t="s">
        <v>33</v>
      </c>
      <c r="K8" s="11">
        <f>Distances!K8</f>
        <v>39.151117480858701</v>
      </c>
      <c r="L8" s="6" t="s">
        <v>29</v>
      </c>
      <c r="M8" s="11">
        <f>Distances!I8</f>
        <v>41.646848620273779</v>
      </c>
      <c r="N8" s="6" t="s">
        <v>26</v>
      </c>
      <c r="O8" s="11">
        <f>Distances!H8</f>
        <v>49.288031001451053</v>
      </c>
      <c r="P8" s="6" t="s">
        <v>15</v>
      </c>
      <c r="Q8" s="11">
        <f>Distances!C8</f>
        <v>54.899544624705221</v>
      </c>
      <c r="R8" s="6" t="s">
        <v>13</v>
      </c>
      <c r="S8" s="11">
        <f>Distances!B8</f>
        <v>84.512365959071346</v>
      </c>
    </row>
    <row r="9" spans="1:19" ht="25.05" customHeight="1">
      <c r="A9" s="7" t="s">
        <v>19</v>
      </c>
      <c r="B9" s="7" t="s">
        <v>29</v>
      </c>
      <c r="C9" s="12">
        <f>Distances!I9</f>
        <v>14.688771221582831</v>
      </c>
      <c r="D9" s="7" t="s">
        <v>23</v>
      </c>
      <c r="E9" s="12">
        <f>Distances!G9</f>
        <v>19.538935487891862</v>
      </c>
      <c r="F9" s="7" t="s">
        <v>26</v>
      </c>
      <c r="G9" s="12">
        <f>Distances!H9</f>
        <v>19.547122550390888</v>
      </c>
      <c r="H9" s="7" t="s">
        <v>15</v>
      </c>
      <c r="I9" s="12">
        <f>Distances!C9</f>
        <v>21.409810835222249</v>
      </c>
      <c r="J9" s="7" t="s">
        <v>17</v>
      </c>
      <c r="K9" s="12">
        <f>Distances!D9</f>
        <v>34.882373772436992</v>
      </c>
      <c r="L9" s="7" t="s">
        <v>13</v>
      </c>
      <c r="M9" s="12">
        <f>Distances!B9</f>
        <v>52.83729743277943</v>
      </c>
      <c r="N9" s="7" t="s">
        <v>21</v>
      </c>
      <c r="O9" s="12">
        <f>Distances!F9</f>
        <v>65.20506115325712</v>
      </c>
      <c r="P9" s="7" t="s">
        <v>32</v>
      </c>
      <c r="Q9" s="12">
        <f>Distances!J9</f>
        <v>69.067286033258895</v>
      </c>
      <c r="R9" s="7" t="s">
        <v>33</v>
      </c>
      <c r="S9" s="12">
        <f>Distances!K9</f>
        <v>73.206352183400043</v>
      </c>
    </row>
    <row r="10" spans="1:19" ht="25.05" customHeight="1">
      <c r="A10" s="6" t="s">
        <v>21</v>
      </c>
      <c r="B10" s="6" t="s">
        <v>32</v>
      </c>
      <c r="C10" s="11">
        <f>Distances!J10</f>
        <v>7.1547187226333371</v>
      </c>
      <c r="D10" s="6" t="s">
        <v>33</v>
      </c>
      <c r="E10" s="11">
        <f>Distances!K10</f>
        <v>10.437911668528336</v>
      </c>
      <c r="F10" s="6" t="s">
        <v>17</v>
      </c>
      <c r="G10" s="11">
        <f>Distances!D10</f>
        <v>30.771740282278479</v>
      </c>
      <c r="H10" s="6" t="s">
        <v>23</v>
      </c>
      <c r="I10" s="11">
        <f>Distances!G10</f>
        <v>45.985758665047598</v>
      </c>
      <c r="J10" s="6" t="s">
        <v>19</v>
      </c>
      <c r="K10" s="11">
        <f>Distances!E10</f>
        <v>65.20506115325712</v>
      </c>
      <c r="L10" s="6" t="s">
        <v>29</v>
      </c>
      <c r="M10" s="11">
        <f>Distances!I10</f>
        <v>71.67440268324529</v>
      </c>
      <c r="N10" s="6" t="s">
        <v>26</v>
      </c>
      <c r="O10" s="11">
        <f>Distances!H10</f>
        <v>78.99373392871108</v>
      </c>
      <c r="P10" s="6" t="s">
        <v>15</v>
      </c>
      <c r="Q10" s="11">
        <f>Distances!C10</f>
        <v>84.909481213819703</v>
      </c>
      <c r="R10" s="6" t="s">
        <v>13</v>
      </c>
      <c r="S10" s="11">
        <f>Distances!B10</f>
        <v>113.28327325779389</v>
      </c>
    </row>
    <row r="11" spans="1:19" ht="25.05" customHeight="1">
      <c r="A11" s="7" t="s">
        <v>23</v>
      </c>
      <c r="B11" s="7" t="s">
        <v>17</v>
      </c>
      <c r="C11" s="12">
        <f>Distances!D11</f>
        <v>16.691015547293699</v>
      </c>
      <c r="D11" s="7" t="s">
        <v>19</v>
      </c>
      <c r="E11" s="12">
        <f>Distances!E11</f>
        <v>19.538935487891862</v>
      </c>
      <c r="F11" s="7" t="s">
        <v>29</v>
      </c>
      <c r="G11" s="12">
        <f>Distances!I11</f>
        <v>28.659553381028115</v>
      </c>
      <c r="H11" s="7" t="s">
        <v>26</v>
      </c>
      <c r="I11" s="12">
        <f>Distances!H11</f>
        <v>35.106124821745851</v>
      </c>
      <c r="J11" s="7" t="s">
        <v>15</v>
      </c>
      <c r="K11" s="12">
        <f>Distances!C11</f>
        <v>39.609973491533673</v>
      </c>
      <c r="L11" s="7" t="s">
        <v>21</v>
      </c>
      <c r="M11" s="12">
        <f>Distances!F11</f>
        <v>45.985758665047598</v>
      </c>
      <c r="N11" s="7" t="s">
        <v>32</v>
      </c>
      <c r="O11" s="12">
        <f>Distances!J11</f>
        <v>50.086125823425391</v>
      </c>
      <c r="P11" s="7" t="s">
        <v>33</v>
      </c>
      <c r="Q11" s="12">
        <f>Distances!K11</f>
        <v>54.068290152361946</v>
      </c>
      <c r="R11" s="7" t="s">
        <v>13</v>
      </c>
      <c r="S11" s="12">
        <f>Distances!B11</f>
        <v>69.816975013244445</v>
      </c>
    </row>
    <row r="12" spans="1:19" ht="25.05" customHeight="1">
      <c r="A12" s="6" t="s">
        <v>26</v>
      </c>
      <c r="B12" s="6" t="s">
        <v>29</v>
      </c>
      <c r="C12" s="11">
        <f>Distances!I12</f>
        <v>10.119782606360673</v>
      </c>
      <c r="D12" s="6" t="s">
        <v>19</v>
      </c>
      <c r="E12" s="11">
        <f>Distances!E12</f>
        <v>19.547122550390888</v>
      </c>
      <c r="F12" s="6" t="s">
        <v>15</v>
      </c>
      <c r="G12" s="11">
        <f>Distances!C12</f>
        <v>23.750157894211988</v>
      </c>
      <c r="H12" s="6" t="s">
        <v>23</v>
      </c>
      <c r="I12" s="11">
        <f>Distances!G12</f>
        <v>35.106124821745851</v>
      </c>
      <c r="J12" s="6" t="s">
        <v>17</v>
      </c>
      <c r="K12" s="11">
        <f>Distances!D12</f>
        <v>49.288031001451053</v>
      </c>
      <c r="L12" s="6" t="s">
        <v>13</v>
      </c>
      <c r="M12" s="11">
        <f>Distances!B12</f>
        <v>53.987128095500687</v>
      </c>
      <c r="N12" s="6" t="s">
        <v>21</v>
      </c>
      <c r="O12" s="11">
        <f>Distances!F12</f>
        <v>78.99373392871108</v>
      </c>
      <c r="P12" s="6" t="s">
        <v>32</v>
      </c>
      <c r="Q12" s="11">
        <f>Distances!J12</f>
        <v>83.638627439718306</v>
      </c>
      <c r="R12" s="6" t="s">
        <v>33</v>
      </c>
      <c r="S12" s="11">
        <f>Distances!K12</f>
        <v>87.661736236513136</v>
      </c>
    </row>
    <row r="13" spans="1:19" ht="25.05" customHeight="1">
      <c r="A13" s="7" t="s">
        <v>29</v>
      </c>
      <c r="B13" s="7" t="s">
        <v>26</v>
      </c>
      <c r="C13" s="12">
        <f>Distances!H13</f>
        <v>10.119782606360673</v>
      </c>
      <c r="D13" s="7" t="s">
        <v>19</v>
      </c>
      <c r="E13" s="12">
        <f>Distances!E13</f>
        <v>14.688771221582831</v>
      </c>
      <c r="F13" s="7" t="s">
        <v>15</v>
      </c>
      <c r="G13" s="12">
        <f>Distances!C13</f>
        <v>26.300950553164423</v>
      </c>
      <c r="H13" s="7" t="s">
        <v>23</v>
      </c>
      <c r="I13" s="12">
        <f>Distances!G13</f>
        <v>28.659553381028115</v>
      </c>
      <c r="J13" s="7" t="s">
        <v>17</v>
      </c>
      <c r="K13" s="12">
        <f>Distances!D13</f>
        <v>41.646848620273779</v>
      </c>
      <c r="L13" s="7" t="s">
        <v>13</v>
      </c>
      <c r="M13" s="12">
        <f>Distances!B13</f>
        <v>57.210663341723283</v>
      </c>
      <c r="N13" s="7" t="s">
        <v>21</v>
      </c>
      <c r="O13" s="12">
        <f>Distances!F13</f>
        <v>71.67440268324529</v>
      </c>
      <c r="P13" s="7" t="s">
        <v>32</v>
      </c>
      <c r="Q13" s="12">
        <f>Distances!J13</f>
        <v>75.944519222916938</v>
      </c>
      <c r="R13" s="7" t="s">
        <v>33</v>
      </c>
      <c r="S13" s="12">
        <f>Distances!K13</f>
        <v>80.101747796162357</v>
      </c>
    </row>
    <row r="14" spans="1:19" ht="25.05" customHeight="1">
      <c r="A14" s="6" t="s">
        <v>32</v>
      </c>
      <c r="B14" s="6" t="s">
        <v>33</v>
      </c>
      <c r="C14" s="11">
        <f>Distances!K14</f>
        <v>5.531726674375733</v>
      </c>
      <c r="D14" s="6" t="s">
        <v>21</v>
      </c>
      <c r="E14" s="11">
        <f>Distances!F14</f>
        <v>7.1547187226333371</v>
      </c>
      <c r="F14" s="6" t="s">
        <v>17</v>
      </c>
      <c r="G14" s="11">
        <f>Distances!D14</f>
        <v>34.828867337310868</v>
      </c>
      <c r="H14" s="6" t="s">
        <v>23</v>
      </c>
      <c r="I14" s="11">
        <f>Distances!G14</f>
        <v>50.086125823425391</v>
      </c>
      <c r="J14" s="6" t="s">
        <v>19</v>
      </c>
      <c r="K14" s="11">
        <f>Distances!E14</f>
        <v>69.067286033258895</v>
      </c>
      <c r="L14" s="6" t="s">
        <v>29</v>
      </c>
      <c r="M14" s="11">
        <f>Distances!I14</f>
        <v>75.944519222916938</v>
      </c>
      <c r="N14" s="6" t="s">
        <v>26</v>
      </c>
      <c r="O14" s="11">
        <f>Distances!H14</f>
        <v>83.638627439718306</v>
      </c>
      <c r="P14" s="6" t="s">
        <v>15</v>
      </c>
      <c r="Q14" s="11">
        <f>Distances!C14</f>
        <v>88.559189246514677</v>
      </c>
      <c r="R14" s="6" t="s">
        <v>13</v>
      </c>
      <c r="S14" s="11">
        <f>Distances!B14</f>
        <v>115.85495241896223</v>
      </c>
    </row>
    <row r="15" spans="1:19" ht="25.05" customHeight="1">
      <c r="A15" s="8" t="s">
        <v>33</v>
      </c>
      <c r="B15" s="8" t="s">
        <v>32</v>
      </c>
      <c r="C15" s="13">
        <f>Distances!J15</f>
        <v>5.531726674375733</v>
      </c>
      <c r="D15" s="8" t="s">
        <v>21</v>
      </c>
      <c r="E15" s="13">
        <f>Distances!F15</f>
        <v>10.437911668528336</v>
      </c>
      <c r="F15" s="8" t="s">
        <v>17</v>
      </c>
      <c r="G15" s="13">
        <f>Distances!D15</f>
        <v>39.151117480858701</v>
      </c>
      <c r="H15" s="8" t="s">
        <v>23</v>
      </c>
      <c r="I15" s="13">
        <f>Distances!G15</f>
        <v>54.068290152361946</v>
      </c>
      <c r="J15" s="8" t="s">
        <v>19</v>
      </c>
      <c r="K15" s="13">
        <f>Distances!E15</f>
        <v>73.206352183400043</v>
      </c>
      <c r="L15" s="8" t="s">
        <v>29</v>
      </c>
      <c r="M15" s="13">
        <f>Distances!I15</f>
        <v>80.101747796162357</v>
      </c>
      <c r="N15" s="8" t="s">
        <v>26</v>
      </c>
      <c r="O15" s="13">
        <f>Distances!H15</f>
        <v>87.661736236513136</v>
      </c>
      <c r="P15" s="8" t="s">
        <v>15</v>
      </c>
      <c r="Q15" s="13">
        <f>Distances!C15</f>
        <v>92.573484324616416</v>
      </c>
      <c r="R15" s="8" t="s">
        <v>13</v>
      </c>
      <c r="S15" s="13">
        <f>Distances!B15</f>
        <v>119.70417703655959</v>
      </c>
    </row>
    <row r="16" spans="1:19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1:19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 spans="1:19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 spans="1:19" ht="30" customHeight="1">
      <c r="A19" s="35" t="s">
        <v>41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</row>
    <row r="20" spans="1:19" ht="43.95" customHeight="1">
      <c r="A20" s="2" t="s">
        <v>3</v>
      </c>
      <c r="B20" s="2" t="s">
        <v>49</v>
      </c>
      <c r="C20" s="2" t="s">
        <v>50</v>
      </c>
      <c r="D20" s="2" t="s">
        <v>51</v>
      </c>
      <c r="E20" s="2" t="s">
        <v>52</v>
      </c>
      <c r="F20" s="2" t="s">
        <v>53</v>
      </c>
      <c r="G20" s="2" t="s">
        <v>54</v>
      </c>
      <c r="H20" s="2" t="s">
        <v>55</v>
      </c>
      <c r="I20" s="2" t="s">
        <v>56</v>
      </c>
      <c r="J20" s="2" t="s">
        <v>57</v>
      </c>
      <c r="K20" s="2" t="s">
        <v>58</v>
      </c>
      <c r="L20" s="2" t="s">
        <v>59</v>
      </c>
      <c r="M20" s="2" t="s">
        <v>60</v>
      </c>
      <c r="N20" s="2" t="s">
        <v>61</v>
      </c>
      <c r="O20" s="2" t="s">
        <v>62</v>
      </c>
      <c r="P20" s="2" t="s">
        <v>63</v>
      </c>
      <c r="Q20" s="2" t="s">
        <v>64</v>
      </c>
      <c r="R20" s="2" t="s">
        <v>65</v>
      </c>
      <c r="S20" s="2" t="s">
        <v>66</v>
      </c>
    </row>
    <row r="21" spans="1:19" ht="25.05" customHeight="1">
      <c r="A21" s="6" t="s">
        <v>13</v>
      </c>
      <c r="B21" s="6" t="s">
        <v>15</v>
      </c>
      <c r="C21" s="11">
        <f>Distances!C21</f>
        <v>25</v>
      </c>
      <c r="D21" s="6" t="s">
        <v>29</v>
      </c>
      <c r="E21" s="11">
        <f>Distances!I21</f>
        <v>37</v>
      </c>
      <c r="F21" s="6" t="s">
        <v>26</v>
      </c>
      <c r="G21" s="11">
        <f>Distances!H21</f>
        <v>40</v>
      </c>
      <c r="H21" s="6" t="s">
        <v>19</v>
      </c>
      <c r="I21" s="11">
        <f>Distances!E21</f>
        <v>41</v>
      </c>
      <c r="J21" s="6" t="s">
        <v>23</v>
      </c>
      <c r="K21" s="11">
        <f>Distances!G21</f>
        <v>59</v>
      </c>
      <c r="L21" s="6" t="s">
        <v>17</v>
      </c>
      <c r="M21" s="11">
        <f>Distances!D21</f>
        <v>70</v>
      </c>
      <c r="N21" s="6" t="s">
        <v>21</v>
      </c>
      <c r="O21" s="11">
        <f>Distances!F21</f>
        <v>98</v>
      </c>
      <c r="P21" s="6" t="s">
        <v>32</v>
      </c>
      <c r="Q21" s="11">
        <f>Distances!J21</f>
        <v>99</v>
      </c>
      <c r="R21" s="6" t="s">
        <v>33</v>
      </c>
      <c r="S21" s="11">
        <f>Distances!K21</f>
        <v>103</v>
      </c>
    </row>
    <row r="22" spans="1:19" ht="25.05" customHeight="1">
      <c r="A22" s="7" t="s">
        <v>15</v>
      </c>
      <c r="B22" s="7" t="s">
        <v>19</v>
      </c>
      <c r="C22" s="12">
        <f>Distances!E22</f>
        <v>16</v>
      </c>
      <c r="D22" s="7" t="s">
        <v>29</v>
      </c>
      <c r="E22" s="12">
        <f>Distances!I22</f>
        <v>18</v>
      </c>
      <c r="F22" s="7" t="s">
        <v>26</v>
      </c>
      <c r="G22" s="12">
        <f>Distances!H22</f>
        <v>21</v>
      </c>
      <c r="H22" s="7" t="s">
        <v>13</v>
      </c>
      <c r="I22" s="12">
        <f>Distances!B22</f>
        <v>25</v>
      </c>
      <c r="J22" s="7" t="s">
        <v>23</v>
      </c>
      <c r="K22" s="12">
        <f>Distances!G22</f>
        <v>34</v>
      </c>
      <c r="L22" s="7" t="s">
        <v>17</v>
      </c>
      <c r="M22" s="12">
        <f>Distances!D22</f>
        <v>45</v>
      </c>
      <c r="N22" s="7" t="s">
        <v>21</v>
      </c>
      <c r="O22" s="12">
        <f>Distances!F22</f>
        <v>73</v>
      </c>
      <c r="P22" s="7" t="s">
        <v>32</v>
      </c>
      <c r="Q22" s="12">
        <f>Distances!J22</f>
        <v>74</v>
      </c>
      <c r="R22" s="7" t="s">
        <v>33</v>
      </c>
      <c r="S22" s="12">
        <f>Distances!K22</f>
        <v>78</v>
      </c>
    </row>
    <row r="23" spans="1:19" ht="25.05" customHeight="1">
      <c r="A23" s="6" t="s">
        <v>17</v>
      </c>
      <c r="B23" s="6" t="s">
        <v>23</v>
      </c>
      <c r="C23" s="11">
        <f>Distances!G23</f>
        <v>11</v>
      </c>
      <c r="D23" s="6" t="s">
        <v>21</v>
      </c>
      <c r="E23" s="11">
        <f>Distances!F23</f>
        <v>28</v>
      </c>
      <c r="F23" s="6" t="s">
        <v>19</v>
      </c>
      <c r="G23" s="11">
        <f>Distances!E23</f>
        <v>29</v>
      </c>
      <c r="H23" s="6" t="s">
        <v>32</v>
      </c>
      <c r="I23" s="11">
        <f>Distances!J23</f>
        <v>29</v>
      </c>
      <c r="J23" s="6" t="s">
        <v>33</v>
      </c>
      <c r="K23" s="11">
        <f>Distances!K23</f>
        <v>33</v>
      </c>
      <c r="L23" s="6" t="s">
        <v>29</v>
      </c>
      <c r="M23" s="11">
        <f>Distances!I23</f>
        <v>35</v>
      </c>
      <c r="N23" s="6" t="s">
        <v>26</v>
      </c>
      <c r="O23" s="11">
        <f>Distances!H23</f>
        <v>38</v>
      </c>
      <c r="P23" s="6" t="s">
        <v>15</v>
      </c>
      <c r="Q23" s="11">
        <f>Distances!C23</f>
        <v>45</v>
      </c>
      <c r="R23" s="6" t="s">
        <v>13</v>
      </c>
      <c r="S23" s="11">
        <f>Distances!B23</f>
        <v>70</v>
      </c>
    </row>
    <row r="24" spans="1:19" ht="25.05" customHeight="1">
      <c r="A24" s="7" t="s">
        <v>19</v>
      </c>
      <c r="B24" s="7" t="s">
        <v>29</v>
      </c>
      <c r="C24" s="12">
        <f>Distances!I24</f>
        <v>13</v>
      </c>
      <c r="D24" s="7" t="s">
        <v>15</v>
      </c>
      <c r="E24" s="12">
        <f>Distances!C24</f>
        <v>16</v>
      </c>
      <c r="F24" s="7" t="s">
        <v>26</v>
      </c>
      <c r="G24" s="12">
        <f>Distances!H24</f>
        <v>16</v>
      </c>
      <c r="H24" s="7" t="s">
        <v>23</v>
      </c>
      <c r="I24" s="12">
        <f>Distances!G24</f>
        <v>18</v>
      </c>
      <c r="J24" s="7" t="s">
        <v>17</v>
      </c>
      <c r="K24" s="12">
        <f>Distances!D24</f>
        <v>29</v>
      </c>
      <c r="L24" s="7" t="s">
        <v>13</v>
      </c>
      <c r="M24" s="12">
        <f>Distances!B24</f>
        <v>41</v>
      </c>
      <c r="N24" s="7" t="s">
        <v>21</v>
      </c>
      <c r="O24" s="12">
        <f>Distances!F24</f>
        <v>57</v>
      </c>
      <c r="P24" s="7" t="s">
        <v>32</v>
      </c>
      <c r="Q24" s="12">
        <f>Distances!J24</f>
        <v>58</v>
      </c>
      <c r="R24" s="7" t="s">
        <v>33</v>
      </c>
      <c r="S24" s="12">
        <f>Distances!K24</f>
        <v>62</v>
      </c>
    </row>
    <row r="25" spans="1:19" ht="25.05" customHeight="1">
      <c r="A25" s="6" t="s">
        <v>21</v>
      </c>
      <c r="B25" s="6" t="s">
        <v>32</v>
      </c>
      <c r="C25" s="11">
        <f>Distances!J25</f>
        <v>5</v>
      </c>
      <c r="D25" s="6" t="s">
        <v>33</v>
      </c>
      <c r="E25" s="11">
        <f>Distances!K25</f>
        <v>6</v>
      </c>
      <c r="F25" s="6" t="s">
        <v>17</v>
      </c>
      <c r="G25" s="11">
        <f>Distances!D25</f>
        <v>28</v>
      </c>
      <c r="H25" s="6" t="s">
        <v>23</v>
      </c>
      <c r="I25" s="11">
        <f>Distances!G25</f>
        <v>39</v>
      </c>
      <c r="J25" s="6" t="s">
        <v>19</v>
      </c>
      <c r="K25" s="11">
        <f>Distances!E25</f>
        <v>57</v>
      </c>
      <c r="L25" s="6" t="s">
        <v>29</v>
      </c>
      <c r="M25" s="11">
        <f>Distances!I25</f>
        <v>63</v>
      </c>
      <c r="N25" s="6" t="s">
        <v>26</v>
      </c>
      <c r="O25" s="11">
        <f>Distances!H25</f>
        <v>66</v>
      </c>
      <c r="P25" s="6" t="s">
        <v>15</v>
      </c>
      <c r="Q25" s="11">
        <f>Distances!C25</f>
        <v>73</v>
      </c>
      <c r="R25" s="6" t="s">
        <v>13</v>
      </c>
      <c r="S25" s="11">
        <f>Distances!B25</f>
        <v>98</v>
      </c>
    </row>
    <row r="26" spans="1:19" ht="25.05" customHeight="1">
      <c r="A26" s="7" t="s">
        <v>23</v>
      </c>
      <c r="B26" s="7" t="s">
        <v>17</v>
      </c>
      <c r="C26" s="12">
        <f>Distances!D26</f>
        <v>11</v>
      </c>
      <c r="D26" s="7" t="s">
        <v>19</v>
      </c>
      <c r="E26" s="12">
        <f>Distances!E26</f>
        <v>18</v>
      </c>
      <c r="F26" s="7" t="s">
        <v>29</v>
      </c>
      <c r="G26" s="12">
        <f>Distances!I26</f>
        <v>24</v>
      </c>
      <c r="H26" s="7" t="s">
        <v>26</v>
      </c>
      <c r="I26" s="12">
        <f>Distances!H26</f>
        <v>27</v>
      </c>
      <c r="J26" s="7" t="s">
        <v>15</v>
      </c>
      <c r="K26" s="12">
        <f>Distances!C26</f>
        <v>34</v>
      </c>
      <c r="L26" s="7" t="s">
        <v>21</v>
      </c>
      <c r="M26" s="12">
        <f>Distances!F26</f>
        <v>39</v>
      </c>
      <c r="N26" s="7" t="s">
        <v>32</v>
      </c>
      <c r="O26" s="12">
        <f>Distances!J26</f>
        <v>40</v>
      </c>
      <c r="P26" s="7" t="s">
        <v>33</v>
      </c>
      <c r="Q26" s="12">
        <f>Distances!K26</f>
        <v>44</v>
      </c>
      <c r="R26" s="7" t="s">
        <v>13</v>
      </c>
      <c r="S26" s="12">
        <f>Distances!B26</f>
        <v>59</v>
      </c>
    </row>
    <row r="27" spans="1:19" ht="25.05" customHeight="1">
      <c r="A27" s="6" t="s">
        <v>26</v>
      </c>
      <c r="B27" s="6" t="s">
        <v>29</v>
      </c>
      <c r="C27" s="11">
        <f>Distances!I27</f>
        <v>9</v>
      </c>
      <c r="D27" s="6" t="s">
        <v>19</v>
      </c>
      <c r="E27" s="11">
        <f>Distances!E27</f>
        <v>16</v>
      </c>
      <c r="F27" s="6" t="s">
        <v>15</v>
      </c>
      <c r="G27" s="11">
        <f>Distances!C27</f>
        <v>21</v>
      </c>
      <c r="H27" s="6" t="s">
        <v>23</v>
      </c>
      <c r="I27" s="11">
        <f>Distances!G27</f>
        <v>27</v>
      </c>
      <c r="J27" s="6" t="s">
        <v>17</v>
      </c>
      <c r="K27" s="11">
        <f>Distances!D27</f>
        <v>38</v>
      </c>
      <c r="L27" s="6" t="s">
        <v>13</v>
      </c>
      <c r="M27" s="11">
        <f>Distances!B27</f>
        <v>40</v>
      </c>
      <c r="N27" s="6" t="s">
        <v>21</v>
      </c>
      <c r="O27" s="11">
        <f>Distances!F27</f>
        <v>66</v>
      </c>
      <c r="P27" s="6" t="s">
        <v>32</v>
      </c>
      <c r="Q27" s="11">
        <f>Distances!J27</f>
        <v>67</v>
      </c>
      <c r="R27" s="6" t="s">
        <v>33</v>
      </c>
      <c r="S27" s="11">
        <f>Distances!K27</f>
        <v>71</v>
      </c>
    </row>
    <row r="28" spans="1:19" ht="25.05" customHeight="1">
      <c r="A28" s="7" t="s">
        <v>29</v>
      </c>
      <c r="B28" s="7" t="s">
        <v>26</v>
      </c>
      <c r="C28" s="12">
        <f>Distances!H28</f>
        <v>9</v>
      </c>
      <c r="D28" s="7" t="s">
        <v>19</v>
      </c>
      <c r="E28" s="12">
        <f>Distances!E28</f>
        <v>13</v>
      </c>
      <c r="F28" s="7" t="s">
        <v>15</v>
      </c>
      <c r="G28" s="12">
        <f>Distances!C28</f>
        <v>18</v>
      </c>
      <c r="H28" s="7" t="s">
        <v>23</v>
      </c>
      <c r="I28" s="12">
        <f>Distances!G28</f>
        <v>24</v>
      </c>
      <c r="J28" s="7" t="s">
        <v>17</v>
      </c>
      <c r="K28" s="12">
        <f>Distances!D28</f>
        <v>35</v>
      </c>
      <c r="L28" s="7" t="s">
        <v>13</v>
      </c>
      <c r="M28" s="12">
        <f>Distances!B28</f>
        <v>37</v>
      </c>
      <c r="N28" s="7" t="s">
        <v>21</v>
      </c>
      <c r="O28" s="12">
        <f>Distances!F28</f>
        <v>63</v>
      </c>
      <c r="P28" s="7" t="s">
        <v>32</v>
      </c>
      <c r="Q28" s="12">
        <f>Distances!J28</f>
        <v>64</v>
      </c>
      <c r="R28" s="7" t="s">
        <v>33</v>
      </c>
      <c r="S28" s="12">
        <f>Distances!K28</f>
        <v>68</v>
      </c>
    </row>
    <row r="29" spans="1:19" ht="25.05" customHeight="1">
      <c r="A29" s="6" t="s">
        <v>32</v>
      </c>
      <c r="B29" s="6" t="s">
        <v>33</v>
      </c>
      <c r="C29" s="11">
        <f>Distances!K29</f>
        <v>4</v>
      </c>
      <c r="D29" s="6" t="s">
        <v>21</v>
      </c>
      <c r="E29" s="11">
        <f>Distances!F29</f>
        <v>5</v>
      </c>
      <c r="F29" s="6" t="s">
        <v>17</v>
      </c>
      <c r="G29" s="11">
        <f>Distances!D29</f>
        <v>29</v>
      </c>
      <c r="H29" s="6" t="s">
        <v>23</v>
      </c>
      <c r="I29" s="11">
        <f>Distances!G29</f>
        <v>40</v>
      </c>
      <c r="J29" s="6" t="s">
        <v>19</v>
      </c>
      <c r="K29" s="11">
        <f>Distances!E29</f>
        <v>58</v>
      </c>
      <c r="L29" s="6" t="s">
        <v>29</v>
      </c>
      <c r="M29" s="11">
        <f>Distances!I29</f>
        <v>64</v>
      </c>
      <c r="N29" s="6" t="s">
        <v>26</v>
      </c>
      <c r="O29" s="11">
        <f>Distances!H29</f>
        <v>67</v>
      </c>
      <c r="P29" s="6" t="s">
        <v>15</v>
      </c>
      <c r="Q29" s="11">
        <f>Distances!C29</f>
        <v>74</v>
      </c>
      <c r="R29" s="6" t="s">
        <v>13</v>
      </c>
      <c r="S29" s="11">
        <f>Distances!B29</f>
        <v>99</v>
      </c>
    </row>
    <row r="30" spans="1:19" ht="25.05" customHeight="1">
      <c r="A30" s="8" t="s">
        <v>33</v>
      </c>
      <c r="B30" s="8" t="s">
        <v>32</v>
      </c>
      <c r="C30" s="13">
        <f>Distances!J30</f>
        <v>4</v>
      </c>
      <c r="D30" s="8" t="s">
        <v>21</v>
      </c>
      <c r="E30" s="13">
        <f>Distances!F30</f>
        <v>6</v>
      </c>
      <c r="F30" s="8" t="s">
        <v>17</v>
      </c>
      <c r="G30" s="13">
        <f>Distances!D30</f>
        <v>33</v>
      </c>
      <c r="H30" s="8" t="s">
        <v>23</v>
      </c>
      <c r="I30" s="13">
        <f>Distances!G30</f>
        <v>44</v>
      </c>
      <c r="J30" s="8" t="s">
        <v>19</v>
      </c>
      <c r="K30" s="13">
        <f>Distances!E30</f>
        <v>62</v>
      </c>
      <c r="L30" s="8" t="s">
        <v>29</v>
      </c>
      <c r="M30" s="13">
        <f>Distances!I30</f>
        <v>68</v>
      </c>
      <c r="N30" s="8" t="s">
        <v>26</v>
      </c>
      <c r="O30" s="13">
        <f>Distances!H30</f>
        <v>71</v>
      </c>
      <c r="P30" s="8" t="s">
        <v>15</v>
      </c>
      <c r="Q30" s="13">
        <f>Distances!C30</f>
        <v>78</v>
      </c>
      <c r="R30" s="8" t="s">
        <v>13</v>
      </c>
      <c r="S30" s="13">
        <f>Distances!B30</f>
        <v>103</v>
      </c>
    </row>
    <row r="31" spans="1:19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spans="1:19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 spans="1:19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 spans="1:19" ht="30" customHeight="1">
      <c r="A34" s="35" t="s">
        <v>42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</row>
    <row r="35" spans="1:19" ht="43.95" customHeight="1">
      <c r="A35" s="2" t="s">
        <v>3</v>
      </c>
      <c r="B35" s="2" t="s">
        <v>49</v>
      </c>
      <c r="C35" s="2" t="s">
        <v>50</v>
      </c>
      <c r="D35" s="2" t="s">
        <v>51</v>
      </c>
      <c r="E35" s="2" t="s">
        <v>52</v>
      </c>
      <c r="F35" s="2" t="s">
        <v>53</v>
      </c>
      <c r="G35" s="2" t="s">
        <v>54</v>
      </c>
      <c r="H35" s="2" t="s">
        <v>55</v>
      </c>
      <c r="I35" s="2" t="s">
        <v>56</v>
      </c>
      <c r="J35" s="2" t="s">
        <v>57</v>
      </c>
      <c r="K35" s="2" t="s">
        <v>58</v>
      </c>
      <c r="L35" s="2" t="s">
        <v>59</v>
      </c>
      <c r="M35" s="2" t="s">
        <v>60</v>
      </c>
      <c r="N35" s="2" t="s">
        <v>61</v>
      </c>
      <c r="O35" s="2" t="s">
        <v>62</v>
      </c>
      <c r="P35" s="2" t="s">
        <v>63</v>
      </c>
      <c r="Q35" s="2" t="s">
        <v>64</v>
      </c>
      <c r="R35" s="2" t="s">
        <v>65</v>
      </c>
      <c r="S35" s="2" t="s">
        <v>66</v>
      </c>
    </row>
    <row r="36" spans="1:19" ht="25.05" customHeight="1">
      <c r="A36" s="6" t="s">
        <v>13</v>
      </c>
      <c r="B36" s="6" t="s">
        <v>15</v>
      </c>
      <c r="C36" s="11">
        <f>Distances!C36</f>
        <v>0.54579991562012231</v>
      </c>
      <c r="D36" s="6" t="s">
        <v>19</v>
      </c>
      <c r="E36" s="11">
        <f>Distances!E36</f>
        <v>0.56283495624072921</v>
      </c>
      <c r="F36" s="6" t="s">
        <v>26</v>
      </c>
      <c r="G36" s="11">
        <f>Distances!H36</f>
        <v>0.57429092291555361</v>
      </c>
      <c r="H36" s="6" t="s">
        <v>29</v>
      </c>
      <c r="I36" s="11">
        <f>Distances!I36</f>
        <v>0.62445561274989336</v>
      </c>
      <c r="J36" s="6" t="s">
        <v>23</v>
      </c>
      <c r="K36" s="11">
        <f>Distances!G36</f>
        <v>0.6816790472243095</v>
      </c>
      <c r="L36" s="6" t="s">
        <v>17</v>
      </c>
      <c r="M36" s="11">
        <f>Distances!D36</f>
        <v>1.0373572369861301</v>
      </c>
      <c r="N36" s="6" t="s">
        <v>33</v>
      </c>
      <c r="O36" s="11">
        <f>Distances!K36</f>
        <v>1.1085057797541449</v>
      </c>
      <c r="P36" s="6" t="s">
        <v>32</v>
      </c>
      <c r="Q36" s="11">
        <f>Distances!J36</f>
        <v>1.1237503266389308</v>
      </c>
      <c r="R36" s="6" t="s">
        <v>21</v>
      </c>
      <c r="S36" s="11">
        <f>Distances!F36</f>
        <v>1.1520854587406308</v>
      </c>
    </row>
    <row r="37" spans="1:19" ht="25.05" customHeight="1">
      <c r="A37" s="7" t="s">
        <v>15</v>
      </c>
      <c r="B37" s="7" t="s">
        <v>19</v>
      </c>
      <c r="C37" s="12">
        <f>Distances!E37</f>
        <v>0.30976726580878533</v>
      </c>
      <c r="D37" s="7" t="s">
        <v>23</v>
      </c>
      <c r="E37" s="12">
        <f>Distances!G37</f>
        <v>0.33829565153080854</v>
      </c>
      <c r="F37" s="7" t="s">
        <v>29</v>
      </c>
      <c r="G37" s="12">
        <f>Distances!I37</f>
        <v>0.44345693084257548</v>
      </c>
      <c r="H37" s="7" t="s">
        <v>17</v>
      </c>
      <c r="I37" s="12">
        <f>Distances!D37</f>
        <v>0.49956932123492137</v>
      </c>
      <c r="J37" s="7" t="s">
        <v>26</v>
      </c>
      <c r="K37" s="12">
        <f>Distances!H37</f>
        <v>0.50434794850107545</v>
      </c>
      <c r="L37" s="7" t="s">
        <v>13</v>
      </c>
      <c r="M37" s="12">
        <f>Distances!B37</f>
        <v>0.54579991562012231</v>
      </c>
      <c r="N37" s="7" t="s">
        <v>21</v>
      </c>
      <c r="O37" s="12">
        <f>Distances!F37</f>
        <v>0.63149619416693215</v>
      </c>
      <c r="P37" s="7" t="s">
        <v>32</v>
      </c>
      <c r="Q37" s="12">
        <f>Distances!J37</f>
        <v>0.6662754515019641</v>
      </c>
      <c r="R37" s="7" t="s">
        <v>33</v>
      </c>
      <c r="S37" s="12">
        <f>Distances!K37</f>
        <v>0.72694742079622987</v>
      </c>
    </row>
    <row r="38" spans="1:19" ht="25.05" customHeight="1">
      <c r="A38" s="6" t="s">
        <v>17</v>
      </c>
      <c r="B38" s="6" t="s">
        <v>21</v>
      </c>
      <c r="C38" s="11">
        <f>Distances!F38</f>
        <v>0.20266986105941256</v>
      </c>
      <c r="D38" s="6" t="s">
        <v>32</v>
      </c>
      <c r="E38" s="11">
        <f>Distances!J38</f>
        <v>0.24385454867249023</v>
      </c>
      <c r="F38" s="6" t="s">
        <v>23</v>
      </c>
      <c r="G38" s="11">
        <f>Distances!G38</f>
        <v>0.36152357462365875</v>
      </c>
      <c r="H38" s="6" t="s">
        <v>33</v>
      </c>
      <c r="I38" s="11">
        <f>Distances!K38</f>
        <v>0.41928044788974461</v>
      </c>
      <c r="J38" s="6" t="s">
        <v>15</v>
      </c>
      <c r="K38" s="11">
        <f>Distances!C38</f>
        <v>0.49956932123492137</v>
      </c>
      <c r="L38" s="6" t="s">
        <v>19</v>
      </c>
      <c r="M38" s="11">
        <f>Distances!E38</f>
        <v>0.50973125795934804</v>
      </c>
      <c r="N38" s="6" t="s">
        <v>29</v>
      </c>
      <c r="O38" s="11">
        <f>Distances!I38</f>
        <v>0.64530991099557433</v>
      </c>
      <c r="P38" s="6" t="s">
        <v>26</v>
      </c>
      <c r="Q38" s="11">
        <f>Distances!H38</f>
        <v>0.8278105919343034</v>
      </c>
      <c r="R38" s="6" t="s">
        <v>13</v>
      </c>
      <c r="S38" s="11">
        <f>Distances!B38</f>
        <v>1.0373572369861301</v>
      </c>
    </row>
    <row r="39" spans="1:19" ht="25.05" customHeight="1">
      <c r="A39" s="7" t="s">
        <v>19</v>
      </c>
      <c r="B39" s="7" t="s">
        <v>29</v>
      </c>
      <c r="C39" s="12">
        <f>Distances!I39</f>
        <v>0.20220353949986825</v>
      </c>
      <c r="D39" s="7" t="s">
        <v>23</v>
      </c>
      <c r="E39" s="12">
        <f>Distances!G39</f>
        <v>0.22051611920260847</v>
      </c>
      <c r="F39" s="7" t="s">
        <v>15</v>
      </c>
      <c r="G39" s="12">
        <f>Distances!C39</f>
        <v>0.30976726580878533</v>
      </c>
      <c r="H39" s="7" t="s">
        <v>26</v>
      </c>
      <c r="I39" s="12">
        <f>Distances!H39</f>
        <v>0.32128862995456053</v>
      </c>
      <c r="J39" s="7" t="s">
        <v>17</v>
      </c>
      <c r="K39" s="12">
        <f>Distances!D39</f>
        <v>0.50973125795934804</v>
      </c>
      <c r="L39" s="7" t="s">
        <v>13</v>
      </c>
      <c r="M39" s="12">
        <f>Distances!B39</f>
        <v>0.56283495624072921</v>
      </c>
      <c r="N39" s="7" t="s">
        <v>21</v>
      </c>
      <c r="O39" s="12">
        <f>Distances!F39</f>
        <v>0.68363387750672189</v>
      </c>
      <c r="P39" s="7" t="s">
        <v>32</v>
      </c>
      <c r="Q39" s="12">
        <f>Distances!J39</f>
        <v>0.71919509028069362</v>
      </c>
      <c r="R39" s="7" t="s">
        <v>33</v>
      </c>
      <c r="S39" s="12">
        <f>Distances!K39</f>
        <v>0.7422538301292555</v>
      </c>
    </row>
    <row r="40" spans="1:19" ht="25.05" customHeight="1">
      <c r="A40" s="6" t="s">
        <v>21</v>
      </c>
      <c r="B40" s="6" t="s">
        <v>32</v>
      </c>
      <c r="C40" s="11">
        <f>Distances!J40</f>
        <v>7.3197470362945868E-2</v>
      </c>
      <c r="D40" s="6" t="s">
        <v>17</v>
      </c>
      <c r="E40" s="11">
        <f>Distances!D40</f>
        <v>0.20266986105941256</v>
      </c>
      <c r="F40" s="6" t="s">
        <v>33</v>
      </c>
      <c r="G40" s="11">
        <f>Distances!K40</f>
        <v>0.21699552377080128</v>
      </c>
      <c r="H40" s="6" t="s">
        <v>23</v>
      </c>
      <c r="I40" s="11">
        <f>Distances!G40</f>
        <v>0.53694534025548524</v>
      </c>
      <c r="J40" s="6" t="s">
        <v>15</v>
      </c>
      <c r="K40" s="11">
        <f>Distances!C40</f>
        <v>0.63149619416693215</v>
      </c>
      <c r="L40" s="6" t="s">
        <v>19</v>
      </c>
      <c r="M40" s="11">
        <f>Distances!E40</f>
        <v>0.68363387750672189</v>
      </c>
      <c r="N40" s="6" t="s">
        <v>29</v>
      </c>
      <c r="O40" s="11">
        <f>Distances!I40</f>
        <v>0.81874569125208518</v>
      </c>
      <c r="P40" s="6" t="s">
        <v>26</v>
      </c>
      <c r="Q40" s="11">
        <f>Distances!H40</f>
        <v>1.0002399083666618</v>
      </c>
      <c r="R40" s="6" t="s">
        <v>13</v>
      </c>
      <c r="S40" s="11">
        <f>Distances!B40</f>
        <v>1.1520854587406308</v>
      </c>
    </row>
    <row r="41" spans="1:19" ht="25.05" customHeight="1">
      <c r="A41" s="7" t="s">
        <v>23</v>
      </c>
      <c r="B41" s="7" t="s">
        <v>19</v>
      </c>
      <c r="C41" s="12">
        <f>Distances!E41</f>
        <v>0.22051611920260847</v>
      </c>
      <c r="D41" s="7" t="s">
        <v>29</v>
      </c>
      <c r="E41" s="12">
        <f>Distances!I41</f>
        <v>0.28494557304994572</v>
      </c>
      <c r="F41" s="7" t="s">
        <v>15</v>
      </c>
      <c r="G41" s="12">
        <f>Distances!C41</f>
        <v>0.33829565153080854</v>
      </c>
      <c r="H41" s="7" t="s">
        <v>17</v>
      </c>
      <c r="I41" s="12">
        <f>Distances!D41</f>
        <v>0.36152357462365875</v>
      </c>
      <c r="J41" s="7" t="s">
        <v>26</v>
      </c>
      <c r="K41" s="12">
        <f>Distances!H41</f>
        <v>0.46984067755269304</v>
      </c>
      <c r="L41" s="7" t="s">
        <v>21</v>
      </c>
      <c r="M41" s="12">
        <f>Distances!F41</f>
        <v>0.53694534025548524</v>
      </c>
      <c r="N41" s="7" t="s">
        <v>33</v>
      </c>
      <c r="O41" s="12">
        <f>Distances!K41</f>
        <v>0.5713506875726112</v>
      </c>
      <c r="P41" s="7" t="s">
        <v>32</v>
      </c>
      <c r="Q41" s="12">
        <f>Distances!J41</f>
        <v>0.57267683322524032</v>
      </c>
      <c r="R41" s="7" t="s">
        <v>13</v>
      </c>
      <c r="S41" s="12">
        <f>Distances!B41</f>
        <v>0.6816790472243095</v>
      </c>
    </row>
    <row r="42" spans="1:19" ht="25.05" customHeight="1">
      <c r="A42" s="6" t="s">
        <v>26</v>
      </c>
      <c r="B42" s="6" t="s">
        <v>29</v>
      </c>
      <c r="C42" s="11">
        <f>Distances!I42</f>
        <v>0.18553710392845918</v>
      </c>
      <c r="D42" s="6" t="s">
        <v>19</v>
      </c>
      <c r="E42" s="11">
        <f>Distances!E42</f>
        <v>0.32128862995456053</v>
      </c>
      <c r="F42" s="6" t="s">
        <v>23</v>
      </c>
      <c r="G42" s="11">
        <f>Distances!G42</f>
        <v>0.46984067755269304</v>
      </c>
      <c r="H42" s="6" t="s">
        <v>15</v>
      </c>
      <c r="I42" s="11">
        <f>Distances!C42</f>
        <v>0.50434794850107545</v>
      </c>
      <c r="J42" s="6" t="s">
        <v>13</v>
      </c>
      <c r="K42" s="11">
        <f>Distances!B42</f>
        <v>0.57429092291555361</v>
      </c>
      <c r="L42" s="6" t="s">
        <v>17</v>
      </c>
      <c r="M42" s="11">
        <f>Distances!D42</f>
        <v>0.8278105919343034</v>
      </c>
      <c r="N42" s="6" t="s">
        <v>21</v>
      </c>
      <c r="O42" s="11">
        <f>Distances!F42</f>
        <v>1.0002399083666618</v>
      </c>
      <c r="P42" s="6" t="s">
        <v>33</v>
      </c>
      <c r="Q42" s="11">
        <f>Distances!K42</f>
        <v>1.0331877637201323</v>
      </c>
      <c r="R42" s="6" t="s">
        <v>32</v>
      </c>
      <c r="S42" s="11">
        <f>Distances!J42</f>
        <v>1.0347196657086553</v>
      </c>
    </row>
    <row r="43" spans="1:19" ht="25.05" customHeight="1">
      <c r="A43" s="7" t="s">
        <v>29</v>
      </c>
      <c r="B43" s="7" t="s">
        <v>26</v>
      </c>
      <c r="C43" s="12">
        <f>Distances!H43</f>
        <v>0.18553710392845918</v>
      </c>
      <c r="D43" s="7" t="s">
        <v>19</v>
      </c>
      <c r="E43" s="12">
        <f>Distances!E43</f>
        <v>0.20220353949986825</v>
      </c>
      <c r="F43" s="7" t="s">
        <v>23</v>
      </c>
      <c r="G43" s="12">
        <f>Distances!G43</f>
        <v>0.28494557304994572</v>
      </c>
      <c r="H43" s="7" t="s">
        <v>15</v>
      </c>
      <c r="I43" s="12">
        <f>Distances!C43</f>
        <v>0.44345693084257548</v>
      </c>
      <c r="J43" s="7" t="s">
        <v>13</v>
      </c>
      <c r="K43" s="12">
        <f>Distances!B43</f>
        <v>0.62445561274989336</v>
      </c>
      <c r="L43" s="7" t="s">
        <v>17</v>
      </c>
      <c r="M43" s="12">
        <f>Distances!D43</f>
        <v>0.64530991099557433</v>
      </c>
      <c r="N43" s="7" t="s">
        <v>21</v>
      </c>
      <c r="O43" s="12">
        <f>Distances!F43</f>
        <v>0.81874569125208518</v>
      </c>
      <c r="P43" s="7" t="s">
        <v>33</v>
      </c>
      <c r="Q43" s="12">
        <f>Distances!K43</f>
        <v>0.85166782144779651</v>
      </c>
      <c r="R43" s="7" t="s">
        <v>32</v>
      </c>
      <c r="S43" s="12">
        <f>Distances!J43</f>
        <v>0.8537437098215418</v>
      </c>
    </row>
    <row r="44" spans="1:19" ht="25.05" customHeight="1">
      <c r="A44" s="6" t="s">
        <v>32</v>
      </c>
      <c r="B44" s="6" t="s">
        <v>21</v>
      </c>
      <c r="C44" s="11">
        <f>Distances!F44</f>
        <v>7.3197470362945868E-2</v>
      </c>
      <c r="D44" s="6" t="s">
        <v>33</v>
      </c>
      <c r="E44" s="11">
        <f>Distances!K44</f>
        <v>0.1756769585901331</v>
      </c>
      <c r="F44" s="6" t="s">
        <v>17</v>
      </c>
      <c r="G44" s="11">
        <f>Distances!D44</f>
        <v>0.24385454867249023</v>
      </c>
      <c r="H44" s="6" t="s">
        <v>23</v>
      </c>
      <c r="I44" s="11">
        <f>Distances!G44</f>
        <v>0.57267683322524032</v>
      </c>
      <c r="J44" s="6" t="s">
        <v>15</v>
      </c>
      <c r="K44" s="11">
        <f>Distances!C44</f>
        <v>0.6662754515019641</v>
      </c>
      <c r="L44" s="6" t="s">
        <v>19</v>
      </c>
      <c r="M44" s="11">
        <f>Distances!E44</f>
        <v>0.71919509028069362</v>
      </c>
      <c r="N44" s="6" t="s">
        <v>29</v>
      </c>
      <c r="O44" s="11">
        <f>Distances!I44</f>
        <v>0.8537437098215418</v>
      </c>
      <c r="P44" s="6" t="s">
        <v>26</v>
      </c>
      <c r="Q44" s="11">
        <f>Distances!H44</f>
        <v>1.0347196657086553</v>
      </c>
      <c r="R44" s="6" t="s">
        <v>13</v>
      </c>
      <c r="S44" s="11">
        <f>Distances!B44</f>
        <v>1.1237503266389308</v>
      </c>
    </row>
    <row r="45" spans="1:19" ht="25.05" customHeight="1">
      <c r="A45" s="8" t="s">
        <v>33</v>
      </c>
      <c r="B45" s="8" t="s">
        <v>32</v>
      </c>
      <c r="C45" s="13">
        <f>Distances!J45</f>
        <v>0.1756769585901331</v>
      </c>
      <c r="D45" s="8" t="s">
        <v>21</v>
      </c>
      <c r="E45" s="13">
        <f>Distances!F45</f>
        <v>0.21699552377080128</v>
      </c>
      <c r="F45" s="8" t="s">
        <v>17</v>
      </c>
      <c r="G45" s="13">
        <f>Distances!D45</f>
        <v>0.41928044788974461</v>
      </c>
      <c r="H45" s="8" t="s">
        <v>23</v>
      </c>
      <c r="I45" s="13">
        <f>Distances!G45</f>
        <v>0.5713506875726112</v>
      </c>
      <c r="J45" s="8" t="s">
        <v>15</v>
      </c>
      <c r="K45" s="13">
        <f>Distances!C45</f>
        <v>0.72694742079622987</v>
      </c>
      <c r="L45" s="8" t="s">
        <v>19</v>
      </c>
      <c r="M45" s="13">
        <f>Distances!E45</f>
        <v>0.7422538301292555</v>
      </c>
      <c r="N45" s="8" t="s">
        <v>29</v>
      </c>
      <c r="O45" s="13">
        <f>Distances!I45</f>
        <v>0.85166782144779651</v>
      </c>
      <c r="P45" s="8" t="s">
        <v>26</v>
      </c>
      <c r="Q45" s="13">
        <f>Distances!H45</f>
        <v>1.0331877637201323</v>
      </c>
      <c r="R45" s="8" t="s">
        <v>13</v>
      </c>
      <c r="S45" s="13">
        <f>Distances!B45</f>
        <v>1.1085057797541449</v>
      </c>
    </row>
    <row r="46" spans="1:19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19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spans="1:19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spans="1:19" ht="30" customHeight="1">
      <c r="A49" s="35" t="s">
        <v>43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</row>
    <row r="50" spans="1:19" ht="43.95" customHeight="1">
      <c r="A50" s="2" t="s">
        <v>3</v>
      </c>
      <c r="B50" s="2" t="s">
        <v>49</v>
      </c>
      <c r="C50" s="2" t="s">
        <v>50</v>
      </c>
      <c r="D50" s="2" t="s">
        <v>51</v>
      </c>
      <c r="E50" s="2" t="s">
        <v>52</v>
      </c>
      <c r="F50" s="2" t="s">
        <v>53</v>
      </c>
      <c r="G50" s="2" t="s">
        <v>54</v>
      </c>
      <c r="H50" s="2" t="s">
        <v>55</v>
      </c>
      <c r="I50" s="2" t="s">
        <v>56</v>
      </c>
      <c r="J50" s="2" t="s">
        <v>57</v>
      </c>
      <c r="K50" s="2" t="s">
        <v>58</v>
      </c>
      <c r="L50" s="2" t="s">
        <v>59</v>
      </c>
      <c r="M50" s="2" t="s">
        <v>60</v>
      </c>
      <c r="N50" s="2" t="s">
        <v>61</v>
      </c>
      <c r="O50" s="2" t="s">
        <v>62</v>
      </c>
      <c r="P50" s="2" t="s">
        <v>63</v>
      </c>
      <c r="Q50" s="2" t="s">
        <v>64</v>
      </c>
      <c r="R50" s="2" t="s">
        <v>65</v>
      </c>
      <c r="S50" s="2" t="s">
        <v>66</v>
      </c>
    </row>
    <row r="51" spans="1:19" ht="25.05" customHeight="1">
      <c r="A51" s="6" t="s">
        <v>13</v>
      </c>
      <c r="B51" s="6" t="s">
        <v>15</v>
      </c>
      <c r="C51" s="11">
        <f>Distances!C51</f>
        <v>62.2</v>
      </c>
      <c r="D51" s="6" t="s">
        <v>26</v>
      </c>
      <c r="E51" s="11">
        <f>Distances!H51</f>
        <v>91.100000000000009</v>
      </c>
      <c r="F51" s="6" t="s">
        <v>19</v>
      </c>
      <c r="G51" s="11">
        <f>Distances!E51</f>
        <v>91.6</v>
      </c>
      <c r="H51" s="6" t="s">
        <v>29</v>
      </c>
      <c r="I51" s="11">
        <f>Distances!I51</f>
        <v>100.4</v>
      </c>
      <c r="J51" s="6" t="s">
        <v>23</v>
      </c>
      <c r="K51" s="11">
        <f>Distances!G51</f>
        <v>116.1</v>
      </c>
      <c r="L51" s="6" t="s">
        <v>17</v>
      </c>
      <c r="M51" s="11">
        <f>Distances!D51</f>
        <v>148.00000000000003</v>
      </c>
      <c r="N51" s="6" t="s">
        <v>21</v>
      </c>
      <c r="O51" s="11">
        <f>Distances!F51</f>
        <v>185.4</v>
      </c>
      <c r="P51" s="6" t="s">
        <v>32</v>
      </c>
      <c r="Q51" s="11">
        <f>Distances!J51</f>
        <v>185.7</v>
      </c>
      <c r="R51" s="6" t="s">
        <v>33</v>
      </c>
      <c r="S51" s="11">
        <f>Distances!K51</f>
        <v>189.1</v>
      </c>
    </row>
    <row r="52" spans="1:19" ht="25.05" customHeight="1">
      <c r="A52" s="7" t="s">
        <v>15</v>
      </c>
      <c r="B52" s="7" t="s">
        <v>19</v>
      </c>
      <c r="C52" s="12">
        <f>Distances!E52</f>
        <v>38.6</v>
      </c>
      <c r="D52" s="7" t="s">
        <v>26</v>
      </c>
      <c r="E52" s="12">
        <f>Distances!H52</f>
        <v>43.5</v>
      </c>
      <c r="F52" s="7" t="s">
        <v>29</v>
      </c>
      <c r="G52" s="12">
        <f>Distances!I52</f>
        <v>49.8</v>
      </c>
      <c r="H52" s="7" t="s">
        <v>23</v>
      </c>
      <c r="I52" s="12">
        <f>Distances!G52</f>
        <v>60.099999999999994</v>
      </c>
      <c r="J52" s="7" t="s">
        <v>13</v>
      </c>
      <c r="K52" s="12">
        <f>Distances!B52</f>
        <v>62.2</v>
      </c>
      <c r="L52" s="7" t="s">
        <v>17</v>
      </c>
      <c r="M52" s="12">
        <f>Distances!D52</f>
        <v>85.800000000000011</v>
      </c>
      <c r="N52" s="7" t="s">
        <v>21</v>
      </c>
      <c r="O52" s="12">
        <f>Distances!F52</f>
        <v>125.19999999999999</v>
      </c>
      <c r="P52" s="7" t="s">
        <v>32</v>
      </c>
      <c r="Q52" s="12">
        <f>Distances!J52</f>
        <v>135.5</v>
      </c>
      <c r="R52" s="7" t="s">
        <v>33</v>
      </c>
      <c r="S52" s="12">
        <f>Distances!K52</f>
        <v>142.9</v>
      </c>
    </row>
    <row r="53" spans="1:19" ht="25.05" customHeight="1">
      <c r="A53" s="6" t="s">
        <v>17</v>
      </c>
      <c r="B53" s="6" t="s">
        <v>23</v>
      </c>
      <c r="C53" s="11">
        <f>Distances!G53</f>
        <v>31.9</v>
      </c>
      <c r="D53" s="6" t="s">
        <v>21</v>
      </c>
      <c r="E53" s="11">
        <f>Distances!F53</f>
        <v>46.400000000000006</v>
      </c>
      <c r="F53" s="6" t="s">
        <v>32</v>
      </c>
      <c r="G53" s="11">
        <f>Distances!J53</f>
        <v>56.9</v>
      </c>
      <c r="H53" s="6" t="s">
        <v>19</v>
      </c>
      <c r="I53" s="11">
        <f>Distances!E53</f>
        <v>60.400000000000006</v>
      </c>
      <c r="J53" s="6" t="s">
        <v>33</v>
      </c>
      <c r="K53" s="11">
        <f>Distances!K53</f>
        <v>68.300000000000011</v>
      </c>
      <c r="L53" s="6" t="s">
        <v>29</v>
      </c>
      <c r="M53" s="11">
        <f>Distances!I53</f>
        <v>77.600000000000009</v>
      </c>
      <c r="N53" s="6" t="s">
        <v>15</v>
      </c>
      <c r="O53" s="11">
        <f>Distances!C53</f>
        <v>85.800000000000011</v>
      </c>
      <c r="P53" s="6" t="s">
        <v>26</v>
      </c>
      <c r="Q53" s="11">
        <f>Distances!H53</f>
        <v>95.300000000000011</v>
      </c>
      <c r="R53" s="6" t="s">
        <v>13</v>
      </c>
      <c r="S53" s="11">
        <f>Distances!B53</f>
        <v>148.00000000000003</v>
      </c>
    </row>
    <row r="54" spans="1:19" ht="25.05" customHeight="1">
      <c r="A54" s="7" t="s">
        <v>19</v>
      </c>
      <c r="B54" s="7" t="s">
        <v>29</v>
      </c>
      <c r="C54" s="12">
        <f>Distances!I54</f>
        <v>24</v>
      </c>
      <c r="D54" s="7" t="s">
        <v>23</v>
      </c>
      <c r="E54" s="12">
        <f>Distances!G54</f>
        <v>30.700000000000003</v>
      </c>
      <c r="F54" s="7" t="s">
        <v>26</v>
      </c>
      <c r="G54" s="12">
        <f>Distances!H54</f>
        <v>34.9</v>
      </c>
      <c r="H54" s="7" t="s">
        <v>15</v>
      </c>
      <c r="I54" s="12">
        <f>Distances!C54</f>
        <v>38.6</v>
      </c>
      <c r="J54" s="7" t="s">
        <v>17</v>
      </c>
      <c r="K54" s="12">
        <f>Distances!D54</f>
        <v>60.400000000000006</v>
      </c>
      <c r="L54" s="7" t="s">
        <v>13</v>
      </c>
      <c r="M54" s="12">
        <f>Distances!B54</f>
        <v>91.6</v>
      </c>
      <c r="N54" s="7" t="s">
        <v>21</v>
      </c>
      <c r="O54" s="12">
        <f>Distances!F54</f>
        <v>105.8</v>
      </c>
      <c r="P54" s="7" t="s">
        <v>32</v>
      </c>
      <c r="Q54" s="12">
        <f>Distances!J54</f>
        <v>116.1</v>
      </c>
      <c r="R54" s="7" t="s">
        <v>33</v>
      </c>
      <c r="S54" s="12">
        <f>Distances!K54</f>
        <v>122.30000000000001</v>
      </c>
    </row>
    <row r="55" spans="1:19" ht="25.05" customHeight="1">
      <c r="A55" s="6" t="s">
        <v>21</v>
      </c>
      <c r="B55" s="6" t="s">
        <v>32</v>
      </c>
      <c r="C55" s="11">
        <f>Distances!J55</f>
        <v>11.700000000000003</v>
      </c>
      <c r="D55" s="6" t="s">
        <v>33</v>
      </c>
      <c r="E55" s="11">
        <f>Distances!K55</f>
        <v>21.900000000000002</v>
      </c>
      <c r="F55" s="6" t="s">
        <v>17</v>
      </c>
      <c r="G55" s="11">
        <f>Distances!D55</f>
        <v>46.400000000000006</v>
      </c>
      <c r="H55" s="6" t="s">
        <v>23</v>
      </c>
      <c r="I55" s="11">
        <f>Distances!G55</f>
        <v>77.3</v>
      </c>
      <c r="J55" s="6" t="s">
        <v>19</v>
      </c>
      <c r="K55" s="11">
        <f>Distances!E55</f>
        <v>105.8</v>
      </c>
      <c r="L55" s="6" t="s">
        <v>29</v>
      </c>
      <c r="M55" s="11">
        <f>Distances!I55</f>
        <v>123</v>
      </c>
      <c r="N55" s="6" t="s">
        <v>15</v>
      </c>
      <c r="O55" s="11">
        <f>Distances!C55</f>
        <v>125.19999999999999</v>
      </c>
      <c r="P55" s="6" t="s">
        <v>26</v>
      </c>
      <c r="Q55" s="11">
        <f>Distances!H55</f>
        <v>140.69999999999999</v>
      </c>
      <c r="R55" s="6" t="s">
        <v>13</v>
      </c>
      <c r="S55" s="11">
        <f>Distances!B55</f>
        <v>185.4</v>
      </c>
    </row>
    <row r="56" spans="1:19" ht="25.05" customHeight="1">
      <c r="A56" s="7" t="s">
        <v>23</v>
      </c>
      <c r="B56" s="7" t="s">
        <v>19</v>
      </c>
      <c r="C56" s="12">
        <f>Distances!E56</f>
        <v>30.700000000000003</v>
      </c>
      <c r="D56" s="7" t="s">
        <v>17</v>
      </c>
      <c r="E56" s="12">
        <f>Distances!D56</f>
        <v>31.9</v>
      </c>
      <c r="F56" s="7" t="s">
        <v>29</v>
      </c>
      <c r="G56" s="12">
        <f>Distances!I56</f>
        <v>45.7</v>
      </c>
      <c r="H56" s="7" t="s">
        <v>15</v>
      </c>
      <c r="I56" s="12">
        <f>Distances!C56</f>
        <v>60.099999999999994</v>
      </c>
      <c r="J56" s="7" t="s">
        <v>26</v>
      </c>
      <c r="K56" s="12">
        <f>Distances!H56</f>
        <v>63.400000000000006</v>
      </c>
      <c r="L56" s="7" t="s">
        <v>21</v>
      </c>
      <c r="M56" s="12">
        <f>Distances!F56</f>
        <v>77.3</v>
      </c>
      <c r="N56" s="7" t="s">
        <v>32</v>
      </c>
      <c r="O56" s="12">
        <f>Distances!J56</f>
        <v>87.600000000000009</v>
      </c>
      <c r="P56" s="7" t="s">
        <v>33</v>
      </c>
      <c r="Q56" s="12">
        <f>Distances!K56</f>
        <v>93</v>
      </c>
      <c r="R56" s="7" t="s">
        <v>13</v>
      </c>
      <c r="S56" s="12">
        <f>Distances!B56</f>
        <v>116.1</v>
      </c>
    </row>
    <row r="57" spans="1:19" ht="25.05" customHeight="1">
      <c r="A57" s="6" t="s">
        <v>26</v>
      </c>
      <c r="B57" s="6" t="s">
        <v>29</v>
      </c>
      <c r="C57" s="11">
        <f>Distances!I57</f>
        <v>17.699999999999996</v>
      </c>
      <c r="D57" s="6" t="s">
        <v>19</v>
      </c>
      <c r="E57" s="11">
        <f>Distances!E57</f>
        <v>34.9</v>
      </c>
      <c r="F57" s="6" t="s">
        <v>15</v>
      </c>
      <c r="G57" s="11">
        <f>Distances!C57</f>
        <v>43.5</v>
      </c>
      <c r="H57" s="6" t="s">
        <v>23</v>
      </c>
      <c r="I57" s="11">
        <f>Distances!G57</f>
        <v>63.400000000000006</v>
      </c>
      <c r="J57" s="6" t="s">
        <v>13</v>
      </c>
      <c r="K57" s="11">
        <f>Distances!B57</f>
        <v>91.100000000000009</v>
      </c>
      <c r="L57" s="6" t="s">
        <v>17</v>
      </c>
      <c r="M57" s="11">
        <f>Distances!D57</f>
        <v>95.300000000000011</v>
      </c>
      <c r="N57" s="6" t="s">
        <v>21</v>
      </c>
      <c r="O57" s="11">
        <f>Distances!F57</f>
        <v>140.69999999999999</v>
      </c>
      <c r="P57" s="6" t="s">
        <v>32</v>
      </c>
      <c r="Q57" s="11">
        <f>Distances!J57</f>
        <v>151</v>
      </c>
      <c r="R57" s="6" t="s">
        <v>33</v>
      </c>
      <c r="S57" s="11">
        <f>Distances!K57</f>
        <v>156.39999999999998</v>
      </c>
    </row>
    <row r="58" spans="1:19" ht="25.05" customHeight="1">
      <c r="A58" s="7" t="s">
        <v>29</v>
      </c>
      <c r="B58" s="7" t="s">
        <v>26</v>
      </c>
      <c r="C58" s="12">
        <f>Distances!H58</f>
        <v>17.699999999999996</v>
      </c>
      <c r="D58" s="7" t="s">
        <v>19</v>
      </c>
      <c r="E58" s="12">
        <f>Distances!E58</f>
        <v>24</v>
      </c>
      <c r="F58" s="7" t="s">
        <v>23</v>
      </c>
      <c r="G58" s="12">
        <f>Distances!G58</f>
        <v>45.7</v>
      </c>
      <c r="H58" s="7" t="s">
        <v>15</v>
      </c>
      <c r="I58" s="12">
        <f>Distances!C58</f>
        <v>49.8</v>
      </c>
      <c r="J58" s="7" t="s">
        <v>17</v>
      </c>
      <c r="K58" s="12">
        <f>Distances!D58</f>
        <v>77.600000000000009</v>
      </c>
      <c r="L58" s="7" t="s">
        <v>13</v>
      </c>
      <c r="M58" s="12">
        <f>Distances!B58</f>
        <v>100.4</v>
      </c>
      <c r="N58" s="7" t="s">
        <v>21</v>
      </c>
      <c r="O58" s="12">
        <f>Distances!F58</f>
        <v>123</v>
      </c>
      <c r="P58" s="7" t="s">
        <v>32</v>
      </c>
      <c r="Q58" s="12">
        <f>Distances!J58</f>
        <v>133.30000000000001</v>
      </c>
      <c r="R58" s="7" t="s">
        <v>33</v>
      </c>
      <c r="S58" s="12">
        <f>Distances!K58</f>
        <v>138.70000000000002</v>
      </c>
    </row>
    <row r="59" spans="1:19" ht="25.05" customHeight="1">
      <c r="A59" s="6" t="s">
        <v>32</v>
      </c>
      <c r="B59" s="6" t="s">
        <v>33</v>
      </c>
      <c r="C59" s="11">
        <f>Distances!K59</f>
        <v>11.400000000000002</v>
      </c>
      <c r="D59" s="6" t="s">
        <v>21</v>
      </c>
      <c r="E59" s="11">
        <f>Distances!F59</f>
        <v>11.700000000000003</v>
      </c>
      <c r="F59" s="6" t="s">
        <v>17</v>
      </c>
      <c r="G59" s="11">
        <f>Distances!D59</f>
        <v>56.9</v>
      </c>
      <c r="H59" s="6" t="s">
        <v>23</v>
      </c>
      <c r="I59" s="11">
        <f>Distances!G59</f>
        <v>87.600000000000009</v>
      </c>
      <c r="J59" s="6" t="s">
        <v>19</v>
      </c>
      <c r="K59" s="11">
        <f>Distances!E59</f>
        <v>116.1</v>
      </c>
      <c r="L59" s="6" t="s">
        <v>29</v>
      </c>
      <c r="M59" s="11">
        <f>Distances!I59</f>
        <v>133.30000000000001</v>
      </c>
      <c r="N59" s="6" t="s">
        <v>15</v>
      </c>
      <c r="O59" s="11">
        <f>Distances!C59</f>
        <v>135.5</v>
      </c>
      <c r="P59" s="6" t="s">
        <v>26</v>
      </c>
      <c r="Q59" s="11">
        <f>Distances!H59</f>
        <v>151</v>
      </c>
      <c r="R59" s="6" t="s">
        <v>13</v>
      </c>
      <c r="S59" s="11">
        <f>Distances!B59</f>
        <v>185.7</v>
      </c>
    </row>
    <row r="60" spans="1:19" ht="25.05" customHeight="1">
      <c r="A60" s="8" t="s">
        <v>33</v>
      </c>
      <c r="B60" s="8" t="s">
        <v>32</v>
      </c>
      <c r="C60" s="13">
        <f>Distances!J60</f>
        <v>11.400000000000002</v>
      </c>
      <c r="D60" s="8" t="s">
        <v>21</v>
      </c>
      <c r="E60" s="13">
        <f>Distances!F60</f>
        <v>21.900000000000002</v>
      </c>
      <c r="F60" s="8" t="s">
        <v>17</v>
      </c>
      <c r="G60" s="13">
        <f>Distances!D60</f>
        <v>68.300000000000011</v>
      </c>
      <c r="H60" s="8" t="s">
        <v>23</v>
      </c>
      <c r="I60" s="13">
        <f>Distances!G60</f>
        <v>93</v>
      </c>
      <c r="J60" s="8" t="s">
        <v>19</v>
      </c>
      <c r="K60" s="13">
        <f>Distances!E60</f>
        <v>122.30000000000001</v>
      </c>
      <c r="L60" s="8" t="s">
        <v>29</v>
      </c>
      <c r="M60" s="13">
        <f>Distances!I60</f>
        <v>138.70000000000002</v>
      </c>
      <c r="N60" s="8" t="s">
        <v>15</v>
      </c>
      <c r="O60" s="13">
        <f>Distances!C60</f>
        <v>142.9</v>
      </c>
      <c r="P60" s="8" t="s">
        <v>26</v>
      </c>
      <c r="Q60" s="13">
        <f>Distances!H60</f>
        <v>156.39999999999998</v>
      </c>
      <c r="R60" s="8" t="s">
        <v>13</v>
      </c>
      <c r="S60" s="13">
        <f>Distances!B60</f>
        <v>189.1</v>
      </c>
    </row>
    <row r="61" spans="1:19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 spans="1:19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19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spans="1:19" ht="30" customHeight="1">
      <c r="A64" s="35" t="s">
        <v>44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</row>
    <row r="65" spans="1:19" ht="43.95" customHeight="1">
      <c r="A65" s="2" t="s">
        <v>3</v>
      </c>
      <c r="B65" s="2" t="s">
        <v>49</v>
      </c>
      <c r="C65" s="2" t="s">
        <v>50</v>
      </c>
      <c r="D65" s="2" t="s">
        <v>51</v>
      </c>
      <c r="E65" s="2" t="s">
        <v>52</v>
      </c>
      <c r="F65" s="2" t="s">
        <v>53</v>
      </c>
      <c r="G65" s="2" t="s">
        <v>54</v>
      </c>
      <c r="H65" s="2" t="s">
        <v>55</v>
      </c>
      <c r="I65" s="2" t="s">
        <v>56</v>
      </c>
      <c r="J65" s="2" t="s">
        <v>57</v>
      </c>
      <c r="K65" s="2" t="s">
        <v>58</v>
      </c>
      <c r="L65" s="2" t="s">
        <v>59</v>
      </c>
      <c r="M65" s="2" t="s">
        <v>60</v>
      </c>
      <c r="N65" s="2" t="s">
        <v>61</v>
      </c>
      <c r="O65" s="2" t="s">
        <v>62</v>
      </c>
      <c r="P65" s="2" t="s">
        <v>63</v>
      </c>
      <c r="Q65" s="2" t="s">
        <v>64</v>
      </c>
      <c r="R65" s="2" t="s">
        <v>65</v>
      </c>
      <c r="S65" s="2" t="s">
        <v>66</v>
      </c>
    </row>
    <row r="66" spans="1:19" ht="25.05" customHeight="1">
      <c r="A66" s="6" t="s">
        <v>13</v>
      </c>
      <c r="B66" s="6" t="s">
        <v>19</v>
      </c>
      <c r="C66" s="11">
        <f>Distances!E66</f>
        <v>0.91098762074025208</v>
      </c>
      <c r="D66" s="6" t="s">
        <v>15</v>
      </c>
      <c r="E66" s="11">
        <f>Distances!C66</f>
        <v>0.94293166170735865</v>
      </c>
      <c r="F66" s="6" t="s">
        <v>23</v>
      </c>
      <c r="G66" s="11">
        <f>Distances!G66</f>
        <v>1.0564809163202462</v>
      </c>
      <c r="H66" s="6" t="s">
        <v>26</v>
      </c>
      <c r="I66" s="11">
        <f>Distances!H66</f>
        <v>1.1067756034106078</v>
      </c>
      <c r="J66" s="6" t="s">
        <v>29</v>
      </c>
      <c r="K66" s="11">
        <f>Distances!I66</f>
        <v>1.1219651774897443</v>
      </c>
      <c r="L66" s="6" t="s">
        <v>17</v>
      </c>
      <c r="M66" s="11">
        <f>Distances!D66</f>
        <v>1.7263663528314972</v>
      </c>
      <c r="N66" s="6" t="s">
        <v>32</v>
      </c>
      <c r="O66" s="11">
        <f>Distances!J66</f>
        <v>1.9547221497538689</v>
      </c>
      <c r="P66" s="6" t="s">
        <v>21</v>
      </c>
      <c r="Q66" s="11">
        <f>Distances!F66</f>
        <v>1.9764863550120746</v>
      </c>
      <c r="R66" s="6" t="s">
        <v>33</v>
      </c>
      <c r="S66" s="11">
        <f>Distances!K66</f>
        <v>2.0180401022078249</v>
      </c>
    </row>
    <row r="67" spans="1:19" ht="25.05" customHeight="1">
      <c r="A67" s="7" t="s">
        <v>15</v>
      </c>
      <c r="B67" s="7" t="s">
        <v>19</v>
      </c>
      <c r="C67" s="12">
        <f>Distances!E67</f>
        <v>0.52790178819443345</v>
      </c>
      <c r="D67" s="7" t="s">
        <v>23</v>
      </c>
      <c r="E67" s="12">
        <f>Distances!G67</f>
        <v>0.58026976158829369</v>
      </c>
      <c r="F67" s="7" t="s">
        <v>29</v>
      </c>
      <c r="G67" s="12">
        <f>Distances!I67</f>
        <v>0.73296622410659051</v>
      </c>
      <c r="H67" s="7" t="s">
        <v>17</v>
      </c>
      <c r="I67" s="12">
        <f>Distances!D67</f>
        <v>0.92009347277065778</v>
      </c>
      <c r="J67" s="7" t="s">
        <v>13</v>
      </c>
      <c r="K67" s="12">
        <f>Distances!B67</f>
        <v>0.94293166170735865</v>
      </c>
      <c r="L67" s="7" t="s">
        <v>26</v>
      </c>
      <c r="M67" s="12">
        <f>Distances!H67</f>
        <v>0.94299102463489037</v>
      </c>
      <c r="N67" s="7" t="s">
        <v>21</v>
      </c>
      <c r="O67" s="12">
        <f>Distances!F67</f>
        <v>1.2502026932583343</v>
      </c>
      <c r="P67" s="7" t="s">
        <v>32</v>
      </c>
      <c r="Q67" s="12">
        <f>Distances!J67</f>
        <v>1.2872354585210508</v>
      </c>
      <c r="R67" s="7" t="s">
        <v>33</v>
      </c>
      <c r="S67" s="12">
        <f>Distances!K67</f>
        <v>1.3978689800485402</v>
      </c>
    </row>
    <row r="68" spans="1:19" ht="25.05" customHeight="1">
      <c r="A68" s="6" t="s">
        <v>17</v>
      </c>
      <c r="B68" s="6" t="s">
        <v>21</v>
      </c>
      <c r="C68" s="11">
        <f>Distances!F68</f>
        <v>0.41584617379873212</v>
      </c>
      <c r="D68" s="6" t="s">
        <v>32</v>
      </c>
      <c r="E68" s="11">
        <f>Distances!J68</f>
        <v>0.49772291843474664</v>
      </c>
      <c r="F68" s="6" t="s">
        <v>33</v>
      </c>
      <c r="G68" s="11">
        <f>Distances!K68</f>
        <v>0.87379830247893631</v>
      </c>
      <c r="H68" s="6" t="s">
        <v>15</v>
      </c>
      <c r="I68" s="11">
        <f>Distances!C68</f>
        <v>0.92009347277065778</v>
      </c>
      <c r="J68" s="6" t="s">
        <v>23</v>
      </c>
      <c r="K68" s="11">
        <f>Distances!G68</f>
        <v>0.92813534691293231</v>
      </c>
      <c r="L68" s="6" t="s">
        <v>19</v>
      </c>
      <c r="M68" s="11">
        <f>Distances!E68</f>
        <v>1.0641365589276355</v>
      </c>
      <c r="N68" s="6" t="s">
        <v>29</v>
      </c>
      <c r="O68" s="11">
        <f>Distances!I68</f>
        <v>1.2358818169729437</v>
      </c>
      <c r="P68" s="6" t="s">
        <v>26</v>
      </c>
      <c r="Q68" s="11">
        <f>Distances!H68</f>
        <v>1.5370524418324336</v>
      </c>
      <c r="R68" s="6" t="s">
        <v>13</v>
      </c>
      <c r="S68" s="11">
        <f>Distances!B68</f>
        <v>1.7263663528314972</v>
      </c>
    </row>
    <row r="69" spans="1:19" ht="25.05" customHeight="1">
      <c r="A69" s="7" t="s">
        <v>19</v>
      </c>
      <c r="B69" s="7" t="s">
        <v>23</v>
      </c>
      <c r="C69" s="12">
        <f>Distances!G69</f>
        <v>0.38677512008126957</v>
      </c>
      <c r="D69" s="7" t="s">
        <v>29</v>
      </c>
      <c r="E69" s="12">
        <f>Distances!I69</f>
        <v>0.39722117317111477</v>
      </c>
      <c r="F69" s="7" t="s">
        <v>15</v>
      </c>
      <c r="G69" s="12">
        <f>Distances!C69</f>
        <v>0.52790178819443345</v>
      </c>
      <c r="H69" s="7" t="s">
        <v>26</v>
      </c>
      <c r="I69" s="12">
        <f>Distances!H69</f>
        <v>0.64403808043193733</v>
      </c>
      <c r="J69" s="7" t="s">
        <v>13</v>
      </c>
      <c r="K69" s="12">
        <f>Distances!B69</f>
        <v>0.91098762074025208</v>
      </c>
      <c r="L69" s="7" t="s">
        <v>17</v>
      </c>
      <c r="M69" s="12">
        <f>Distances!D69</f>
        <v>1.0641365589276355</v>
      </c>
      <c r="N69" s="7" t="s">
        <v>21</v>
      </c>
      <c r="O69" s="12">
        <f>Distances!F69</f>
        <v>1.3490378927604629</v>
      </c>
      <c r="P69" s="7" t="s">
        <v>32</v>
      </c>
      <c r="Q69" s="12">
        <f>Distances!J69</f>
        <v>1.3588391604662096</v>
      </c>
      <c r="R69" s="7" t="s">
        <v>33</v>
      </c>
      <c r="S69" s="12">
        <f>Distances!K69</f>
        <v>1.5129652437497245</v>
      </c>
    </row>
    <row r="70" spans="1:19" ht="25.05" customHeight="1">
      <c r="A70" s="6" t="s">
        <v>21</v>
      </c>
      <c r="B70" s="6" t="s">
        <v>32</v>
      </c>
      <c r="C70" s="11">
        <f>Distances!J70</f>
        <v>0.16546369935242813</v>
      </c>
      <c r="D70" s="6" t="s">
        <v>17</v>
      </c>
      <c r="E70" s="11">
        <f>Distances!D70</f>
        <v>0.41584617379873212</v>
      </c>
      <c r="F70" s="6" t="s">
        <v>33</v>
      </c>
      <c r="G70" s="11">
        <f>Distances!K70</f>
        <v>0.6054322349259017</v>
      </c>
      <c r="H70" s="6" t="s">
        <v>23</v>
      </c>
      <c r="I70" s="11">
        <f>Distances!G70</f>
        <v>1.1273138118800861</v>
      </c>
      <c r="J70" s="6" t="s">
        <v>15</v>
      </c>
      <c r="K70" s="11">
        <f>Distances!C70</f>
        <v>1.2502026932583343</v>
      </c>
      <c r="L70" s="6" t="s">
        <v>19</v>
      </c>
      <c r="M70" s="11">
        <f>Distances!E70</f>
        <v>1.3490378927604629</v>
      </c>
      <c r="N70" s="6" t="s">
        <v>29</v>
      </c>
      <c r="O70" s="11">
        <f>Distances!I70</f>
        <v>1.506665798353064</v>
      </c>
      <c r="P70" s="6" t="s">
        <v>26</v>
      </c>
      <c r="Q70" s="11">
        <f>Distances!H70</f>
        <v>1.7840639432866681</v>
      </c>
      <c r="R70" s="6" t="s">
        <v>13</v>
      </c>
      <c r="S70" s="11">
        <f>Distances!B70</f>
        <v>1.9764863550120746</v>
      </c>
    </row>
    <row r="71" spans="1:19" ht="25.05" customHeight="1">
      <c r="A71" s="7" t="s">
        <v>23</v>
      </c>
      <c r="B71" s="7" t="s">
        <v>19</v>
      </c>
      <c r="C71" s="12">
        <f>Distances!E71</f>
        <v>0.38677512008126957</v>
      </c>
      <c r="D71" s="7" t="s">
        <v>29</v>
      </c>
      <c r="E71" s="12">
        <f>Distances!I71</f>
        <v>0.52033800675752229</v>
      </c>
      <c r="F71" s="7" t="s">
        <v>15</v>
      </c>
      <c r="G71" s="12">
        <f>Distances!C71</f>
        <v>0.58026976158829369</v>
      </c>
      <c r="H71" s="7" t="s">
        <v>26</v>
      </c>
      <c r="I71" s="12">
        <f>Distances!H71</f>
        <v>0.73377076775133232</v>
      </c>
      <c r="J71" s="7" t="s">
        <v>17</v>
      </c>
      <c r="K71" s="12">
        <f>Distances!D71</f>
        <v>0.92813534691293231</v>
      </c>
      <c r="L71" s="7" t="s">
        <v>13</v>
      </c>
      <c r="M71" s="12">
        <f>Distances!B71</f>
        <v>1.0564809163202462</v>
      </c>
      <c r="N71" s="7" t="s">
        <v>21</v>
      </c>
      <c r="O71" s="12">
        <f>Distances!F71</f>
        <v>1.1273138118800861</v>
      </c>
      <c r="P71" s="7" t="s">
        <v>32</v>
      </c>
      <c r="Q71" s="12">
        <f>Distances!J71</f>
        <v>1.1352849989864833</v>
      </c>
      <c r="R71" s="7" t="s">
        <v>33</v>
      </c>
      <c r="S71" s="12">
        <f>Distances!K71</f>
        <v>1.1792687375104378</v>
      </c>
    </row>
    <row r="72" spans="1:19" ht="25.05" customHeight="1">
      <c r="A72" s="6" t="s">
        <v>26</v>
      </c>
      <c r="B72" s="6" t="s">
        <v>29</v>
      </c>
      <c r="C72" s="11">
        <f>Distances!I72</f>
        <v>0.34823689265779095</v>
      </c>
      <c r="D72" s="6" t="s">
        <v>19</v>
      </c>
      <c r="E72" s="11">
        <f>Distances!E72</f>
        <v>0.64403808043193733</v>
      </c>
      <c r="F72" s="6" t="s">
        <v>23</v>
      </c>
      <c r="G72" s="11">
        <f>Distances!G72</f>
        <v>0.73377076775133232</v>
      </c>
      <c r="H72" s="6" t="s">
        <v>15</v>
      </c>
      <c r="I72" s="11">
        <f>Distances!C72</f>
        <v>0.94299102463489037</v>
      </c>
      <c r="J72" s="6" t="s">
        <v>13</v>
      </c>
      <c r="K72" s="11">
        <f>Distances!B72</f>
        <v>1.1067756034106078</v>
      </c>
      <c r="L72" s="6" t="s">
        <v>17</v>
      </c>
      <c r="M72" s="11">
        <f>Distances!D72</f>
        <v>1.5370524418324336</v>
      </c>
      <c r="N72" s="6" t="s">
        <v>21</v>
      </c>
      <c r="O72" s="11">
        <f>Distances!F72</f>
        <v>1.7840639432866681</v>
      </c>
      <c r="P72" s="6" t="s">
        <v>32</v>
      </c>
      <c r="Q72" s="11">
        <f>Distances!J72</f>
        <v>1.8170871014554231</v>
      </c>
      <c r="R72" s="6" t="s">
        <v>33</v>
      </c>
      <c r="S72" s="11">
        <f>Distances!K72</f>
        <v>1.828737171460993</v>
      </c>
    </row>
    <row r="73" spans="1:19" ht="25.05" customHeight="1">
      <c r="A73" s="7" t="s">
        <v>29</v>
      </c>
      <c r="B73" s="7" t="s">
        <v>26</v>
      </c>
      <c r="C73" s="12">
        <f>Distances!H73</f>
        <v>0.34823689265779095</v>
      </c>
      <c r="D73" s="7" t="s">
        <v>19</v>
      </c>
      <c r="E73" s="12">
        <f>Distances!E73</f>
        <v>0.39722117317111477</v>
      </c>
      <c r="F73" s="7" t="s">
        <v>23</v>
      </c>
      <c r="G73" s="12">
        <f>Distances!G73</f>
        <v>0.52033800675752229</v>
      </c>
      <c r="H73" s="7" t="s">
        <v>15</v>
      </c>
      <c r="I73" s="12">
        <f>Distances!C73</f>
        <v>0.73296622410659051</v>
      </c>
      <c r="J73" s="7" t="s">
        <v>13</v>
      </c>
      <c r="K73" s="12">
        <f>Distances!B73</f>
        <v>1.1219651774897443</v>
      </c>
      <c r="L73" s="7" t="s">
        <v>17</v>
      </c>
      <c r="M73" s="12">
        <f>Distances!D73</f>
        <v>1.2358818169729437</v>
      </c>
      <c r="N73" s="7" t="s">
        <v>21</v>
      </c>
      <c r="O73" s="12">
        <f>Distances!F73</f>
        <v>1.506665798353064</v>
      </c>
      <c r="P73" s="7" t="s">
        <v>32</v>
      </c>
      <c r="Q73" s="12">
        <f>Distances!J73</f>
        <v>1.5388239782209072</v>
      </c>
      <c r="R73" s="7" t="s">
        <v>33</v>
      </c>
      <c r="S73" s="12">
        <f>Distances!K73</f>
        <v>1.6116370209013144</v>
      </c>
    </row>
    <row r="74" spans="1:19" ht="25.05" customHeight="1">
      <c r="A74" s="6" t="s">
        <v>32</v>
      </c>
      <c r="B74" s="6" t="s">
        <v>21</v>
      </c>
      <c r="C74" s="11">
        <f>Distances!F74</f>
        <v>0.16546369935242813</v>
      </c>
      <c r="D74" s="6" t="s">
        <v>17</v>
      </c>
      <c r="E74" s="11">
        <f>Distances!D74</f>
        <v>0.49772291843474664</v>
      </c>
      <c r="F74" s="6" t="s">
        <v>33</v>
      </c>
      <c r="G74" s="11">
        <f>Distances!K74</f>
        <v>0.59410535653577268</v>
      </c>
      <c r="H74" s="6" t="s">
        <v>23</v>
      </c>
      <c r="I74" s="11">
        <f>Distances!G74</f>
        <v>1.1352849989864833</v>
      </c>
      <c r="J74" s="6" t="s">
        <v>15</v>
      </c>
      <c r="K74" s="11">
        <f>Distances!C74</f>
        <v>1.2872354585210508</v>
      </c>
      <c r="L74" s="6" t="s">
        <v>19</v>
      </c>
      <c r="M74" s="11">
        <f>Distances!E74</f>
        <v>1.3588391604662096</v>
      </c>
      <c r="N74" s="6" t="s">
        <v>29</v>
      </c>
      <c r="O74" s="11">
        <f>Distances!I74</f>
        <v>1.5388239782209072</v>
      </c>
      <c r="P74" s="6" t="s">
        <v>26</v>
      </c>
      <c r="Q74" s="11">
        <f>Distances!H74</f>
        <v>1.8170871014554231</v>
      </c>
      <c r="R74" s="6" t="s">
        <v>13</v>
      </c>
      <c r="S74" s="11">
        <f>Distances!B74</f>
        <v>1.9547221497538689</v>
      </c>
    </row>
    <row r="75" spans="1:19" ht="25.05" customHeight="1">
      <c r="A75" s="8" t="s">
        <v>33</v>
      </c>
      <c r="B75" s="8" t="s">
        <v>32</v>
      </c>
      <c r="C75" s="13">
        <f>Distances!J75</f>
        <v>0.59410535653577268</v>
      </c>
      <c r="D75" s="8" t="s">
        <v>21</v>
      </c>
      <c r="E75" s="13">
        <f>Distances!F75</f>
        <v>0.6054322349259017</v>
      </c>
      <c r="F75" s="8" t="s">
        <v>17</v>
      </c>
      <c r="G75" s="13">
        <f>Distances!D75</f>
        <v>0.87379830247893631</v>
      </c>
      <c r="H75" s="8" t="s">
        <v>23</v>
      </c>
      <c r="I75" s="13">
        <f>Distances!G75</f>
        <v>1.1792687375104378</v>
      </c>
      <c r="J75" s="8" t="s">
        <v>15</v>
      </c>
      <c r="K75" s="13">
        <f>Distances!C75</f>
        <v>1.3978689800485402</v>
      </c>
      <c r="L75" s="8" t="s">
        <v>19</v>
      </c>
      <c r="M75" s="13">
        <f>Distances!E75</f>
        <v>1.5129652437497245</v>
      </c>
      <c r="N75" s="8" t="s">
        <v>29</v>
      </c>
      <c r="O75" s="13">
        <f>Distances!I75</f>
        <v>1.6116370209013144</v>
      </c>
      <c r="P75" s="8" t="s">
        <v>26</v>
      </c>
      <c r="Q75" s="13">
        <f>Distances!H75</f>
        <v>1.828737171460993</v>
      </c>
      <c r="R75" s="8" t="s">
        <v>13</v>
      </c>
      <c r="S75" s="13">
        <f>Distances!B75</f>
        <v>2.0180401022078249</v>
      </c>
    </row>
    <row r="76" spans="1:19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 spans="1:19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 spans="1:19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 spans="1:19" ht="30" customHeight="1">
      <c r="A79" s="35" t="s">
        <v>45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</row>
    <row r="80" spans="1:19" ht="43.95" customHeight="1">
      <c r="A80" s="2" t="s">
        <v>3</v>
      </c>
      <c r="B80" s="2" t="s">
        <v>49</v>
      </c>
      <c r="C80" s="2" t="s">
        <v>50</v>
      </c>
      <c r="D80" s="2" t="s">
        <v>51</v>
      </c>
      <c r="E80" s="2" t="s">
        <v>52</v>
      </c>
      <c r="F80" s="2" t="s">
        <v>53</v>
      </c>
      <c r="G80" s="2" t="s">
        <v>54</v>
      </c>
      <c r="H80" s="2" t="s">
        <v>55</v>
      </c>
      <c r="I80" s="2" t="s">
        <v>56</v>
      </c>
      <c r="J80" s="2" t="s">
        <v>57</v>
      </c>
      <c r="K80" s="2" t="s">
        <v>58</v>
      </c>
      <c r="L80" s="2" t="s">
        <v>59</v>
      </c>
      <c r="M80" s="2" t="s">
        <v>60</v>
      </c>
      <c r="N80" s="2" t="s">
        <v>61</v>
      </c>
      <c r="O80" s="2" t="s">
        <v>62</v>
      </c>
      <c r="P80" s="2" t="s">
        <v>63</v>
      </c>
      <c r="Q80" s="2" t="s">
        <v>64</v>
      </c>
      <c r="R80" s="2" t="s">
        <v>65</v>
      </c>
      <c r="S80" s="2" t="s">
        <v>66</v>
      </c>
    </row>
    <row r="81" spans="1:19" ht="25.05" customHeight="1">
      <c r="A81" s="6" t="s">
        <v>13</v>
      </c>
      <c r="B81" s="6" t="s">
        <v>15</v>
      </c>
      <c r="C81" s="11">
        <f>Distances!C81</f>
        <v>0.53571428571428559</v>
      </c>
      <c r="D81" s="6" t="s">
        <v>23</v>
      </c>
      <c r="E81" s="11">
        <f>Distances!G81</f>
        <v>0.57281553398058249</v>
      </c>
      <c r="F81" s="6" t="s">
        <v>19</v>
      </c>
      <c r="G81" s="11">
        <f>Distances!E81</f>
        <v>0.6</v>
      </c>
      <c r="H81" s="6" t="s">
        <v>17</v>
      </c>
      <c r="I81" s="11">
        <f>Distances!D81</f>
        <v>0.8688524590163933</v>
      </c>
      <c r="J81" s="6" t="s">
        <v>29</v>
      </c>
      <c r="K81" s="11">
        <f>Distances!I81</f>
        <v>0.92500000000000004</v>
      </c>
      <c r="L81" s="6" t="s">
        <v>21</v>
      </c>
      <c r="M81" s="11">
        <f>Distances!F81</f>
        <v>0.95145631067961167</v>
      </c>
      <c r="N81" s="6" t="s">
        <v>32</v>
      </c>
      <c r="O81" s="11">
        <f>Distances!J81</f>
        <v>0.98305084745762716</v>
      </c>
      <c r="P81" s="6" t="s">
        <v>26</v>
      </c>
      <c r="Q81" s="11">
        <f>Distances!H81</f>
        <v>1</v>
      </c>
      <c r="R81" s="6" t="s">
        <v>33</v>
      </c>
      <c r="S81" s="11">
        <f>Distances!K81</f>
        <v>1</v>
      </c>
    </row>
    <row r="82" spans="1:19" ht="25.05" customHeight="1">
      <c r="A82" s="7" t="s">
        <v>15</v>
      </c>
      <c r="B82" s="7" t="s">
        <v>23</v>
      </c>
      <c r="C82" s="12">
        <f>Distances!G82</f>
        <v>0.33898305084745761</v>
      </c>
      <c r="D82" s="7" t="s">
        <v>19</v>
      </c>
      <c r="E82" s="12">
        <f>Distances!E82</f>
        <v>0.33928571428571397</v>
      </c>
      <c r="F82" s="7" t="s">
        <v>29</v>
      </c>
      <c r="G82" s="12">
        <f>Distances!I82</f>
        <v>0.45</v>
      </c>
      <c r="H82" s="7" t="s">
        <v>17</v>
      </c>
      <c r="I82" s="12">
        <f>Distances!D82</f>
        <v>0.52542372881355937</v>
      </c>
      <c r="J82" s="7" t="s">
        <v>13</v>
      </c>
      <c r="K82" s="12">
        <f>Distances!B82</f>
        <v>0.53571428571428559</v>
      </c>
      <c r="L82" s="7" t="s">
        <v>26</v>
      </c>
      <c r="M82" s="12">
        <f>Distances!H82</f>
        <v>0.57377049180327855</v>
      </c>
      <c r="N82" s="7" t="s">
        <v>21</v>
      </c>
      <c r="O82" s="12">
        <f>Distances!F82</f>
        <v>0.72881355932203395</v>
      </c>
      <c r="P82" s="7" t="s">
        <v>32</v>
      </c>
      <c r="Q82" s="12">
        <f>Distances!J82</f>
        <v>0.81355932203389836</v>
      </c>
      <c r="R82" s="7" t="s">
        <v>33</v>
      </c>
      <c r="S82" s="12">
        <f>Distances!K82</f>
        <v>0.83050847457627119</v>
      </c>
    </row>
    <row r="83" spans="1:19" ht="25.05" customHeight="1">
      <c r="A83" s="6" t="s">
        <v>17</v>
      </c>
      <c r="B83" s="6" t="s">
        <v>21</v>
      </c>
      <c r="C83" s="11">
        <f>Distances!F83</f>
        <v>0.27184466019417475</v>
      </c>
      <c r="D83" s="6" t="s">
        <v>32</v>
      </c>
      <c r="E83" s="11">
        <f>Distances!J83</f>
        <v>0.28813559322033899</v>
      </c>
      <c r="F83" s="6" t="s">
        <v>15</v>
      </c>
      <c r="G83" s="11">
        <f>Distances!C83</f>
        <v>0.52542372881355937</v>
      </c>
      <c r="H83" s="6" t="s">
        <v>33</v>
      </c>
      <c r="I83" s="11">
        <f>Distances!K83</f>
        <v>0.59016393442622961</v>
      </c>
      <c r="J83" s="6" t="s">
        <v>19</v>
      </c>
      <c r="K83" s="11">
        <f>Distances!E83</f>
        <v>0.67073170731707321</v>
      </c>
      <c r="L83" s="6" t="s">
        <v>23</v>
      </c>
      <c r="M83" s="11">
        <f>Distances!G83</f>
        <v>0.70491803278688514</v>
      </c>
      <c r="N83" s="6" t="s">
        <v>29</v>
      </c>
      <c r="O83" s="11">
        <f>Distances!I83</f>
        <v>0.7213114754098362</v>
      </c>
      <c r="P83" s="6" t="s">
        <v>13</v>
      </c>
      <c r="Q83" s="11">
        <f>Distances!B83</f>
        <v>0.8688524590163933</v>
      </c>
      <c r="R83" s="6" t="s">
        <v>26</v>
      </c>
      <c r="S83" s="11">
        <f>Distances!H83</f>
        <v>1</v>
      </c>
    </row>
    <row r="84" spans="1:19" ht="25.05" customHeight="1">
      <c r="A84" s="7" t="s">
        <v>19</v>
      </c>
      <c r="B84" s="7" t="s">
        <v>23</v>
      </c>
      <c r="C84" s="12">
        <f>Distances!G84</f>
        <v>0.19512195121951242</v>
      </c>
      <c r="D84" s="7" t="s">
        <v>29</v>
      </c>
      <c r="E84" s="12">
        <f>Distances!I84</f>
        <v>0.32500000000000001</v>
      </c>
      <c r="F84" s="7" t="s">
        <v>15</v>
      </c>
      <c r="G84" s="12">
        <f>Distances!C84</f>
        <v>0.33928571428571397</v>
      </c>
      <c r="H84" s="7" t="s">
        <v>26</v>
      </c>
      <c r="I84" s="12">
        <f>Distances!H84</f>
        <v>0.47540983606557374</v>
      </c>
      <c r="J84" s="7" t="s">
        <v>13</v>
      </c>
      <c r="K84" s="12">
        <f>Distances!B84</f>
        <v>0.6</v>
      </c>
      <c r="L84" s="7" t="s">
        <v>17</v>
      </c>
      <c r="M84" s="12">
        <f>Distances!D84</f>
        <v>0.67073170731707321</v>
      </c>
      <c r="N84" s="7" t="s">
        <v>32</v>
      </c>
      <c r="O84" s="12">
        <f>Distances!J84</f>
        <v>0.82926829268292701</v>
      </c>
      <c r="P84" s="7" t="s">
        <v>21</v>
      </c>
      <c r="Q84" s="12">
        <f>Distances!F84</f>
        <v>0.86585365853658558</v>
      </c>
      <c r="R84" s="7" t="s">
        <v>33</v>
      </c>
      <c r="S84" s="12">
        <f>Distances!K84</f>
        <v>0.90243902439024426</v>
      </c>
    </row>
    <row r="85" spans="1:19" ht="25.05" customHeight="1">
      <c r="A85" s="6" t="s">
        <v>21</v>
      </c>
      <c r="B85" s="6" t="s">
        <v>32</v>
      </c>
      <c r="C85" s="11">
        <f>Distances!J85</f>
        <v>0.125</v>
      </c>
      <c r="D85" s="6" t="s">
        <v>17</v>
      </c>
      <c r="E85" s="11">
        <f>Distances!D85</f>
        <v>0.27184466019417475</v>
      </c>
      <c r="F85" s="6" t="s">
        <v>33</v>
      </c>
      <c r="G85" s="11">
        <f>Distances!K85</f>
        <v>0.50819672131147553</v>
      </c>
      <c r="H85" s="6" t="s">
        <v>23</v>
      </c>
      <c r="I85" s="11">
        <f>Distances!G85</f>
        <v>0.6707317073170731</v>
      </c>
      <c r="J85" s="6" t="s">
        <v>15</v>
      </c>
      <c r="K85" s="11">
        <f>Distances!C85</f>
        <v>0.72881355932203395</v>
      </c>
      <c r="L85" s="6" t="s">
        <v>19</v>
      </c>
      <c r="M85" s="11">
        <f>Distances!E85</f>
        <v>0.86585365853658558</v>
      </c>
      <c r="N85" s="6" t="s">
        <v>29</v>
      </c>
      <c r="O85" s="11">
        <f>Distances!I85</f>
        <v>0.91463414634146345</v>
      </c>
      <c r="P85" s="6" t="s">
        <v>13</v>
      </c>
      <c r="Q85" s="11">
        <f>Distances!B85</f>
        <v>0.95145631067961167</v>
      </c>
      <c r="R85" s="6" t="s">
        <v>26</v>
      </c>
      <c r="S85" s="11">
        <f>Distances!H85</f>
        <v>0.96341463414634132</v>
      </c>
    </row>
    <row r="86" spans="1:19" ht="25.05" customHeight="1">
      <c r="A86" s="7" t="s">
        <v>23</v>
      </c>
      <c r="B86" s="7" t="s">
        <v>19</v>
      </c>
      <c r="C86" s="12">
        <f>Distances!E86</f>
        <v>0.19512195121951242</v>
      </c>
      <c r="D86" s="7" t="s">
        <v>15</v>
      </c>
      <c r="E86" s="12">
        <f>Distances!C86</f>
        <v>0.33898305084745761</v>
      </c>
      <c r="F86" s="7" t="s">
        <v>29</v>
      </c>
      <c r="G86" s="12">
        <f>Distances!I86</f>
        <v>0.375</v>
      </c>
      <c r="H86" s="7" t="s">
        <v>26</v>
      </c>
      <c r="I86" s="12">
        <f>Distances!H86</f>
        <v>0.45</v>
      </c>
      <c r="J86" s="7" t="s">
        <v>13</v>
      </c>
      <c r="K86" s="12">
        <f>Distances!B86</f>
        <v>0.57281553398058249</v>
      </c>
      <c r="L86" s="7" t="s">
        <v>32</v>
      </c>
      <c r="M86" s="12">
        <f>Distances!J86</f>
        <v>0.63414634146341453</v>
      </c>
      <c r="N86" s="7" t="s">
        <v>21</v>
      </c>
      <c r="O86" s="12">
        <f>Distances!F86</f>
        <v>0.6707317073170731</v>
      </c>
      <c r="P86" s="7" t="s">
        <v>17</v>
      </c>
      <c r="Q86" s="12">
        <f>Distances!D86</f>
        <v>0.70491803278688514</v>
      </c>
      <c r="R86" s="7" t="s">
        <v>33</v>
      </c>
      <c r="S86" s="12">
        <f>Distances!K86</f>
        <v>0.70731707317073189</v>
      </c>
    </row>
    <row r="87" spans="1:19" ht="25.05" customHeight="1">
      <c r="A87" s="6" t="s">
        <v>26</v>
      </c>
      <c r="B87" s="6" t="s">
        <v>29</v>
      </c>
      <c r="C87" s="11">
        <f>Distances!I87</f>
        <v>0.27868852459016374</v>
      </c>
      <c r="D87" s="6" t="s">
        <v>23</v>
      </c>
      <c r="E87" s="11">
        <f>Distances!G87</f>
        <v>0.45</v>
      </c>
      <c r="F87" s="6" t="s">
        <v>19</v>
      </c>
      <c r="G87" s="11">
        <f>Distances!E87</f>
        <v>0.47540983606557374</v>
      </c>
      <c r="H87" s="6" t="s">
        <v>15</v>
      </c>
      <c r="I87" s="11">
        <f>Distances!C87</f>
        <v>0.57377049180327855</v>
      </c>
      <c r="J87" s="6" t="s">
        <v>32</v>
      </c>
      <c r="K87" s="11">
        <f>Distances!J87</f>
        <v>0.92682926829268275</v>
      </c>
      <c r="L87" s="6" t="s">
        <v>21</v>
      </c>
      <c r="M87" s="11">
        <f>Distances!F87</f>
        <v>0.96341463414634132</v>
      </c>
      <c r="N87" s="6" t="s">
        <v>13</v>
      </c>
      <c r="O87" s="11">
        <f>Distances!B87</f>
        <v>1</v>
      </c>
      <c r="P87" s="6" t="s">
        <v>17</v>
      </c>
      <c r="Q87" s="11">
        <f>Distances!D87</f>
        <v>1</v>
      </c>
      <c r="R87" s="6" t="s">
        <v>33</v>
      </c>
      <c r="S87" s="11">
        <f>Distances!K87</f>
        <v>1</v>
      </c>
    </row>
    <row r="88" spans="1:19" ht="25.05" customHeight="1">
      <c r="A88" s="7" t="s">
        <v>29</v>
      </c>
      <c r="B88" s="7" t="s">
        <v>26</v>
      </c>
      <c r="C88" s="12">
        <f>Distances!H88</f>
        <v>0.27868852459016374</v>
      </c>
      <c r="D88" s="7" t="s">
        <v>19</v>
      </c>
      <c r="E88" s="12">
        <f>Distances!E88</f>
        <v>0.32500000000000001</v>
      </c>
      <c r="F88" s="7" t="s">
        <v>23</v>
      </c>
      <c r="G88" s="12">
        <f>Distances!G88</f>
        <v>0.375</v>
      </c>
      <c r="H88" s="7" t="s">
        <v>15</v>
      </c>
      <c r="I88" s="12">
        <f>Distances!C88</f>
        <v>0.45</v>
      </c>
      <c r="J88" s="7" t="s">
        <v>17</v>
      </c>
      <c r="K88" s="12">
        <f>Distances!D88</f>
        <v>0.7213114754098362</v>
      </c>
      <c r="L88" s="7" t="s">
        <v>32</v>
      </c>
      <c r="M88" s="12">
        <f>Distances!J88</f>
        <v>0.87804878048780488</v>
      </c>
      <c r="N88" s="7" t="s">
        <v>21</v>
      </c>
      <c r="O88" s="12">
        <f>Distances!F88</f>
        <v>0.91463414634146345</v>
      </c>
      <c r="P88" s="7" t="s">
        <v>13</v>
      </c>
      <c r="Q88" s="12">
        <f>Distances!B88</f>
        <v>0.92500000000000004</v>
      </c>
      <c r="R88" s="7" t="s">
        <v>33</v>
      </c>
      <c r="S88" s="12">
        <f>Distances!K88</f>
        <v>0.95121951219512213</v>
      </c>
    </row>
    <row r="89" spans="1:19" ht="25.05" customHeight="1">
      <c r="A89" s="6" t="s">
        <v>32</v>
      </c>
      <c r="B89" s="6" t="s">
        <v>21</v>
      </c>
      <c r="C89" s="11">
        <f>Distances!F89</f>
        <v>0.125</v>
      </c>
      <c r="D89" s="6" t="s">
        <v>17</v>
      </c>
      <c r="E89" s="11">
        <f>Distances!D89</f>
        <v>0.28813559322033899</v>
      </c>
      <c r="F89" s="6" t="s">
        <v>33</v>
      </c>
      <c r="G89" s="11">
        <f>Distances!K89</f>
        <v>0.49180327868852447</v>
      </c>
      <c r="H89" s="6" t="s">
        <v>23</v>
      </c>
      <c r="I89" s="11">
        <f>Distances!G89</f>
        <v>0.63414634146341453</v>
      </c>
      <c r="J89" s="6" t="s">
        <v>15</v>
      </c>
      <c r="K89" s="11">
        <f>Distances!C89</f>
        <v>0.81355932203389836</v>
      </c>
      <c r="L89" s="6" t="s">
        <v>19</v>
      </c>
      <c r="M89" s="11">
        <f>Distances!E89</f>
        <v>0.82926829268292701</v>
      </c>
      <c r="N89" s="6" t="s">
        <v>29</v>
      </c>
      <c r="O89" s="11">
        <f>Distances!I89</f>
        <v>0.87804878048780488</v>
      </c>
      <c r="P89" s="6" t="s">
        <v>26</v>
      </c>
      <c r="Q89" s="11">
        <f>Distances!H89</f>
        <v>0.92682926829268275</v>
      </c>
      <c r="R89" s="6" t="s">
        <v>13</v>
      </c>
      <c r="S89" s="11">
        <f>Distances!B89</f>
        <v>0.98305084745762716</v>
      </c>
    </row>
    <row r="90" spans="1:19" ht="25.05" customHeight="1">
      <c r="A90" s="8" t="s">
        <v>33</v>
      </c>
      <c r="B90" s="8" t="s">
        <v>32</v>
      </c>
      <c r="C90" s="13">
        <f>Distances!J90</f>
        <v>0.49180327868852447</v>
      </c>
      <c r="D90" s="8" t="s">
        <v>21</v>
      </c>
      <c r="E90" s="13">
        <f>Distances!F90</f>
        <v>0.50819672131147553</v>
      </c>
      <c r="F90" s="8" t="s">
        <v>17</v>
      </c>
      <c r="G90" s="13">
        <f>Distances!D90</f>
        <v>0.59016393442622961</v>
      </c>
      <c r="H90" s="8" t="s">
        <v>23</v>
      </c>
      <c r="I90" s="13">
        <f>Distances!G90</f>
        <v>0.70731707317073189</v>
      </c>
      <c r="J90" s="8" t="s">
        <v>15</v>
      </c>
      <c r="K90" s="13">
        <f>Distances!C90</f>
        <v>0.83050847457627119</v>
      </c>
      <c r="L90" s="8" t="s">
        <v>19</v>
      </c>
      <c r="M90" s="13">
        <f>Distances!E90</f>
        <v>0.90243902439024426</v>
      </c>
      <c r="N90" s="8" t="s">
        <v>29</v>
      </c>
      <c r="O90" s="13">
        <f>Distances!I90</f>
        <v>0.95121951219512213</v>
      </c>
      <c r="P90" s="8" t="s">
        <v>13</v>
      </c>
      <c r="Q90" s="13">
        <f>Distances!B90</f>
        <v>1</v>
      </c>
      <c r="R90" s="8" t="s">
        <v>26</v>
      </c>
      <c r="S90" s="13">
        <f>Distances!H90</f>
        <v>1</v>
      </c>
    </row>
    <row r="91" spans="1:19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 spans="1:19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 spans="1:19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 spans="1:19" ht="30" customHeight="1">
      <c r="A94" s="35" t="s">
        <v>46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</row>
    <row r="95" spans="1:19" ht="43.95" customHeight="1">
      <c r="A95" s="2" t="s">
        <v>3</v>
      </c>
      <c r="B95" s="2" t="s">
        <v>49</v>
      </c>
      <c r="C95" s="2" t="s">
        <v>50</v>
      </c>
      <c r="D95" s="2" t="s">
        <v>51</v>
      </c>
      <c r="E95" s="2" t="s">
        <v>52</v>
      </c>
      <c r="F95" s="2" t="s">
        <v>53</v>
      </c>
      <c r="G95" s="2" t="s">
        <v>54</v>
      </c>
      <c r="H95" s="2" t="s">
        <v>55</v>
      </c>
      <c r="I95" s="2" t="s">
        <v>56</v>
      </c>
      <c r="J95" s="2" t="s">
        <v>57</v>
      </c>
      <c r="K95" s="2" t="s">
        <v>58</v>
      </c>
      <c r="L95" s="2" t="s">
        <v>59</v>
      </c>
      <c r="M95" s="2" t="s">
        <v>60</v>
      </c>
      <c r="N95" s="2" t="s">
        <v>61</v>
      </c>
      <c r="O95" s="2" t="s">
        <v>62</v>
      </c>
      <c r="P95" s="2" t="s">
        <v>63</v>
      </c>
      <c r="Q95" s="2" t="s">
        <v>64</v>
      </c>
      <c r="R95" s="2" t="s">
        <v>65</v>
      </c>
      <c r="S95" s="2" t="s">
        <v>66</v>
      </c>
    </row>
    <row r="96" spans="1:19" ht="25.05" customHeight="1">
      <c r="A96" s="6" t="s">
        <v>13</v>
      </c>
      <c r="B96" s="6" t="s">
        <v>29</v>
      </c>
      <c r="C96" s="11">
        <f>Distances!I96</f>
        <v>4.220465116279069</v>
      </c>
      <c r="D96" s="6" t="s">
        <v>19</v>
      </c>
      <c r="E96" s="11">
        <f>Distances!E96</f>
        <v>4.3294723294723294</v>
      </c>
      <c r="F96" s="6" t="s">
        <v>23</v>
      </c>
      <c r="G96" s="11">
        <f>Distances!G96</f>
        <v>4.4782114437286857</v>
      </c>
      <c r="H96" s="6" t="s">
        <v>33</v>
      </c>
      <c r="I96" s="11">
        <f>Distances!K96</f>
        <v>4.5985988475728563</v>
      </c>
      <c r="J96" s="6" t="s">
        <v>15</v>
      </c>
      <c r="K96" s="11">
        <f>Distances!C96</f>
        <v>4.6969581441560102</v>
      </c>
      <c r="L96" s="6" t="s">
        <v>32</v>
      </c>
      <c r="M96" s="11">
        <f>Distances!J96</f>
        <v>4.840061596778015</v>
      </c>
      <c r="N96" s="6" t="s">
        <v>21</v>
      </c>
      <c r="O96" s="11">
        <f>Distances!F96</f>
        <v>4.943937038476486</v>
      </c>
      <c r="P96" s="6" t="s">
        <v>17</v>
      </c>
      <c r="Q96" s="11">
        <f>Distances!D96</f>
        <v>5.0280233017819453</v>
      </c>
      <c r="R96" s="6" t="s">
        <v>26</v>
      </c>
      <c r="S96" s="11">
        <f>Distances!H96</f>
        <v>6</v>
      </c>
    </row>
    <row r="97" spans="1:19" ht="25.05" customHeight="1">
      <c r="A97" s="7" t="s">
        <v>15</v>
      </c>
      <c r="B97" s="7" t="s">
        <v>23</v>
      </c>
      <c r="C97" s="12">
        <f>Distances!G97</f>
        <v>1.5732499095429167</v>
      </c>
      <c r="D97" s="7" t="s">
        <v>19</v>
      </c>
      <c r="E97" s="12">
        <f>Distances!E97</f>
        <v>1.8962309732126812</v>
      </c>
      <c r="F97" s="7" t="s">
        <v>17</v>
      </c>
      <c r="G97" s="12">
        <f>Distances!D97</f>
        <v>1.916496034252462</v>
      </c>
      <c r="H97" s="7" t="s">
        <v>21</v>
      </c>
      <c r="I97" s="12">
        <f>Distances!F97</f>
        <v>2.1479532026495036</v>
      </c>
      <c r="J97" s="7" t="s">
        <v>32</v>
      </c>
      <c r="K97" s="12">
        <f>Distances!J97</f>
        <v>2.2151448751543628</v>
      </c>
      <c r="L97" s="7" t="s">
        <v>33</v>
      </c>
      <c r="M97" s="12">
        <f>Distances!K97</f>
        <v>2.4088467959328677</v>
      </c>
      <c r="N97" s="7" t="s">
        <v>29</v>
      </c>
      <c r="O97" s="12">
        <f>Distances!I97</f>
        <v>2.7981740481740491</v>
      </c>
      <c r="P97" s="7" t="s">
        <v>26</v>
      </c>
      <c r="Q97" s="12">
        <f>Distances!H97</f>
        <v>3.9205278152646574</v>
      </c>
      <c r="R97" s="7" t="s">
        <v>13</v>
      </c>
      <c r="S97" s="12">
        <f>Distances!B97</f>
        <v>4.6969581441560102</v>
      </c>
    </row>
    <row r="98" spans="1:19" ht="25.05" customHeight="1">
      <c r="A98" s="6" t="s">
        <v>17</v>
      </c>
      <c r="B98" s="6" t="s">
        <v>21</v>
      </c>
      <c r="C98" s="11">
        <f>Distances!F98</f>
        <v>0.58771202375212672</v>
      </c>
      <c r="D98" s="6" t="s">
        <v>32</v>
      </c>
      <c r="E98" s="11">
        <f>Distances!J98</f>
        <v>0.68856412264041622</v>
      </c>
      <c r="F98" s="6" t="s">
        <v>33</v>
      </c>
      <c r="G98" s="11">
        <f>Distances!K98</f>
        <v>1.3292712450580708</v>
      </c>
      <c r="H98" s="6" t="s">
        <v>23</v>
      </c>
      <c r="I98" s="11">
        <f>Distances!G98</f>
        <v>1.5209161480519047</v>
      </c>
      <c r="J98" s="6" t="s">
        <v>15</v>
      </c>
      <c r="K98" s="11">
        <f>Distances!C98</f>
        <v>1.916496034252462</v>
      </c>
      <c r="L98" s="6" t="s">
        <v>19</v>
      </c>
      <c r="M98" s="11">
        <f>Distances!E98</f>
        <v>2.2825586417157906</v>
      </c>
      <c r="N98" s="6" t="s">
        <v>29</v>
      </c>
      <c r="O98" s="11">
        <f>Distances!I98</f>
        <v>3.1501614878128548</v>
      </c>
      <c r="P98" s="6" t="s">
        <v>26</v>
      </c>
      <c r="Q98" s="11">
        <f>Distances!H98</f>
        <v>4.4033633996518642</v>
      </c>
      <c r="R98" s="6" t="s">
        <v>13</v>
      </c>
      <c r="S98" s="11">
        <f>Distances!B98</f>
        <v>5.0280233017819453</v>
      </c>
    </row>
    <row r="99" spans="1:19" ht="25.05" customHeight="1">
      <c r="A99" s="7" t="s">
        <v>19</v>
      </c>
      <c r="B99" s="7" t="s">
        <v>23</v>
      </c>
      <c r="C99" s="12">
        <f>Distances!G99</f>
        <v>1.4174415543013681</v>
      </c>
      <c r="D99" s="7" t="s">
        <v>29</v>
      </c>
      <c r="E99" s="12">
        <f>Distances!I99</f>
        <v>1.5724314369296386</v>
      </c>
      <c r="F99" s="7" t="s">
        <v>15</v>
      </c>
      <c r="G99" s="12">
        <f>Distances!C99</f>
        <v>1.8962309732126812</v>
      </c>
      <c r="H99" s="7" t="s">
        <v>17</v>
      </c>
      <c r="I99" s="12">
        <f>Distances!D99</f>
        <v>2.2825586417157906</v>
      </c>
      <c r="J99" s="7" t="s">
        <v>21</v>
      </c>
      <c r="K99" s="12">
        <f>Distances!F99</f>
        <v>2.6733656111630069</v>
      </c>
      <c r="L99" s="7" t="s">
        <v>33</v>
      </c>
      <c r="M99" s="12">
        <f>Distances!K99</f>
        <v>2.7102453058678031</v>
      </c>
      <c r="N99" s="7" t="s">
        <v>32</v>
      </c>
      <c r="O99" s="12">
        <f>Distances!J99</f>
        <v>2.772266460417069</v>
      </c>
      <c r="P99" s="7" t="s">
        <v>26</v>
      </c>
      <c r="Q99" s="12">
        <f>Distances!H99</f>
        <v>3.3732876712328772</v>
      </c>
      <c r="R99" s="7" t="s">
        <v>13</v>
      </c>
      <c r="S99" s="12">
        <f>Distances!B99</f>
        <v>4.3294723294723294</v>
      </c>
    </row>
    <row r="100" spans="1:19" ht="25.05" customHeight="1">
      <c r="A100" s="6" t="s">
        <v>21</v>
      </c>
      <c r="B100" s="6" t="s">
        <v>32</v>
      </c>
      <c r="C100" s="11">
        <f>Distances!J100</f>
        <v>0.21850053476654585</v>
      </c>
      <c r="D100" s="6" t="s">
        <v>17</v>
      </c>
      <c r="E100" s="11">
        <f>Distances!D100</f>
        <v>0.58771202375212672</v>
      </c>
      <c r="F100" s="6" t="s">
        <v>33</v>
      </c>
      <c r="G100" s="11">
        <f>Distances!K100</f>
        <v>0.75443581547509464</v>
      </c>
      <c r="H100" s="6" t="s">
        <v>23</v>
      </c>
      <c r="I100" s="11">
        <f>Distances!G100</f>
        <v>1.9955908182461175</v>
      </c>
      <c r="J100" s="6" t="s">
        <v>15</v>
      </c>
      <c r="K100" s="11">
        <f>Distances!C100</f>
        <v>2.1479532026495036</v>
      </c>
      <c r="L100" s="6" t="s">
        <v>19</v>
      </c>
      <c r="M100" s="11">
        <f>Distances!E100</f>
        <v>2.6733656111630069</v>
      </c>
      <c r="N100" s="6" t="s">
        <v>29</v>
      </c>
      <c r="O100" s="11">
        <f>Distances!I100</f>
        <v>3.4776031098845559</v>
      </c>
      <c r="P100" s="6" t="s">
        <v>26</v>
      </c>
      <c r="Q100" s="11">
        <f>Distances!H100</f>
        <v>4.6619780219780225</v>
      </c>
      <c r="R100" s="6" t="s">
        <v>13</v>
      </c>
      <c r="S100" s="11">
        <f>Distances!B100</f>
        <v>4.943937038476486</v>
      </c>
    </row>
    <row r="101" spans="1:19" ht="25.05" customHeight="1">
      <c r="A101" s="7" t="s">
        <v>23</v>
      </c>
      <c r="B101" s="7" t="s">
        <v>19</v>
      </c>
      <c r="C101" s="12">
        <f>Distances!E101</f>
        <v>1.4174415543013681</v>
      </c>
      <c r="D101" s="7" t="s">
        <v>17</v>
      </c>
      <c r="E101" s="12">
        <f>Distances!D101</f>
        <v>1.5209161480519047</v>
      </c>
      <c r="F101" s="7" t="s">
        <v>15</v>
      </c>
      <c r="G101" s="12">
        <f>Distances!C101</f>
        <v>1.5732499095429167</v>
      </c>
      <c r="H101" s="7" t="s">
        <v>29</v>
      </c>
      <c r="I101" s="12">
        <f>Distances!I101</f>
        <v>1.9505572441742667</v>
      </c>
      <c r="J101" s="7" t="s">
        <v>33</v>
      </c>
      <c r="K101" s="12">
        <f>Distances!K101</f>
        <v>1.9793449027892722</v>
      </c>
      <c r="L101" s="7" t="s">
        <v>21</v>
      </c>
      <c r="M101" s="12">
        <f>Distances!F101</f>
        <v>1.9955908182461175</v>
      </c>
      <c r="N101" s="7" t="s">
        <v>32</v>
      </c>
      <c r="O101" s="12">
        <f>Distances!J101</f>
        <v>2.0863312834326755</v>
      </c>
      <c r="P101" s="7" t="s">
        <v>26</v>
      </c>
      <c r="Q101" s="12">
        <f>Distances!H101</f>
        <v>3.9732990413841476</v>
      </c>
      <c r="R101" s="7" t="s">
        <v>13</v>
      </c>
      <c r="S101" s="12">
        <f>Distances!B101</f>
        <v>4.4782114437286857</v>
      </c>
    </row>
    <row r="102" spans="1:19" ht="25.05" customHeight="1">
      <c r="A102" s="6" t="s">
        <v>26</v>
      </c>
      <c r="B102" s="6" t="s">
        <v>19</v>
      </c>
      <c r="C102" s="11">
        <f>Distances!E102</f>
        <v>3.3732876712328772</v>
      </c>
      <c r="D102" s="6" t="s">
        <v>29</v>
      </c>
      <c r="E102" s="11">
        <f>Distances!I102</f>
        <v>3.5040784449843807</v>
      </c>
      <c r="F102" s="6" t="s">
        <v>15</v>
      </c>
      <c r="G102" s="11">
        <f>Distances!C102</f>
        <v>3.9205278152646574</v>
      </c>
      <c r="H102" s="6" t="s">
        <v>23</v>
      </c>
      <c r="I102" s="11">
        <f>Distances!G102</f>
        <v>3.9732990413841476</v>
      </c>
      <c r="J102" s="6" t="s">
        <v>17</v>
      </c>
      <c r="K102" s="11">
        <f>Distances!D102</f>
        <v>4.4033633996518642</v>
      </c>
      <c r="L102" s="6" t="s">
        <v>21</v>
      </c>
      <c r="M102" s="11">
        <f>Distances!F102</f>
        <v>4.6619780219780225</v>
      </c>
      <c r="N102" s="6" t="s">
        <v>32</v>
      </c>
      <c r="O102" s="11">
        <f>Distances!J102</f>
        <v>4.675138324941801</v>
      </c>
      <c r="P102" s="6" t="s">
        <v>33</v>
      </c>
      <c r="Q102" s="11">
        <f>Distances!K102</f>
        <v>4.8016344279502174</v>
      </c>
      <c r="R102" s="6" t="s">
        <v>13</v>
      </c>
      <c r="S102" s="11">
        <f>Distances!B102</f>
        <v>6</v>
      </c>
    </row>
    <row r="103" spans="1:19" ht="25.05" customHeight="1">
      <c r="A103" s="7" t="s">
        <v>29</v>
      </c>
      <c r="B103" s="7" t="s">
        <v>19</v>
      </c>
      <c r="C103" s="12">
        <f>Distances!E103</f>
        <v>1.5724314369296386</v>
      </c>
      <c r="D103" s="7" t="s">
        <v>23</v>
      </c>
      <c r="E103" s="12">
        <f>Distances!G103</f>
        <v>1.9505572441742667</v>
      </c>
      <c r="F103" s="7" t="s">
        <v>15</v>
      </c>
      <c r="G103" s="12">
        <f>Distances!C103</f>
        <v>2.7981740481740491</v>
      </c>
      <c r="H103" s="7" t="s">
        <v>17</v>
      </c>
      <c r="I103" s="12">
        <f>Distances!D103</f>
        <v>3.1501614878128548</v>
      </c>
      <c r="J103" s="7" t="s">
        <v>33</v>
      </c>
      <c r="K103" s="12">
        <f>Distances!K103</f>
        <v>3.3623582536039107</v>
      </c>
      <c r="L103" s="7" t="s">
        <v>21</v>
      </c>
      <c r="M103" s="12">
        <f>Distances!F103</f>
        <v>3.4776031098845559</v>
      </c>
      <c r="N103" s="7" t="s">
        <v>26</v>
      </c>
      <c r="O103" s="12">
        <f>Distances!H103</f>
        <v>3.5040784449843807</v>
      </c>
      <c r="P103" s="7" t="s">
        <v>32</v>
      </c>
      <c r="Q103" s="12">
        <f>Distances!J103</f>
        <v>3.5203043631796107</v>
      </c>
      <c r="R103" s="7" t="s">
        <v>13</v>
      </c>
      <c r="S103" s="12">
        <f>Distances!B103</f>
        <v>4.220465116279069</v>
      </c>
    </row>
    <row r="104" spans="1:19" ht="25.05" customHeight="1">
      <c r="A104" s="6" t="s">
        <v>32</v>
      </c>
      <c r="B104" s="6" t="s">
        <v>21</v>
      </c>
      <c r="C104" s="11">
        <f>Distances!F104</f>
        <v>0.21850053476654585</v>
      </c>
      <c r="D104" s="6" t="s">
        <v>33</v>
      </c>
      <c r="E104" s="11">
        <f>Distances!K104</f>
        <v>0.65099485217327802</v>
      </c>
      <c r="F104" s="6" t="s">
        <v>17</v>
      </c>
      <c r="G104" s="11">
        <f>Distances!D104</f>
        <v>0.68856412264041622</v>
      </c>
      <c r="H104" s="6" t="s">
        <v>23</v>
      </c>
      <c r="I104" s="11">
        <f>Distances!G104</f>
        <v>2.0863312834326755</v>
      </c>
      <c r="J104" s="6" t="s">
        <v>15</v>
      </c>
      <c r="K104" s="11">
        <f>Distances!C104</f>
        <v>2.2151448751543628</v>
      </c>
      <c r="L104" s="6" t="s">
        <v>19</v>
      </c>
      <c r="M104" s="11">
        <f>Distances!E104</f>
        <v>2.772266460417069</v>
      </c>
      <c r="N104" s="6" t="s">
        <v>29</v>
      </c>
      <c r="O104" s="11">
        <f>Distances!I104</f>
        <v>3.5203043631796107</v>
      </c>
      <c r="P104" s="6" t="s">
        <v>26</v>
      </c>
      <c r="Q104" s="11">
        <f>Distances!H104</f>
        <v>4.675138324941801</v>
      </c>
      <c r="R104" s="6" t="s">
        <v>13</v>
      </c>
      <c r="S104" s="11">
        <f>Distances!B104</f>
        <v>4.840061596778015</v>
      </c>
    </row>
    <row r="105" spans="1:19" ht="25.05" customHeight="1">
      <c r="A105" s="8" t="s">
        <v>33</v>
      </c>
      <c r="B105" s="8" t="s">
        <v>32</v>
      </c>
      <c r="C105" s="13">
        <f>Distances!J105</f>
        <v>0.65099485217327802</v>
      </c>
      <c r="D105" s="8" t="s">
        <v>21</v>
      </c>
      <c r="E105" s="13">
        <f>Distances!F105</f>
        <v>0.75443581547509464</v>
      </c>
      <c r="F105" s="8" t="s">
        <v>17</v>
      </c>
      <c r="G105" s="13">
        <f>Distances!D105</f>
        <v>1.3292712450580708</v>
      </c>
      <c r="H105" s="8" t="s">
        <v>23</v>
      </c>
      <c r="I105" s="13">
        <f>Distances!G105</f>
        <v>1.9793449027892722</v>
      </c>
      <c r="J105" s="8" t="s">
        <v>15</v>
      </c>
      <c r="K105" s="13">
        <f>Distances!C105</f>
        <v>2.4088467959328677</v>
      </c>
      <c r="L105" s="8" t="s">
        <v>19</v>
      </c>
      <c r="M105" s="13">
        <f>Distances!E105</f>
        <v>2.7102453058678031</v>
      </c>
      <c r="N105" s="8" t="s">
        <v>29</v>
      </c>
      <c r="O105" s="13">
        <f>Distances!I105</f>
        <v>3.3623582536039107</v>
      </c>
      <c r="P105" s="8" t="s">
        <v>13</v>
      </c>
      <c r="Q105" s="13">
        <f>Distances!B105</f>
        <v>4.5985988475728563</v>
      </c>
      <c r="R105" s="8" t="s">
        <v>26</v>
      </c>
      <c r="S105" s="13">
        <f>Distances!H105</f>
        <v>4.8016344279502174</v>
      </c>
    </row>
    <row r="106" spans="1:19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 spans="1:19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 spans="1:19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 spans="1:19" ht="30" customHeight="1">
      <c r="A109" s="35" t="s">
        <v>47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</row>
    <row r="110" spans="1:19" ht="43.95" customHeight="1">
      <c r="A110" s="2" t="s">
        <v>3</v>
      </c>
      <c r="B110" s="2" t="s">
        <v>49</v>
      </c>
      <c r="C110" s="2" t="s">
        <v>50</v>
      </c>
      <c r="D110" s="2" t="s">
        <v>51</v>
      </c>
      <c r="E110" s="2" t="s">
        <v>52</v>
      </c>
      <c r="F110" s="2" t="s">
        <v>53</v>
      </c>
      <c r="G110" s="2" t="s">
        <v>54</v>
      </c>
      <c r="H110" s="2" t="s">
        <v>55</v>
      </c>
      <c r="I110" s="2" t="s">
        <v>56</v>
      </c>
      <c r="J110" s="2" t="s">
        <v>57</v>
      </c>
      <c r="K110" s="2" t="s">
        <v>58</v>
      </c>
      <c r="L110" s="2" t="s">
        <v>59</v>
      </c>
      <c r="M110" s="2" t="s">
        <v>60</v>
      </c>
      <c r="N110" s="2" t="s">
        <v>61</v>
      </c>
      <c r="O110" s="2" t="s">
        <v>62</v>
      </c>
      <c r="P110" s="2" t="s">
        <v>63</v>
      </c>
      <c r="Q110" s="2" t="s">
        <v>64</v>
      </c>
      <c r="R110" s="2" t="s">
        <v>65</v>
      </c>
      <c r="S110" s="2" t="s">
        <v>66</v>
      </c>
    </row>
    <row r="111" spans="1:19" ht="25.05" customHeight="1">
      <c r="A111" s="6" t="s">
        <v>13</v>
      </c>
      <c r="B111" s="6" t="s">
        <v>26</v>
      </c>
      <c r="C111" s="11">
        <f>Distances!H111</f>
        <v>1.9394575193735948</v>
      </c>
      <c r="D111" s="6" t="s">
        <v>19</v>
      </c>
      <c r="E111" s="11">
        <f>Distances!E111</f>
        <v>1.9773601152171774</v>
      </c>
      <c r="F111" s="6" t="s">
        <v>29</v>
      </c>
      <c r="G111" s="11">
        <f>Distances!I111</f>
        <v>2.1208819178081133</v>
      </c>
      <c r="H111" s="6" t="s">
        <v>15</v>
      </c>
      <c r="I111" s="11">
        <f>Distances!C111</f>
        <v>2.1704252573401157</v>
      </c>
      <c r="J111" s="6" t="s">
        <v>23</v>
      </c>
      <c r="K111" s="11">
        <f>Distances!G111</f>
        <v>2.4141269755056678</v>
      </c>
      <c r="L111" s="6" t="s">
        <v>17</v>
      </c>
      <c r="M111" s="11">
        <f>Distances!D111</f>
        <v>4.191462987432498</v>
      </c>
      <c r="N111" s="6" t="s">
        <v>33</v>
      </c>
      <c r="O111" s="11">
        <f>Distances!K111</f>
        <v>4.5299080367852858</v>
      </c>
      <c r="P111" s="6" t="s">
        <v>32</v>
      </c>
      <c r="Q111" s="11">
        <f>Distances!J111</f>
        <v>4.5963279083392381</v>
      </c>
      <c r="R111" s="6" t="s">
        <v>21</v>
      </c>
      <c r="S111" s="11">
        <f>Distances!F111</f>
        <v>4.7334236448113343</v>
      </c>
    </row>
    <row r="112" spans="1:19" ht="25.05" customHeight="1">
      <c r="A112" s="7" t="s">
        <v>15</v>
      </c>
      <c r="B112" s="7" t="s">
        <v>19</v>
      </c>
      <c r="C112" s="12">
        <f>Distances!E112</f>
        <v>1.1944227198751189</v>
      </c>
      <c r="D112" s="7" t="s">
        <v>23</v>
      </c>
      <c r="E112" s="12">
        <f>Distances!G112</f>
        <v>1.2444585582866452</v>
      </c>
      <c r="F112" s="7" t="s">
        <v>29</v>
      </c>
      <c r="G112" s="12">
        <f>Distances!I112</f>
        <v>1.6860909781694884</v>
      </c>
      <c r="H112" s="7" t="s">
        <v>26</v>
      </c>
      <c r="I112" s="12">
        <f>Distances!H112</f>
        <v>2.0140342612337983</v>
      </c>
      <c r="J112" s="7" t="s">
        <v>17</v>
      </c>
      <c r="K112" s="12">
        <f>Distances!D112</f>
        <v>2.0210377300923819</v>
      </c>
      <c r="L112" s="7" t="s">
        <v>13</v>
      </c>
      <c r="M112" s="12">
        <f>Distances!B112</f>
        <v>2.1704252573401157</v>
      </c>
      <c r="N112" s="7" t="s">
        <v>21</v>
      </c>
      <c r="O112" s="12">
        <f>Distances!F112</f>
        <v>2.6129983874712184</v>
      </c>
      <c r="P112" s="7" t="s">
        <v>32</v>
      </c>
      <c r="Q112" s="12">
        <f>Distances!J112</f>
        <v>2.7259026509991222</v>
      </c>
      <c r="R112" s="7" t="s">
        <v>33</v>
      </c>
      <c r="S112" s="12">
        <f>Distances!K112</f>
        <v>3.037351631904186</v>
      </c>
    </row>
    <row r="113" spans="1:19" ht="25.05" customHeight="1">
      <c r="A113" s="6" t="s">
        <v>17</v>
      </c>
      <c r="B113" s="6" t="s">
        <v>21</v>
      </c>
      <c r="C113" s="11">
        <f>Distances!F113</f>
        <v>0.90589508360834459</v>
      </c>
      <c r="D113" s="6" t="s">
        <v>32</v>
      </c>
      <c r="E113" s="11">
        <f>Distances!J113</f>
        <v>1.0515862323821503</v>
      </c>
      <c r="F113" s="6" t="s">
        <v>23</v>
      </c>
      <c r="G113" s="11">
        <f>Distances!G113</f>
        <v>1.7773360119268304</v>
      </c>
      <c r="H113" s="6" t="s">
        <v>33</v>
      </c>
      <c r="I113" s="11">
        <f>Distances!K113</f>
        <v>2.0187729182052472</v>
      </c>
      <c r="J113" s="6" t="s">
        <v>15</v>
      </c>
      <c r="K113" s="11">
        <f>Distances!C113</f>
        <v>2.0210377300923819</v>
      </c>
      <c r="L113" s="6" t="s">
        <v>19</v>
      </c>
      <c r="M113" s="11">
        <f>Distances!E113</f>
        <v>2.3141028722153205</v>
      </c>
      <c r="N113" s="6" t="s">
        <v>29</v>
      </c>
      <c r="O113" s="11">
        <f>Distances!I113</f>
        <v>2.8205810696243843</v>
      </c>
      <c r="P113" s="6" t="s">
        <v>26</v>
      </c>
      <c r="Q113" s="11">
        <f>Distances!H113</f>
        <v>3.5118615256358723</v>
      </c>
      <c r="R113" s="6" t="s">
        <v>13</v>
      </c>
      <c r="S113" s="11">
        <f>Distances!B113</f>
        <v>4.191462987432498</v>
      </c>
    </row>
    <row r="114" spans="1:19" ht="25.05" customHeight="1">
      <c r="A114" s="7" t="s">
        <v>19</v>
      </c>
      <c r="B114" s="7" t="s">
        <v>29</v>
      </c>
      <c r="C114" s="12">
        <f>Distances!I114</f>
        <v>0.75103025552044378</v>
      </c>
      <c r="D114" s="7" t="s">
        <v>23</v>
      </c>
      <c r="E114" s="12">
        <f>Distances!G114</f>
        <v>0.89742259799340807</v>
      </c>
      <c r="F114" s="7" t="s">
        <v>15</v>
      </c>
      <c r="G114" s="12">
        <f>Distances!C114</f>
        <v>1.1944227198751189</v>
      </c>
      <c r="H114" s="7" t="s">
        <v>26</v>
      </c>
      <c r="I114" s="12">
        <f>Distances!H114</f>
        <v>1.1977586534205518</v>
      </c>
      <c r="J114" s="7" t="s">
        <v>13</v>
      </c>
      <c r="K114" s="12">
        <f>Distances!B114</f>
        <v>1.9773601152171774</v>
      </c>
      <c r="L114" s="7" t="s">
        <v>17</v>
      </c>
      <c r="M114" s="12">
        <f>Distances!D114</f>
        <v>2.3141028722153205</v>
      </c>
      <c r="N114" s="7" t="s">
        <v>21</v>
      </c>
      <c r="O114" s="12">
        <f>Distances!F114</f>
        <v>3.0560635295941569</v>
      </c>
      <c r="P114" s="7" t="s">
        <v>32</v>
      </c>
      <c r="Q114" s="12">
        <f>Distances!J114</f>
        <v>3.1689677931220608</v>
      </c>
      <c r="R114" s="7" t="s">
        <v>33</v>
      </c>
      <c r="S114" s="12">
        <f>Distances!K114</f>
        <v>3.283695462551715</v>
      </c>
    </row>
    <row r="115" spans="1:19" ht="25.05" customHeight="1">
      <c r="A115" s="6" t="s">
        <v>21</v>
      </c>
      <c r="B115" s="6" t="s">
        <v>32</v>
      </c>
      <c r="C115" s="11">
        <f>Distances!J115</f>
        <v>0.32600473762398041</v>
      </c>
      <c r="D115" s="6" t="s">
        <v>17</v>
      </c>
      <c r="E115" s="11">
        <f>Distances!D115</f>
        <v>0.90589508360834459</v>
      </c>
      <c r="F115" s="6" t="s">
        <v>33</v>
      </c>
      <c r="G115" s="11">
        <f>Distances!K115</f>
        <v>1.1128778345969024</v>
      </c>
      <c r="H115" s="6" t="s">
        <v>23</v>
      </c>
      <c r="I115" s="11">
        <f>Distances!G115</f>
        <v>2.5192966693056666</v>
      </c>
      <c r="J115" s="6" t="s">
        <v>15</v>
      </c>
      <c r="K115" s="11">
        <f>Distances!C115</f>
        <v>2.6129983874712184</v>
      </c>
      <c r="L115" s="6" t="s">
        <v>19</v>
      </c>
      <c r="M115" s="11">
        <f>Distances!E115</f>
        <v>3.0560635295941569</v>
      </c>
      <c r="N115" s="6" t="s">
        <v>29</v>
      </c>
      <c r="O115" s="11">
        <f>Distances!I115</f>
        <v>3.5625417270032216</v>
      </c>
      <c r="P115" s="6" t="s">
        <v>26</v>
      </c>
      <c r="Q115" s="11">
        <f>Distances!H115</f>
        <v>4.2538221830147087</v>
      </c>
      <c r="R115" s="6" t="s">
        <v>13</v>
      </c>
      <c r="S115" s="11">
        <f>Distances!B115</f>
        <v>4.7334236448113343</v>
      </c>
    </row>
    <row r="116" spans="1:19" ht="25.05" customHeight="1">
      <c r="A116" s="7" t="s">
        <v>23</v>
      </c>
      <c r="B116" s="7" t="s">
        <v>19</v>
      </c>
      <c r="C116" s="12">
        <f>Distances!E116</f>
        <v>0.89742259799340807</v>
      </c>
      <c r="D116" s="7" t="s">
        <v>29</v>
      </c>
      <c r="E116" s="12">
        <f>Distances!I116</f>
        <v>1.0432450576975543</v>
      </c>
      <c r="F116" s="7" t="s">
        <v>15</v>
      </c>
      <c r="G116" s="12">
        <f>Distances!C116</f>
        <v>1.2444585582866452</v>
      </c>
      <c r="H116" s="7" t="s">
        <v>26</v>
      </c>
      <c r="I116" s="12">
        <f>Distances!H116</f>
        <v>1.7345255137090418</v>
      </c>
      <c r="J116" s="7" t="s">
        <v>17</v>
      </c>
      <c r="K116" s="12">
        <f>Distances!D116</f>
        <v>1.7773360119268304</v>
      </c>
      <c r="L116" s="7" t="s">
        <v>13</v>
      </c>
      <c r="M116" s="12">
        <f>Distances!B116</f>
        <v>2.4141269755056678</v>
      </c>
      <c r="N116" s="7" t="s">
        <v>21</v>
      </c>
      <c r="O116" s="12">
        <f>Distances!F116</f>
        <v>2.5192966693056666</v>
      </c>
      <c r="P116" s="7" t="s">
        <v>33</v>
      </c>
      <c r="Q116" s="12">
        <f>Distances!K116</f>
        <v>2.6157810612796184</v>
      </c>
      <c r="R116" s="7" t="s">
        <v>32</v>
      </c>
      <c r="S116" s="12">
        <f>Distances!J116</f>
        <v>2.6322009328335705</v>
      </c>
    </row>
    <row r="117" spans="1:19" ht="25.05" customHeight="1">
      <c r="A117" s="6" t="s">
        <v>26</v>
      </c>
      <c r="B117" s="6" t="s">
        <v>29</v>
      </c>
      <c r="C117" s="11">
        <f>Distances!I117</f>
        <v>0.69128045601148758</v>
      </c>
      <c r="D117" s="6" t="s">
        <v>19</v>
      </c>
      <c r="E117" s="11">
        <f>Distances!E117</f>
        <v>1.1977586534205518</v>
      </c>
      <c r="F117" s="6" t="s">
        <v>23</v>
      </c>
      <c r="G117" s="11">
        <f>Distances!G117</f>
        <v>1.7345255137090418</v>
      </c>
      <c r="H117" s="6" t="s">
        <v>13</v>
      </c>
      <c r="I117" s="11">
        <f>Distances!B117</f>
        <v>1.9394575193735948</v>
      </c>
      <c r="J117" s="6" t="s">
        <v>15</v>
      </c>
      <c r="K117" s="11">
        <f>Distances!C117</f>
        <v>2.0140342612337983</v>
      </c>
      <c r="L117" s="6" t="s">
        <v>17</v>
      </c>
      <c r="M117" s="11">
        <f>Distances!D117</f>
        <v>3.5118615256358723</v>
      </c>
      <c r="N117" s="6" t="s">
        <v>21</v>
      </c>
      <c r="O117" s="11">
        <f>Distances!F117</f>
        <v>4.2538221830147087</v>
      </c>
      <c r="P117" s="6" t="s">
        <v>33</v>
      </c>
      <c r="Q117" s="11">
        <f>Distances!K117</f>
        <v>4.3503065749886609</v>
      </c>
      <c r="R117" s="6" t="s">
        <v>32</v>
      </c>
      <c r="S117" s="11">
        <f>Distances!J117</f>
        <v>4.3667264465426125</v>
      </c>
    </row>
    <row r="118" spans="1:19" ht="25.05" customHeight="1">
      <c r="A118" s="7" t="s">
        <v>29</v>
      </c>
      <c r="B118" s="7" t="s">
        <v>26</v>
      </c>
      <c r="C118" s="12">
        <f>Distances!H118</f>
        <v>0.69128045601148758</v>
      </c>
      <c r="D118" s="7" t="s">
        <v>19</v>
      </c>
      <c r="E118" s="12">
        <f>Distances!E118</f>
        <v>0.75103025552044378</v>
      </c>
      <c r="F118" s="7" t="s">
        <v>23</v>
      </c>
      <c r="G118" s="12">
        <f>Distances!G118</f>
        <v>1.0432450576975543</v>
      </c>
      <c r="H118" s="7" t="s">
        <v>15</v>
      </c>
      <c r="I118" s="12">
        <f>Distances!C118</f>
        <v>1.6860909781694884</v>
      </c>
      <c r="J118" s="7" t="s">
        <v>13</v>
      </c>
      <c r="K118" s="12">
        <f>Distances!B118</f>
        <v>2.1208819178081133</v>
      </c>
      <c r="L118" s="7" t="s">
        <v>17</v>
      </c>
      <c r="M118" s="12">
        <f>Distances!D118</f>
        <v>2.8205810696243843</v>
      </c>
      <c r="N118" s="7" t="s">
        <v>21</v>
      </c>
      <c r="O118" s="12">
        <f>Distances!F118</f>
        <v>3.5625417270032216</v>
      </c>
      <c r="P118" s="7" t="s">
        <v>33</v>
      </c>
      <c r="Q118" s="12">
        <f>Distances!K118</f>
        <v>3.6590261189771724</v>
      </c>
      <c r="R118" s="7" t="s">
        <v>32</v>
      </c>
      <c r="S118" s="12">
        <f>Distances!J118</f>
        <v>3.6754459905311245</v>
      </c>
    </row>
    <row r="119" spans="1:19" ht="25.05" customHeight="1">
      <c r="A119" s="6" t="s">
        <v>32</v>
      </c>
      <c r="B119" s="6" t="s">
        <v>21</v>
      </c>
      <c r="C119" s="11">
        <f>Distances!F119</f>
        <v>0.32600473762398041</v>
      </c>
      <c r="D119" s="6" t="s">
        <v>33</v>
      </c>
      <c r="E119" s="11">
        <f>Distances!K119</f>
        <v>0.96718668582309664</v>
      </c>
      <c r="F119" s="6" t="s">
        <v>17</v>
      </c>
      <c r="G119" s="11">
        <f>Distances!D119</f>
        <v>1.0515862323821503</v>
      </c>
      <c r="H119" s="6" t="s">
        <v>23</v>
      </c>
      <c r="I119" s="11">
        <f>Distances!G119</f>
        <v>2.6322009328335705</v>
      </c>
      <c r="J119" s="6" t="s">
        <v>15</v>
      </c>
      <c r="K119" s="11">
        <f>Distances!C119</f>
        <v>2.7259026509991222</v>
      </c>
      <c r="L119" s="6" t="s">
        <v>19</v>
      </c>
      <c r="M119" s="11">
        <f>Distances!E119</f>
        <v>3.1689677931220608</v>
      </c>
      <c r="N119" s="6" t="s">
        <v>29</v>
      </c>
      <c r="O119" s="11">
        <f>Distances!I119</f>
        <v>3.6754459905311245</v>
      </c>
      <c r="P119" s="6" t="s">
        <v>26</v>
      </c>
      <c r="Q119" s="11">
        <f>Distances!H119</f>
        <v>4.3667264465426125</v>
      </c>
      <c r="R119" s="6" t="s">
        <v>13</v>
      </c>
      <c r="S119" s="11">
        <f>Distances!B119</f>
        <v>4.5963279083392381</v>
      </c>
    </row>
    <row r="120" spans="1:19" ht="25.05" customHeight="1">
      <c r="A120" s="8" t="s">
        <v>33</v>
      </c>
      <c r="B120" s="8" t="s">
        <v>32</v>
      </c>
      <c r="C120" s="13">
        <f>Distances!J120</f>
        <v>0.96718668582309664</v>
      </c>
      <c r="D120" s="8" t="s">
        <v>21</v>
      </c>
      <c r="E120" s="13">
        <f>Distances!F120</f>
        <v>1.1128778345969024</v>
      </c>
      <c r="F120" s="8" t="s">
        <v>17</v>
      </c>
      <c r="G120" s="13">
        <f>Distances!D120</f>
        <v>2.0187729182052472</v>
      </c>
      <c r="H120" s="8" t="s">
        <v>23</v>
      </c>
      <c r="I120" s="13">
        <f>Distances!G120</f>
        <v>2.6157810612796184</v>
      </c>
      <c r="J120" s="8" t="s">
        <v>15</v>
      </c>
      <c r="K120" s="13">
        <f>Distances!C120</f>
        <v>3.037351631904186</v>
      </c>
      <c r="L120" s="8" t="s">
        <v>19</v>
      </c>
      <c r="M120" s="13">
        <f>Distances!E120</f>
        <v>3.283695462551715</v>
      </c>
      <c r="N120" s="8" t="s">
        <v>29</v>
      </c>
      <c r="O120" s="13">
        <f>Distances!I120</f>
        <v>3.6590261189771724</v>
      </c>
      <c r="P120" s="8" t="s">
        <v>26</v>
      </c>
      <c r="Q120" s="13">
        <f>Distances!H120</f>
        <v>4.3503065749886609</v>
      </c>
      <c r="R120" s="8" t="s">
        <v>13</v>
      </c>
      <c r="S120" s="13">
        <f>Distances!B120</f>
        <v>4.5299080367852858</v>
      </c>
    </row>
  </sheetData>
  <mergeCells count="9">
    <mergeCell ref="A64:S64"/>
    <mergeCell ref="A79:S79"/>
    <mergeCell ref="A94:S94"/>
    <mergeCell ref="A109:S109"/>
    <mergeCell ref="A2:K2"/>
    <mergeCell ref="A4:S4"/>
    <mergeCell ref="A19:S19"/>
    <mergeCell ref="A34:S34"/>
    <mergeCell ref="A49:S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6A98"/>
  </sheetPr>
  <dimension ref="A2:L360"/>
  <sheetViews>
    <sheetView showGridLines="0" workbookViewId="0">
      <pane ySplit="5" topLeftCell="A205" activePane="bottomLeft" state="frozen"/>
      <selection pane="bottomLeft" activeCell="I237" sqref="I237"/>
    </sheetView>
  </sheetViews>
  <sheetFormatPr defaultRowHeight="13.8"/>
  <cols>
    <col min="1" max="12" width="13" customWidth="1"/>
  </cols>
  <sheetData>
    <row r="2" spans="1:12" ht="36" customHeight="1">
      <c r="A2" s="34" t="s">
        <v>67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27"/>
    </row>
    <row r="3" spans="1:1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30" customHeight="1">
      <c r="A4" s="35" t="s">
        <v>68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27"/>
    </row>
    <row r="5" spans="1:12" ht="43.95" customHeight="1">
      <c r="A5" s="2" t="s">
        <v>3</v>
      </c>
      <c r="B5" s="2" t="s">
        <v>10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7"/>
    </row>
    <row r="6" spans="1:12" ht="25.05" customHeight="1">
      <c r="A6" s="6" t="s">
        <v>13</v>
      </c>
      <c r="B6" s="3">
        <v>1</v>
      </c>
      <c r="C6" s="3">
        <f>IF(INDEX(Dataset!$H$6:$H$15,MATCH(Neighbors!B6,Dataset!$A$6:$A$15,0))=Dataset!H6,1,0)</f>
        <v>1</v>
      </c>
      <c r="D6" s="3">
        <f>IF(INDEX(Dataset!$H$6:$H$15,MATCH(Neighbors!D6,Dataset!$A$6:$A$15,0))=Dataset!H6,1,0)</f>
        <v>1</v>
      </c>
      <c r="E6" s="3">
        <f>IF(INDEX(Dataset!$H$6:$H$15,MATCH(Neighbors!F6,Dataset!$A$6:$A$15,0))=Dataset!H6,1,0)</f>
        <v>1</v>
      </c>
      <c r="F6" s="3">
        <f>IF(INDEX(Dataset!$H$6:$H$15,MATCH(Neighbors!H6,Dataset!$A$6:$A$15,0))=Dataset!H6,1,0)</f>
        <v>1</v>
      </c>
      <c r="G6" s="3">
        <f>IF(INDEX(Dataset!$H$6:$H$15,MATCH(Neighbors!J6,Dataset!$A$6:$A$15,0))=Dataset!H6,1,0)</f>
        <v>1</v>
      </c>
      <c r="H6" s="3">
        <f>IF(INDEX(Dataset!$H$6:$H$15,MATCH(Neighbors!L6,Dataset!$A$6:$A$15,0))=Dataset!H6,1,0)</f>
        <v>0</v>
      </c>
      <c r="I6" s="3">
        <f>IF(INDEX(Dataset!$H$6:$H$15,MATCH(Neighbors!N6,Dataset!$A$6:$A$15,0))=Dataset!H6,1,0)</f>
        <v>0</v>
      </c>
      <c r="J6" s="3">
        <f>IF(INDEX(Dataset!$H$6:$H$15,MATCH(Neighbors!P6,Dataset!$A$6:$A$15,0))=Dataset!H6,1,0)</f>
        <v>0</v>
      </c>
      <c r="K6" s="3">
        <f>IF(INDEX(Dataset!$H$6:$H$15,MATCH(Neighbors!R6,Dataset!$A$6:$A$15,0))=Dataset!H6,1,0)</f>
        <v>0</v>
      </c>
      <c r="L6" s="27"/>
    </row>
    <row r="7" spans="1:12" ht="25.05" customHeight="1">
      <c r="A7" s="7" t="s">
        <v>15</v>
      </c>
      <c r="B7" s="4">
        <v>1</v>
      </c>
      <c r="C7" s="4">
        <f>IF(INDEX(Dataset!$H$6:$H$15,MATCH(Neighbors!B7,Dataset!$A$6:$A$15,0))=Dataset!H7,1,0)</f>
        <v>1</v>
      </c>
      <c r="D7" s="4">
        <f>IF(INDEX(Dataset!$H$6:$H$15,MATCH(Neighbors!D7,Dataset!$A$6:$A$15,0))=Dataset!H7,1,0)</f>
        <v>1</v>
      </c>
      <c r="E7" s="4">
        <f>IF(INDEX(Dataset!$H$6:$H$15,MATCH(Neighbors!F7,Dataset!$A$6:$A$15,0))=Dataset!H7,1,0)</f>
        <v>1</v>
      </c>
      <c r="F7" s="4">
        <f>IF(INDEX(Dataset!$H$6:$H$15,MATCH(Neighbors!H7,Dataset!$A$6:$A$15,0))=Dataset!H7,1,0)</f>
        <v>1</v>
      </c>
      <c r="G7" s="4">
        <f>IF(INDEX(Dataset!$H$6:$H$15,MATCH(Neighbors!J7,Dataset!$A$6:$A$15,0))=Dataset!H7,1,0)</f>
        <v>1</v>
      </c>
      <c r="H7" s="4">
        <f>IF(INDEX(Dataset!$H$6:$H$15,MATCH(Neighbors!L7,Dataset!$A$6:$A$15,0))=Dataset!H7,1,0)</f>
        <v>0</v>
      </c>
      <c r="I7" s="4">
        <f>IF(INDEX(Dataset!$H$6:$H$15,MATCH(Neighbors!N7,Dataset!$A$6:$A$15,0))=Dataset!H7,1,0)</f>
        <v>0</v>
      </c>
      <c r="J7" s="4">
        <f>IF(INDEX(Dataset!$H$6:$H$15,MATCH(Neighbors!P7,Dataset!$A$6:$A$15,0))=Dataset!H7,1,0)</f>
        <v>0</v>
      </c>
      <c r="K7" s="4">
        <f>IF(INDEX(Dataset!$H$6:$H$15,MATCH(Neighbors!R7,Dataset!$A$6:$A$15,0))=Dataset!H7,1,0)</f>
        <v>0</v>
      </c>
      <c r="L7" s="27"/>
    </row>
    <row r="8" spans="1:12" ht="25.05" customHeight="1">
      <c r="A8" s="6" t="s">
        <v>17</v>
      </c>
      <c r="B8" s="3">
        <v>2</v>
      </c>
      <c r="C8" s="3">
        <f>IF(INDEX(Dataset!$H$6:$H$15,MATCH(Neighbors!B8,Dataset!$A$6:$A$15,0))=Dataset!H8,1,0)</f>
        <v>0</v>
      </c>
      <c r="D8" s="3">
        <f>IF(INDEX(Dataset!$H$6:$H$15,MATCH(Neighbors!D8,Dataset!$A$6:$A$15,0))=Dataset!H8,1,0)</f>
        <v>1</v>
      </c>
      <c r="E8" s="3">
        <f>IF(INDEX(Dataset!$H$6:$H$15,MATCH(Neighbors!F8,Dataset!$A$6:$A$15,0))=Dataset!H8,1,0)</f>
        <v>1</v>
      </c>
      <c r="F8" s="3">
        <f>IF(INDEX(Dataset!$H$6:$H$15,MATCH(Neighbors!H8,Dataset!$A$6:$A$15,0))=Dataset!H8,1,0)</f>
        <v>0</v>
      </c>
      <c r="G8" s="3">
        <f>IF(INDEX(Dataset!$H$6:$H$15,MATCH(Neighbors!J8,Dataset!$A$6:$A$15,0))=Dataset!H8,1,0)</f>
        <v>1</v>
      </c>
      <c r="H8" s="3">
        <f>IF(INDEX(Dataset!$H$6:$H$15,MATCH(Neighbors!L8,Dataset!$A$6:$A$15,0))=Dataset!H8,1,0)</f>
        <v>0</v>
      </c>
      <c r="I8" s="3">
        <f>IF(INDEX(Dataset!$H$6:$H$15,MATCH(Neighbors!N8,Dataset!$A$6:$A$15,0))=Dataset!H8,1,0)</f>
        <v>0</v>
      </c>
      <c r="J8" s="3">
        <f>IF(INDEX(Dataset!$H$6:$H$15,MATCH(Neighbors!P8,Dataset!$A$6:$A$15,0))=Dataset!H8,1,0)</f>
        <v>0</v>
      </c>
      <c r="K8" s="3">
        <f>IF(INDEX(Dataset!$H$6:$H$15,MATCH(Neighbors!R8,Dataset!$A$6:$A$15,0))=Dataset!H8,1,0)</f>
        <v>0</v>
      </c>
      <c r="L8" s="27"/>
    </row>
    <row r="9" spans="1:12" ht="25.05" customHeight="1">
      <c r="A9" s="7" t="s">
        <v>19</v>
      </c>
      <c r="B9" s="4">
        <v>1</v>
      </c>
      <c r="C9" s="4">
        <f>IF(INDEX(Dataset!$H$6:$H$15,MATCH(Neighbors!B9,Dataset!$A$6:$A$15,0))=Dataset!H9,1,0)</f>
        <v>1</v>
      </c>
      <c r="D9" s="4">
        <f>IF(INDEX(Dataset!$H$6:$H$15,MATCH(Neighbors!D9,Dataset!$A$6:$A$15,0))=Dataset!H9,1,0)</f>
        <v>1</v>
      </c>
      <c r="E9" s="4">
        <f>IF(INDEX(Dataset!$H$6:$H$15,MATCH(Neighbors!F9,Dataset!$A$6:$A$15,0))=Dataset!H9,1,0)</f>
        <v>1</v>
      </c>
      <c r="F9" s="4">
        <f>IF(INDEX(Dataset!$H$6:$H$15,MATCH(Neighbors!H9,Dataset!$A$6:$A$15,0))=Dataset!H9,1,0)</f>
        <v>1</v>
      </c>
      <c r="G9" s="4">
        <f>IF(INDEX(Dataset!$H$6:$H$15,MATCH(Neighbors!J9,Dataset!$A$6:$A$15,0))=Dataset!H9,1,0)</f>
        <v>0</v>
      </c>
      <c r="H9" s="4">
        <f>IF(INDEX(Dataset!$H$6:$H$15,MATCH(Neighbors!L9,Dataset!$A$6:$A$15,0))=Dataset!H9,1,0)</f>
        <v>1</v>
      </c>
      <c r="I9" s="4">
        <f>IF(INDEX(Dataset!$H$6:$H$15,MATCH(Neighbors!N9,Dataset!$A$6:$A$15,0))=Dataset!H9,1,0)</f>
        <v>0</v>
      </c>
      <c r="J9" s="4">
        <f>IF(INDEX(Dataset!$H$6:$H$15,MATCH(Neighbors!P9,Dataset!$A$6:$A$15,0))=Dataset!H9,1,0)</f>
        <v>0</v>
      </c>
      <c r="K9" s="4">
        <f>IF(INDEX(Dataset!$H$6:$H$15,MATCH(Neighbors!R9,Dataset!$A$6:$A$15,0))=Dataset!H9,1,0)</f>
        <v>0</v>
      </c>
      <c r="L9" s="27"/>
    </row>
    <row r="10" spans="1:12" ht="25.05" customHeight="1">
      <c r="A10" s="6" t="s">
        <v>21</v>
      </c>
      <c r="B10" s="3">
        <v>2</v>
      </c>
      <c r="C10" s="3">
        <f>IF(INDEX(Dataset!$H$6:$H$15,MATCH(Neighbors!B10,Dataset!$A$6:$A$15,0))=Dataset!H10,1,0)</f>
        <v>1</v>
      </c>
      <c r="D10" s="3">
        <f>IF(INDEX(Dataset!$H$6:$H$15,MATCH(Neighbors!D10,Dataset!$A$6:$A$15,0))=Dataset!H10,1,0)</f>
        <v>1</v>
      </c>
      <c r="E10" s="3">
        <f>IF(INDEX(Dataset!$H$6:$H$15,MATCH(Neighbors!F10,Dataset!$A$6:$A$15,0))=Dataset!H10,1,0)</f>
        <v>1</v>
      </c>
      <c r="F10" s="3">
        <f>IF(INDEX(Dataset!$H$6:$H$15,MATCH(Neighbors!H10,Dataset!$A$6:$A$15,0))=Dataset!H10,1,0)</f>
        <v>0</v>
      </c>
      <c r="G10" s="3">
        <f>IF(INDEX(Dataset!$H$6:$H$15,MATCH(Neighbors!J10,Dataset!$A$6:$A$15,0))=Dataset!H10,1,0)</f>
        <v>0</v>
      </c>
      <c r="H10" s="3">
        <f>IF(INDEX(Dataset!$H$6:$H$15,MATCH(Neighbors!L10,Dataset!$A$6:$A$15,0))=Dataset!H10,1,0)</f>
        <v>0</v>
      </c>
      <c r="I10" s="3">
        <f>IF(INDEX(Dataset!$H$6:$H$15,MATCH(Neighbors!N10,Dataset!$A$6:$A$15,0))=Dataset!H10,1,0)</f>
        <v>0</v>
      </c>
      <c r="J10" s="3">
        <f>IF(INDEX(Dataset!$H$6:$H$15,MATCH(Neighbors!P10,Dataset!$A$6:$A$15,0))=Dataset!H10,1,0)</f>
        <v>0</v>
      </c>
      <c r="K10" s="3">
        <f>IF(INDEX(Dataset!$H$6:$H$15,MATCH(Neighbors!R10,Dataset!$A$6:$A$15,0))=Dataset!H10,1,0)</f>
        <v>0</v>
      </c>
      <c r="L10" s="27"/>
    </row>
    <row r="11" spans="1:12" ht="25.05" customHeight="1">
      <c r="A11" s="7" t="s">
        <v>23</v>
      </c>
      <c r="B11" s="4">
        <v>1</v>
      </c>
      <c r="C11" s="4">
        <f>IF(INDEX(Dataset!$H$6:$H$15,MATCH(Neighbors!B11,Dataset!$A$6:$A$15,0))=Dataset!H11,1,0)</f>
        <v>0</v>
      </c>
      <c r="D11" s="4">
        <f>IF(INDEX(Dataset!$H$6:$H$15,MATCH(Neighbors!D11,Dataset!$A$6:$A$15,0))=Dataset!H11,1,0)</f>
        <v>1</v>
      </c>
      <c r="E11" s="4">
        <f>IF(INDEX(Dataset!$H$6:$H$15,MATCH(Neighbors!F11,Dataset!$A$6:$A$15,0))=Dataset!H11,1,0)</f>
        <v>1</v>
      </c>
      <c r="F11" s="4">
        <f>IF(INDEX(Dataset!$H$6:$H$15,MATCH(Neighbors!H11,Dataset!$A$6:$A$15,0))=Dataset!H11,1,0)</f>
        <v>1</v>
      </c>
      <c r="G11" s="4">
        <f>IF(INDEX(Dataset!$H$6:$H$15,MATCH(Neighbors!J11,Dataset!$A$6:$A$15,0))=Dataset!H11,1,0)</f>
        <v>1</v>
      </c>
      <c r="H11" s="4">
        <f>IF(INDEX(Dataset!$H$6:$H$15,MATCH(Neighbors!L11,Dataset!$A$6:$A$15,0))=Dataset!H11,1,0)</f>
        <v>0</v>
      </c>
      <c r="I11" s="4">
        <f>IF(INDEX(Dataset!$H$6:$H$15,MATCH(Neighbors!N11,Dataset!$A$6:$A$15,0))=Dataset!H11,1,0)</f>
        <v>0</v>
      </c>
      <c r="J11" s="4">
        <f>IF(INDEX(Dataset!$H$6:$H$15,MATCH(Neighbors!P11,Dataset!$A$6:$A$15,0))=Dataset!H11,1,0)</f>
        <v>0</v>
      </c>
      <c r="K11" s="4">
        <f>IF(INDEX(Dataset!$H$6:$H$15,MATCH(Neighbors!R11,Dataset!$A$6:$A$15,0))=Dataset!H11,1,0)</f>
        <v>1</v>
      </c>
      <c r="L11" s="27"/>
    </row>
    <row r="12" spans="1:12" ht="25.05" customHeight="1">
      <c r="A12" s="6" t="s">
        <v>26</v>
      </c>
      <c r="B12" s="3">
        <v>1</v>
      </c>
      <c r="C12" s="3">
        <f>IF(INDEX(Dataset!$H$6:$H$15,MATCH(Neighbors!B12,Dataset!$A$6:$A$15,0))=Dataset!H12,1,0)</f>
        <v>1</v>
      </c>
      <c r="D12" s="3">
        <f>IF(INDEX(Dataset!$H$6:$H$15,MATCH(Neighbors!D12,Dataset!$A$6:$A$15,0))=Dataset!H12,1,0)</f>
        <v>1</v>
      </c>
      <c r="E12" s="3">
        <f>IF(INDEX(Dataset!$H$6:$H$15,MATCH(Neighbors!F12,Dataset!$A$6:$A$15,0))=Dataset!H12,1,0)</f>
        <v>1</v>
      </c>
      <c r="F12" s="3">
        <f>IF(INDEX(Dataset!$H$6:$H$15,MATCH(Neighbors!H12,Dataset!$A$6:$A$15,0))=Dataset!H12,1,0)</f>
        <v>1</v>
      </c>
      <c r="G12" s="3">
        <f>IF(INDEX(Dataset!$H$6:$H$15,MATCH(Neighbors!J12,Dataset!$A$6:$A$15,0))=Dataset!H12,1,0)</f>
        <v>0</v>
      </c>
      <c r="H12" s="3">
        <f>IF(INDEX(Dataset!$H$6:$H$15,MATCH(Neighbors!L12,Dataset!$A$6:$A$15,0))=Dataset!H12,1,0)</f>
        <v>1</v>
      </c>
      <c r="I12" s="3">
        <f>IF(INDEX(Dataset!$H$6:$H$15,MATCH(Neighbors!N12,Dataset!$A$6:$A$15,0))=Dataset!H12,1,0)</f>
        <v>0</v>
      </c>
      <c r="J12" s="3">
        <f>IF(INDEX(Dataset!$H$6:$H$15,MATCH(Neighbors!P12,Dataset!$A$6:$A$15,0))=Dataset!H12,1,0)</f>
        <v>0</v>
      </c>
      <c r="K12" s="3">
        <f>IF(INDEX(Dataset!$H$6:$H$15,MATCH(Neighbors!R12,Dataset!$A$6:$A$15,0))=Dataset!H12,1,0)</f>
        <v>0</v>
      </c>
      <c r="L12" s="27"/>
    </row>
    <row r="13" spans="1:12" ht="25.05" customHeight="1">
      <c r="A13" s="7" t="s">
        <v>29</v>
      </c>
      <c r="B13" s="4">
        <v>1</v>
      </c>
      <c r="C13" s="4">
        <f>IF(INDEX(Dataset!$H$6:$H$15,MATCH(Neighbors!B13,Dataset!$A$6:$A$15,0))=Dataset!H13,1,0)</f>
        <v>1</v>
      </c>
      <c r="D13" s="4">
        <f>IF(INDEX(Dataset!$H$6:$H$15,MATCH(Neighbors!D13,Dataset!$A$6:$A$15,0))=Dataset!H13,1,0)</f>
        <v>1</v>
      </c>
      <c r="E13" s="4">
        <f>IF(INDEX(Dataset!$H$6:$H$15,MATCH(Neighbors!F13,Dataset!$A$6:$A$15,0))=Dataset!H13,1,0)</f>
        <v>1</v>
      </c>
      <c r="F13" s="4">
        <f>IF(INDEX(Dataset!$H$6:$H$15,MATCH(Neighbors!H13,Dataset!$A$6:$A$15,0))=Dataset!H13,1,0)</f>
        <v>1</v>
      </c>
      <c r="G13" s="4">
        <f>IF(INDEX(Dataset!$H$6:$H$15,MATCH(Neighbors!J13,Dataset!$A$6:$A$15,0))=Dataset!H13,1,0)</f>
        <v>0</v>
      </c>
      <c r="H13" s="4">
        <f>IF(INDEX(Dataset!$H$6:$H$15,MATCH(Neighbors!L13,Dataset!$A$6:$A$15,0))=Dataset!H13,1,0)</f>
        <v>1</v>
      </c>
      <c r="I13" s="4">
        <f>IF(INDEX(Dataset!$H$6:$H$15,MATCH(Neighbors!N13,Dataset!$A$6:$A$15,0))=Dataset!H13,1,0)</f>
        <v>0</v>
      </c>
      <c r="J13" s="4">
        <f>IF(INDEX(Dataset!$H$6:$H$15,MATCH(Neighbors!P13,Dataset!$A$6:$A$15,0))=Dataset!H13,1,0)</f>
        <v>0</v>
      </c>
      <c r="K13" s="4">
        <f>IF(INDEX(Dataset!$H$6:$H$15,MATCH(Neighbors!R13,Dataset!$A$6:$A$15,0))=Dataset!H13,1,0)</f>
        <v>0</v>
      </c>
      <c r="L13" s="27"/>
    </row>
    <row r="14" spans="1:12" ht="25.05" customHeight="1">
      <c r="A14" s="6" t="s">
        <v>32</v>
      </c>
      <c r="B14" s="3">
        <v>2</v>
      </c>
      <c r="C14" s="3">
        <f>IF(INDEX(Dataset!$H$6:$H$15,MATCH(Neighbors!B14,Dataset!$A$6:$A$15,0))=Dataset!H14,1,0)</f>
        <v>1</v>
      </c>
      <c r="D14" s="3">
        <f>IF(INDEX(Dataset!$H$6:$H$15,MATCH(Neighbors!D14,Dataset!$A$6:$A$15,0))=Dataset!H14,1,0)</f>
        <v>1</v>
      </c>
      <c r="E14" s="3">
        <f>IF(INDEX(Dataset!$H$6:$H$15,MATCH(Neighbors!F14,Dataset!$A$6:$A$15,0))=Dataset!H14,1,0)</f>
        <v>1</v>
      </c>
      <c r="F14" s="3">
        <f>IF(INDEX(Dataset!$H$6:$H$15,MATCH(Neighbors!H14,Dataset!$A$6:$A$15,0))=Dataset!H14,1,0)</f>
        <v>0</v>
      </c>
      <c r="G14" s="3">
        <f>IF(INDEX(Dataset!$H$6:$H$15,MATCH(Neighbors!J14,Dataset!$A$6:$A$15,0))=Dataset!H14,1,0)</f>
        <v>0</v>
      </c>
      <c r="H14" s="3">
        <f>IF(INDEX(Dataset!$H$6:$H$15,MATCH(Neighbors!L14,Dataset!$A$6:$A$15,0))=Dataset!H14,1,0)</f>
        <v>0</v>
      </c>
      <c r="I14" s="3">
        <f>IF(INDEX(Dataset!$H$6:$H$15,MATCH(Neighbors!N14,Dataset!$A$6:$A$15,0))=Dataset!H14,1,0)</f>
        <v>0</v>
      </c>
      <c r="J14" s="3">
        <f>IF(INDEX(Dataset!$H$6:$H$15,MATCH(Neighbors!P14,Dataset!$A$6:$A$15,0))=Dataset!H14,1,0)</f>
        <v>0</v>
      </c>
      <c r="K14" s="3">
        <f>IF(INDEX(Dataset!$H$6:$H$15,MATCH(Neighbors!R14,Dataset!$A$6:$A$15,0))=Dataset!H14,1,0)</f>
        <v>0</v>
      </c>
      <c r="L14" s="27"/>
    </row>
    <row r="15" spans="1:12" ht="25.05" customHeight="1">
      <c r="A15" s="8" t="s">
        <v>33</v>
      </c>
      <c r="B15" s="5">
        <v>2</v>
      </c>
      <c r="C15" s="5">
        <f>IF(INDEX(Dataset!$H$6:$H$15,MATCH(Neighbors!B15,Dataset!$A$6:$A$15,0))=Dataset!H15,1,0)</f>
        <v>1</v>
      </c>
      <c r="D15" s="5">
        <f>IF(INDEX(Dataset!$H$6:$H$15,MATCH(Neighbors!D15,Dataset!$A$6:$A$15,0))=Dataset!H15,1,0)</f>
        <v>1</v>
      </c>
      <c r="E15" s="5">
        <f>IF(INDEX(Dataset!$H$6:$H$15,MATCH(Neighbors!F15,Dataset!$A$6:$A$15,0))=Dataset!H15,1,0)</f>
        <v>1</v>
      </c>
      <c r="F15" s="5">
        <f>IF(INDEX(Dataset!$H$6:$H$15,MATCH(Neighbors!H15,Dataset!$A$6:$A$15,0))=Dataset!H15,1,0)</f>
        <v>0</v>
      </c>
      <c r="G15" s="5">
        <f>IF(INDEX(Dataset!$H$6:$H$15,MATCH(Neighbors!J15,Dataset!$A$6:$A$15,0))=Dataset!H15,1,0)</f>
        <v>0</v>
      </c>
      <c r="H15" s="5">
        <f>IF(INDEX(Dataset!$H$6:$H$15,MATCH(Neighbors!L15,Dataset!$A$6:$A$15,0))=Dataset!H15,1,0)</f>
        <v>0</v>
      </c>
      <c r="I15" s="5">
        <f>IF(INDEX(Dataset!$H$6:$H$15,MATCH(Neighbors!N15,Dataset!$A$6:$A$15,0))=Dataset!H15,1,0)</f>
        <v>0</v>
      </c>
      <c r="J15" s="5">
        <f>IF(INDEX(Dataset!$H$6:$H$15,MATCH(Neighbors!P15,Dataset!$A$6:$A$15,0))=Dataset!H15,1,0)</f>
        <v>0</v>
      </c>
      <c r="K15" s="5">
        <f>IF(INDEX(Dataset!$H$6:$H$15,MATCH(Neighbors!R15,Dataset!$A$6:$A$15,0))=Dataset!H15,1,0)</f>
        <v>0</v>
      </c>
      <c r="L15" s="27"/>
    </row>
    <row r="16" spans="1:1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ht="30" customHeight="1">
      <c r="A19" s="35" t="s">
        <v>78</v>
      </c>
      <c r="B19" s="35"/>
      <c r="C19" s="35"/>
      <c r="D19" s="35"/>
      <c r="E19" s="35"/>
      <c r="F19" s="35"/>
      <c r="G19" s="35"/>
      <c r="H19" s="27"/>
      <c r="I19" s="35" t="s">
        <v>79</v>
      </c>
      <c r="J19" s="35"/>
      <c r="K19" s="35"/>
      <c r="L19" s="35"/>
    </row>
    <row r="20" spans="1:12" ht="43.95" customHeight="1">
      <c r="A20" s="2" t="s">
        <v>3</v>
      </c>
      <c r="B20" s="2" t="s">
        <v>10</v>
      </c>
      <c r="C20" s="2" t="s">
        <v>80</v>
      </c>
      <c r="D20" s="2" t="s">
        <v>81</v>
      </c>
      <c r="E20" s="2" t="s">
        <v>82</v>
      </c>
      <c r="F20" s="2" t="s">
        <v>83</v>
      </c>
      <c r="G20" s="2" t="s">
        <v>84</v>
      </c>
      <c r="H20" s="27"/>
      <c r="I20" s="2" t="s">
        <v>3</v>
      </c>
      <c r="J20" s="2" t="s">
        <v>10</v>
      </c>
      <c r="K20" s="2" t="s">
        <v>82</v>
      </c>
      <c r="L20" s="2" t="s">
        <v>84</v>
      </c>
    </row>
    <row r="21" spans="1:12" ht="25.05" customHeight="1">
      <c r="A21" s="6" t="s">
        <v>13</v>
      </c>
      <c r="B21" s="3">
        <v>1</v>
      </c>
      <c r="C21" s="3">
        <f t="shared" ref="C21:C30" si="0">SUM(C6:C6)</f>
        <v>1</v>
      </c>
      <c r="D21" s="3">
        <f t="shared" ref="D21:D30" si="1">SUM(C6:D6)</f>
        <v>2</v>
      </c>
      <c r="E21" s="3">
        <f t="shared" ref="E21:E30" si="2">SUM(C6:E6)</f>
        <v>3</v>
      </c>
      <c r="F21" s="3">
        <f t="shared" ref="F21:F30" si="3">SUM(C6:F6)</f>
        <v>4</v>
      </c>
      <c r="G21" s="3">
        <f t="shared" ref="G21:G30" si="4">SUM(C6:G6)</f>
        <v>5</v>
      </c>
      <c r="H21" s="27"/>
      <c r="I21" s="6" t="s">
        <v>13</v>
      </c>
      <c r="J21" s="3">
        <v>1</v>
      </c>
      <c r="K21" s="3">
        <f t="shared" ref="K21:K30" si="5">E21</f>
        <v>3</v>
      </c>
      <c r="L21" s="3">
        <f t="shared" ref="L21:L30" si="6">G21</f>
        <v>5</v>
      </c>
    </row>
    <row r="22" spans="1:12" ht="25.05" customHeight="1">
      <c r="A22" s="7" t="s">
        <v>15</v>
      </c>
      <c r="B22" s="4">
        <v>1</v>
      </c>
      <c r="C22" s="4">
        <f t="shared" si="0"/>
        <v>1</v>
      </c>
      <c r="D22" s="4">
        <f t="shared" si="1"/>
        <v>2</v>
      </c>
      <c r="E22" s="4">
        <f t="shared" si="2"/>
        <v>3</v>
      </c>
      <c r="F22" s="4">
        <f t="shared" si="3"/>
        <v>4</v>
      </c>
      <c r="G22" s="4">
        <f t="shared" si="4"/>
        <v>5</v>
      </c>
      <c r="H22" s="27"/>
      <c r="I22" s="7" t="s">
        <v>15</v>
      </c>
      <c r="J22" s="4">
        <v>1</v>
      </c>
      <c r="K22" s="4">
        <f t="shared" si="5"/>
        <v>3</v>
      </c>
      <c r="L22" s="4">
        <f t="shared" si="6"/>
        <v>5</v>
      </c>
    </row>
    <row r="23" spans="1:12" ht="25.05" customHeight="1">
      <c r="A23" s="6" t="s">
        <v>17</v>
      </c>
      <c r="B23" s="3">
        <v>2</v>
      </c>
      <c r="C23" s="3">
        <f t="shared" si="0"/>
        <v>0</v>
      </c>
      <c r="D23" s="3">
        <f t="shared" si="1"/>
        <v>1</v>
      </c>
      <c r="E23" s="3">
        <f t="shared" si="2"/>
        <v>2</v>
      </c>
      <c r="F23" s="3">
        <f t="shared" si="3"/>
        <v>2</v>
      </c>
      <c r="G23" s="3">
        <f t="shared" si="4"/>
        <v>3</v>
      </c>
      <c r="H23" s="27"/>
      <c r="I23" s="6" t="s">
        <v>17</v>
      </c>
      <c r="J23" s="3">
        <v>2</v>
      </c>
      <c r="K23" s="3">
        <f t="shared" si="5"/>
        <v>2</v>
      </c>
      <c r="L23" s="3">
        <f t="shared" si="6"/>
        <v>3</v>
      </c>
    </row>
    <row r="24" spans="1:12" ht="25.05" customHeight="1">
      <c r="A24" s="7" t="s">
        <v>19</v>
      </c>
      <c r="B24" s="4">
        <v>1</v>
      </c>
      <c r="C24" s="4">
        <f t="shared" si="0"/>
        <v>1</v>
      </c>
      <c r="D24" s="4">
        <f t="shared" si="1"/>
        <v>2</v>
      </c>
      <c r="E24" s="4">
        <f t="shared" si="2"/>
        <v>3</v>
      </c>
      <c r="F24" s="4">
        <f t="shared" si="3"/>
        <v>4</v>
      </c>
      <c r="G24" s="4">
        <f t="shared" si="4"/>
        <v>4</v>
      </c>
      <c r="H24" s="27"/>
      <c r="I24" s="7" t="s">
        <v>19</v>
      </c>
      <c r="J24" s="4">
        <v>1</v>
      </c>
      <c r="K24" s="4">
        <f t="shared" si="5"/>
        <v>3</v>
      </c>
      <c r="L24" s="4">
        <f t="shared" si="6"/>
        <v>4</v>
      </c>
    </row>
    <row r="25" spans="1:12" ht="25.05" customHeight="1">
      <c r="A25" s="6" t="s">
        <v>21</v>
      </c>
      <c r="B25" s="3">
        <v>2</v>
      </c>
      <c r="C25" s="3">
        <f t="shared" si="0"/>
        <v>1</v>
      </c>
      <c r="D25" s="3">
        <f t="shared" si="1"/>
        <v>2</v>
      </c>
      <c r="E25" s="3">
        <f t="shared" si="2"/>
        <v>3</v>
      </c>
      <c r="F25" s="3">
        <f t="shared" si="3"/>
        <v>3</v>
      </c>
      <c r="G25" s="3">
        <f t="shared" si="4"/>
        <v>3</v>
      </c>
      <c r="H25" s="27"/>
      <c r="I25" s="6" t="s">
        <v>21</v>
      </c>
      <c r="J25" s="3">
        <v>2</v>
      </c>
      <c r="K25" s="3">
        <f t="shared" si="5"/>
        <v>3</v>
      </c>
      <c r="L25" s="3">
        <f t="shared" si="6"/>
        <v>3</v>
      </c>
    </row>
    <row r="26" spans="1:12" ht="25.05" customHeight="1">
      <c r="A26" s="7" t="s">
        <v>23</v>
      </c>
      <c r="B26" s="4">
        <v>1</v>
      </c>
      <c r="C26" s="4">
        <f t="shared" si="0"/>
        <v>0</v>
      </c>
      <c r="D26" s="4">
        <f t="shared" si="1"/>
        <v>1</v>
      </c>
      <c r="E26" s="4">
        <f t="shared" si="2"/>
        <v>2</v>
      </c>
      <c r="F26" s="4">
        <f t="shared" si="3"/>
        <v>3</v>
      </c>
      <c r="G26" s="4">
        <f t="shared" si="4"/>
        <v>4</v>
      </c>
      <c r="H26" s="27"/>
      <c r="I26" s="7" t="s">
        <v>23</v>
      </c>
      <c r="J26" s="4">
        <v>1</v>
      </c>
      <c r="K26" s="4">
        <f t="shared" si="5"/>
        <v>2</v>
      </c>
      <c r="L26" s="4">
        <f t="shared" si="6"/>
        <v>4</v>
      </c>
    </row>
    <row r="27" spans="1:12" ht="25.05" customHeight="1">
      <c r="A27" s="6" t="s">
        <v>26</v>
      </c>
      <c r="B27" s="3">
        <v>1</v>
      </c>
      <c r="C27" s="3">
        <f t="shared" si="0"/>
        <v>1</v>
      </c>
      <c r="D27" s="3">
        <f t="shared" si="1"/>
        <v>2</v>
      </c>
      <c r="E27" s="3">
        <f t="shared" si="2"/>
        <v>3</v>
      </c>
      <c r="F27" s="3">
        <f t="shared" si="3"/>
        <v>4</v>
      </c>
      <c r="G27" s="3">
        <f t="shared" si="4"/>
        <v>4</v>
      </c>
      <c r="H27" s="27"/>
      <c r="I27" s="6" t="s">
        <v>26</v>
      </c>
      <c r="J27" s="3">
        <v>1</v>
      </c>
      <c r="K27" s="3">
        <f t="shared" si="5"/>
        <v>3</v>
      </c>
      <c r="L27" s="3">
        <f t="shared" si="6"/>
        <v>4</v>
      </c>
    </row>
    <row r="28" spans="1:12" ht="25.05" customHeight="1">
      <c r="A28" s="7" t="s">
        <v>29</v>
      </c>
      <c r="B28" s="4">
        <v>1</v>
      </c>
      <c r="C28" s="4">
        <f t="shared" si="0"/>
        <v>1</v>
      </c>
      <c r="D28" s="4">
        <f t="shared" si="1"/>
        <v>2</v>
      </c>
      <c r="E28" s="4">
        <f t="shared" si="2"/>
        <v>3</v>
      </c>
      <c r="F28" s="4">
        <f t="shared" si="3"/>
        <v>4</v>
      </c>
      <c r="G28" s="4">
        <f t="shared" si="4"/>
        <v>4</v>
      </c>
      <c r="H28" s="27"/>
      <c r="I28" s="7" t="s">
        <v>29</v>
      </c>
      <c r="J28" s="4">
        <v>1</v>
      </c>
      <c r="K28" s="4">
        <f t="shared" si="5"/>
        <v>3</v>
      </c>
      <c r="L28" s="4">
        <f t="shared" si="6"/>
        <v>4</v>
      </c>
    </row>
    <row r="29" spans="1:12" ht="25.05" customHeight="1">
      <c r="A29" s="6" t="s">
        <v>32</v>
      </c>
      <c r="B29" s="3">
        <v>2</v>
      </c>
      <c r="C29" s="3">
        <f t="shared" si="0"/>
        <v>1</v>
      </c>
      <c r="D29" s="3">
        <f t="shared" si="1"/>
        <v>2</v>
      </c>
      <c r="E29" s="3">
        <f t="shared" si="2"/>
        <v>3</v>
      </c>
      <c r="F29" s="3">
        <f t="shared" si="3"/>
        <v>3</v>
      </c>
      <c r="G29" s="3">
        <f t="shared" si="4"/>
        <v>3</v>
      </c>
      <c r="H29" s="27"/>
      <c r="I29" s="6" t="s">
        <v>32</v>
      </c>
      <c r="J29" s="3">
        <v>2</v>
      </c>
      <c r="K29" s="3">
        <f t="shared" si="5"/>
        <v>3</v>
      </c>
      <c r="L29" s="3">
        <f t="shared" si="6"/>
        <v>3</v>
      </c>
    </row>
    <row r="30" spans="1:12" ht="25.05" customHeight="1">
      <c r="A30" s="8" t="s">
        <v>33</v>
      </c>
      <c r="B30" s="5">
        <v>2</v>
      </c>
      <c r="C30" s="5">
        <f t="shared" si="0"/>
        <v>1</v>
      </c>
      <c r="D30" s="5">
        <f t="shared" si="1"/>
        <v>2</v>
      </c>
      <c r="E30" s="5">
        <f t="shared" si="2"/>
        <v>3</v>
      </c>
      <c r="F30" s="5">
        <f t="shared" si="3"/>
        <v>3</v>
      </c>
      <c r="G30" s="5">
        <f t="shared" si="4"/>
        <v>3</v>
      </c>
      <c r="H30" s="27"/>
      <c r="I30" s="8" t="s">
        <v>33</v>
      </c>
      <c r="J30" s="5">
        <v>2</v>
      </c>
      <c r="K30" s="5">
        <f t="shared" si="5"/>
        <v>3</v>
      </c>
      <c r="L30" s="5">
        <f t="shared" si="6"/>
        <v>3</v>
      </c>
    </row>
    <row r="31" spans="1:1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ht="30" customHeight="1">
      <c r="A34" s="35" t="s">
        <v>85</v>
      </c>
      <c r="B34" s="35"/>
      <c r="C34" s="35"/>
      <c r="D34" s="35"/>
      <c r="E34" s="35"/>
      <c r="F34" s="35"/>
      <c r="G34" s="35"/>
      <c r="H34" s="27"/>
      <c r="I34" s="35" t="s">
        <v>86</v>
      </c>
      <c r="J34" s="35"/>
      <c r="K34" s="35"/>
      <c r="L34" s="35"/>
    </row>
    <row r="35" spans="1:12" ht="43.95" customHeight="1">
      <c r="A35" s="2" t="s">
        <v>3</v>
      </c>
      <c r="B35" s="2" t="s">
        <v>10</v>
      </c>
      <c r="C35" s="2" t="s">
        <v>87</v>
      </c>
      <c r="D35" s="2" t="s">
        <v>88</v>
      </c>
      <c r="E35" s="2" t="s">
        <v>89</v>
      </c>
      <c r="F35" s="2" t="s">
        <v>90</v>
      </c>
      <c r="G35" s="2" t="s">
        <v>91</v>
      </c>
      <c r="H35" s="27"/>
      <c r="I35" s="2" t="s">
        <v>3</v>
      </c>
      <c r="J35" s="2" t="s">
        <v>10</v>
      </c>
      <c r="K35" s="2" t="s">
        <v>89</v>
      </c>
      <c r="L35" s="2" t="s">
        <v>91</v>
      </c>
    </row>
    <row r="36" spans="1:12" ht="25.05" customHeight="1">
      <c r="A36" s="6" t="s">
        <v>13</v>
      </c>
      <c r="B36" s="3">
        <v>1</v>
      </c>
      <c r="C36" s="3">
        <f t="shared" ref="C36:C45" si="7">IF(C21/1&gt;0.5,1,0)</f>
        <v>1</v>
      </c>
      <c r="D36" s="3">
        <f t="shared" ref="D36:D45" si="8">IF(D21/2&gt;0.5,1,0)</f>
        <v>1</v>
      </c>
      <c r="E36" s="3">
        <f t="shared" ref="E36:E45" si="9">IF(E21/3&gt;0.5,1,0)</f>
        <v>1</v>
      </c>
      <c r="F36" s="3">
        <f t="shared" ref="F36:F45" si="10">IF(F21/4&gt;0.5,1,0)</f>
        <v>1</v>
      </c>
      <c r="G36" s="3">
        <f t="shared" ref="G36:G45" si="11">IF(G21/5&gt;0.5,1,0)</f>
        <v>1</v>
      </c>
      <c r="H36" s="27"/>
      <c r="I36" s="6" t="s">
        <v>13</v>
      </c>
      <c r="J36" s="3">
        <v>1</v>
      </c>
      <c r="K36" s="3">
        <f t="shared" ref="K36:K45" si="12">E36</f>
        <v>1</v>
      </c>
      <c r="L36" s="3">
        <f t="shared" ref="L36:L45" si="13">G36</f>
        <v>1</v>
      </c>
    </row>
    <row r="37" spans="1:12" ht="25.05" customHeight="1">
      <c r="A37" s="7" t="s">
        <v>15</v>
      </c>
      <c r="B37" s="4">
        <v>1</v>
      </c>
      <c r="C37" s="4">
        <f t="shared" si="7"/>
        <v>1</v>
      </c>
      <c r="D37" s="4">
        <f t="shared" si="8"/>
        <v>1</v>
      </c>
      <c r="E37" s="4">
        <f t="shared" si="9"/>
        <v>1</v>
      </c>
      <c r="F37" s="4">
        <f t="shared" si="10"/>
        <v>1</v>
      </c>
      <c r="G37" s="4">
        <f t="shared" si="11"/>
        <v>1</v>
      </c>
      <c r="H37" s="27"/>
      <c r="I37" s="7" t="s">
        <v>15</v>
      </c>
      <c r="J37" s="4">
        <v>1</v>
      </c>
      <c r="K37" s="4">
        <f t="shared" si="12"/>
        <v>1</v>
      </c>
      <c r="L37" s="4">
        <f t="shared" si="13"/>
        <v>1</v>
      </c>
    </row>
    <row r="38" spans="1:12" ht="25.05" customHeight="1">
      <c r="A38" s="6" t="s">
        <v>17</v>
      </c>
      <c r="B38" s="3">
        <v>2</v>
      </c>
      <c r="C38" s="3">
        <f t="shared" si="7"/>
        <v>0</v>
      </c>
      <c r="D38" s="3">
        <f t="shared" si="8"/>
        <v>0</v>
      </c>
      <c r="E38" s="3">
        <f t="shared" si="9"/>
        <v>1</v>
      </c>
      <c r="F38" s="3">
        <f t="shared" si="10"/>
        <v>0</v>
      </c>
      <c r="G38" s="3">
        <f t="shared" si="11"/>
        <v>1</v>
      </c>
      <c r="H38" s="27"/>
      <c r="I38" s="6" t="s">
        <v>17</v>
      </c>
      <c r="J38" s="3">
        <v>2</v>
      </c>
      <c r="K38" s="3">
        <f t="shared" si="12"/>
        <v>1</v>
      </c>
      <c r="L38" s="3">
        <f t="shared" si="13"/>
        <v>1</v>
      </c>
    </row>
    <row r="39" spans="1:12" ht="25.05" customHeight="1">
      <c r="A39" s="7" t="s">
        <v>19</v>
      </c>
      <c r="B39" s="4">
        <v>1</v>
      </c>
      <c r="C39" s="4">
        <f t="shared" si="7"/>
        <v>1</v>
      </c>
      <c r="D39" s="4">
        <f t="shared" si="8"/>
        <v>1</v>
      </c>
      <c r="E39" s="4">
        <f t="shared" si="9"/>
        <v>1</v>
      </c>
      <c r="F39" s="4">
        <f t="shared" si="10"/>
        <v>1</v>
      </c>
      <c r="G39" s="4">
        <f t="shared" si="11"/>
        <v>1</v>
      </c>
      <c r="H39" s="27"/>
      <c r="I39" s="7" t="s">
        <v>19</v>
      </c>
      <c r="J39" s="4">
        <v>1</v>
      </c>
      <c r="K39" s="4">
        <f t="shared" si="12"/>
        <v>1</v>
      </c>
      <c r="L39" s="4">
        <f t="shared" si="13"/>
        <v>1</v>
      </c>
    </row>
    <row r="40" spans="1:12" ht="25.05" customHeight="1">
      <c r="A40" s="6" t="s">
        <v>21</v>
      </c>
      <c r="B40" s="3">
        <v>2</v>
      </c>
      <c r="C40" s="3">
        <f t="shared" si="7"/>
        <v>1</v>
      </c>
      <c r="D40" s="3">
        <f t="shared" si="8"/>
        <v>1</v>
      </c>
      <c r="E40" s="3">
        <f t="shared" si="9"/>
        <v>1</v>
      </c>
      <c r="F40" s="3">
        <f t="shared" si="10"/>
        <v>1</v>
      </c>
      <c r="G40" s="3">
        <f t="shared" si="11"/>
        <v>1</v>
      </c>
      <c r="H40" s="27"/>
      <c r="I40" s="6" t="s">
        <v>21</v>
      </c>
      <c r="J40" s="3">
        <v>2</v>
      </c>
      <c r="K40" s="3">
        <f t="shared" si="12"/>
        <v>1</v>
      </c>
      <c r="L40" s="3">
        <f t="shared" si="13"/>
        <v>1</v>
      </c>
    </row>
    <row r="41" spans="1:12" ht="25.05" customHeight="1">
      <c r="A41" s="7" t="s">
        <v>23</v>
      </c>
      <c r="B41" s="4">
        <v>1</v>
      </c>
      <c r="C41" s="4">
        <f t="shared" si="7"/>
        <v>0</v>
      </c>
      <c r="D41" s="4">
        <f t="shared" si="8"/>
        <v>0</v>
      </c>
      <c r="E41" s="4">
        <f t="shared" si="9"/>
        <v>1</v>
      </c>
      <c r="F41" s="4">
        <f t="shared" si="10"/>
        <v>1</v>
      </c>
      <c r="G41" s="4">
        <f t="shared" si="11"/>
        <v>1</v>
      </c>
      <c r="H41" s="27"/>
      <c r="I41" s="7" t="s">
        <v>23</v>
      </c>
      <c r="J41" s="4">
        <v>1</v>
      </c>
      <c r="K41" s="4">
        <f t="shared" si="12"/>
        <v>1</v>
      </c>
      <c r="L41" s="4">
        <f t="shared" si="13"/>
        <v>1</v>
      </c>
    </row>
    <row r="42" spans="1:12" ht="25.05" customHeight="1">
      <c r="A42" s="6" t="s">
        <v>26</v>
      </c>
      <c r="B42" s="3">
        <v>1</v>
      </c>
      <c r="C42" s="3">
        <f t="shared" si="7"/>
        <v>1</v>
      </c>
      <c r="D42" s="3">
        <f t="shared" si="8"/>
        <v>1</v>
      </c>
      <c r="E42" s="3">
        <f t="shared" si="9"/>
        <v>1</v>
      </c>
      <c r="F42" s="3">
        <f t="shared" si="10"/>
        <v>1</v>
      </c>
      <c r="G42" s="3">
        <f t="shared" si="11"/>
        <v>1</v>
      </c>
      <c r="H42" s="27"/>
      <c r="I42" s="6" t="s">
        <v>26</v>
      </c>
      <c r="J42" s="3">
        <v>1</v>
      </c>
      <c r="K42" s="3">
        <f t="shared" si="12"/>
        <v>1</v>
      </c>
      <c r="L42" s="3">
        <f t="shared" si="13"/>
        <v>1</v>
      </c>
    </row>
    <row r="43" spans="1:12" ht="25.05" customHeight="1">
      <c r="A43" s="7" t="s">
        <v>29</v>
      </c>
      <c r="B43" s="4">
        <v>1</v>
      </c>
      <c r="C43" s="4">
        <f t="shared" si="7"/>
        <v>1</v>
      </c>
      <c r="D43" s="4">
        <f t="shared" si="8"/>
        <v>1</v>
      </c>
      <c r="E43" s="4">
        <f t="shared" si="9"/>
        <v>1</v>
      </c>
      <c r="F43" s="4">
        <f t="shared" si="10"/>
        <v>1</v>
      </c>
      <c r="G43" s="4">
        <f t="shared" si="11"/>
        <v>1</v>
      </c>
      <c r="H43" s="27"/>
      <c r="I43" s="7" t="s">
        <v>29</v>
      </c>
      <c r="J43" s="4">
        <v>1</v>
      </c>
      <c r="K43" s="4">
        <f t="shared" si="12"/>
        <v>1</v>
      </c>
      <c r="L43" s="4">
        <f t="shared" si="13"/>
        <v>1</v>
      </c>
    </row>
    <row r="44" spans="1:12" ht="25.05" customHeight="1">
      <c r="A44" s="6" t="s">
        <v>32</v>
      </c>
      <c r="B44" s="3">
        <v>2</v>
      </c>
      <c r="C44" s="3">
        <f t="shared" si="7"/>
        <v>1</v>
      </c>
      <c r="D44" s="3">
        <f t="shared" si="8"/>
        <v>1</v>
      </c>
      <c r="E44" s="3">
        <f t="shared" si="9"/>
        <v>1</v>
      </c>
      <c r="F44" s="3">
        <f t="shared" si="10"/>
        <v>1</v>
      </c>
      <c r="G44" s="3">
        <f t="shared" si="11"/>
        <v>1</v>
      </c>
      <c r="H44" s="27"/>
      <c r="I44" s="6" t="s">
        <v>32</v>
      </c>
      <c r="J44" s="3">
        <v>2</v>
      </c>
      <c r="K44" s="3">
        <f t="shared" si="12"/>
        <v>1</v>
      </c>
      <c r="L44" s="3">
        <f t="shared" si="13"/>
        <v>1</v>
      </c>
    </row>
    <row r="45" spans="1:12" ht="25.05" customHeight="1">
      <c r="A45" s="8" t="s">
        <v>33</v>
      </c>
      <c r="B45" s="5">
        <v>2</v>
      </c>
      <c r="C45" s="5">
        <f t="shared" si="7"/>
        <v>1</v>
      </c>
      <c r="D45" s="5">
        <f t="shared" si="8"/>
        <v>1</v>
      </c>
      <c r="E45" s="5">
        <f t="shared" si="9"/>
        <v>1</v>
      </c>
      <c r="F45" s="5">
        <f t="shared" si="10"/>
        <v>1</v>
      </c>
      <c r="G45" s="5">
        <f t="shared" si="11"/>
        <v>1</v>
      </c>
      <c r="H45" s="27"/>
      <c r="I45" s="8" t="s">
        <v>33</v>
      </c>
      <c r="J45" s="5">
        <v>2</v>
      </c>
      <c r="K45" s="5">
        <f t="shared" si="12"/>
        <v>1</v>
      </c>
      <c r="L45" s="5">
        <f t="shared" si="13"/>
        <v>1</v>
      </c>
    </row>
    <row r="46" spans="1:1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spans="1:1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ht="30" customHeight="1">
      <c r="A49" s="35" t="s">
        <v>92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27"/>
    </row>
    <row r="50" spans="1:12" ht="43.95" customHeight="1">
      <c r="A50" s="2" t="s">
        <v>3</v>
      </c>
      <c r="B50" s="2" t="s">
        <v>10</v>
      </c>
      <c r="C50" s="2" t="s">
        <v>69</v>
      </c>
      <c r="D50" s="2" t="s">
        <v>70</v>
      </c>
      <c r="E50" s="2" t="s">
        <v>71</v>
      </c>
      <c r="F50" s="2" t="s">
        <v>72</v>
      </c>
      <c r="G50" s="2" t="s">
        <v>73</v>
      </c>
      <c r="H50" s="2" t="s">
        <v>74</v>
      </c>
      <c r="I50" s="2" t="s">
        <v>75</v>
      </c>
      <c r="J50" s="2" t="s">
        <v>76</v>
      </c>
      <c r="K50" s="2" t="s">
        <v>77</v>
      </c>
      <c r="L50" s="27"/>
    </row>
    <row r="51" spans="1:12" ht="25.05" customHeight="1">
      <c r="A51" s="6" t="s">
        <v>13</v>
      </c>
      <c r="B51" s="3">
        <v>1</v>
      </c>
      <c r="C51" s="3">
        <f>IF(INDEX(Dataset!$H$6:$H$15,MATCH(Neighbors!B21,Dataset!$A$6:$A$15,0))=Dataset!H6,1,0)</f>
        <v>1</v>
      </c>
      <c r="D51" s="3">
        <f>IF(INDEX(Dataset!$H$6:$H$15,MATCH(Neighbors!D21,Dataset!$A$6:$A$15,0))=Dataset!H6,1,0)</f>
        <v>1</v>
      </c>
      <c r="E51" s="3">
        <f>IF(INDEX(Dataset!$H$6:$H$15,MATCH(Neighbors!F21,Dataset!$A$6:$A$15,0))=Dataset!H6,1,0)</f>
        <v>1</v>
      </c>
      <c r="F51" s="3">
        <f>IF(INDEX(Dataset!$H$6:$H$15,MATCH(Neighbors!H21,Dataset!$A$6:$A$15,0))=Dataset!H6,1,0)</f>
        <v>1</v>
      </c>
      <c r="G51" s="3">
        <f>IF(INDEX(Dataset!$H$6:$H$15,MATCH(Neighbors!J21,Dataset!$A$6:$A$15,0))=Dataset!H6,1,0)</f>
        <v>1</v>
      </c>
      <c r="H51" s="3">
        <f>IF(INDEX(Dataset!$H$6:$H$15,MATCH(Neighbors!L21,Dataset!$A$6:$A$15,0))=Dataset!H6,1,0)</f>
        <v>0</v>
      </c>
      <c r="I51" s="3">
        <f>IF(INDEX(Dataset!$H$6:$H$15,MATCH(Neighbors!N21,Dataset!$A$6:$A$15,0))=Dataset!H6,1,0)</f>
        <v>0</v>
      </c>
      <c r="J51" s="3">
        <f>IF(INDEX(Dataset!$H$6:$H$15,MATCH(Neighbors!P21,Dataset!$A$6:$A$15,0))=Dataset!H6,1,0)</f>
        <v>0</v>
      </c>
      <c r="K51" s="3">
        <f>IF(INDEX(Dataset!$H$6:$H$15,MATCH(Neighbors!R21,Dataset!$A$6:$A$15,0))=Dataset!H6,1,0)</f>
        <v>0</v>
      </c>
      <c r="L51" s="27"/>
    </row>
    <row r="52" spans="1:12" ht="25.05" customHeight="1">
      <c r="A52" s="7" t="s">
        <v>15</v>
      </c>
      <c r="B52" s="4">
        <v>1</v>
      </c>
      <c r="C52" s="4">
        <f>IF(INDEX(Dataset!$H$6:$H$15,MATCH(Neighbors!B22,Dataset!$A$6:$A$15,0))=Dataset!H7,1,0)</f>
        <v>1</v>
      </c>
      <c r="D52" s="4">
        <f>IF(INDEX(Dataset!$H$6:$H$15,MATCH(Neighbors!D22,Dataset!$A$6:$A$15,0))=Dataset!H7,1,0)</f>
        <v>1</v>
      </c>
      <c r="E52" s="4">
        <f>IF(INDEX(Dataset!$H$6:$H$15,MATCH(Neighbors!F22,Dataset!$A$6:$A$15,0))=Dataset!H7,1,0)</f>
        <v>1</v>
      </c>
      <c r="F52" s="4">
        <f>IF(INDEX(Dataset!$H$6:$H$15,MATCH(Neighbors!H22,Dataset!$A$6:$A$15,0))=Dataset!H7,1,0)</f>
        <v>1</v>
      </c>
      <c r="G52" s="4">
        <f>IF(INDEX(Dataset!$H$6:$H$15,MATCH(Neighbors!J22,Dataset!$A$6:$A$15,0))=Dataset!H7,1,0)</f>
        <v>1</v>
      </c>
      <c r="H52" s="4">
        <f>IF(INDEX(Dataset!$H$6:$H$15,MATCH(Neighbors!L22,Dataset!$A$6:$A$15,0))=Dataset!H7,1,0)</f>
        <v>0</v>
      </c>
      <c r="I52" s="4">
        <f>IF(INDEX(Dataset!$H$6:$H$15,MATCH(Neighbors!N22,Dataset!$A$6:$A$15,0))=Dataset!H7,1,0)</f>
        <v>0</v>
      </c>
      <c r="J52" s="4">
        <f>IF(INDEX(Dataset!$H$6:$H$15,MATCH(Neighbors!P22,Dataset!$A$6:$A$15,0))=Dataset!H7,1,0)</f>
        <v>0</v>
      </c>
      <c r="K52" s="4">
        <f>IF(INDEX(Dataset!$H$6:$H$15,MATCH(Neighbors!R22,Dataset!$A$6:$A$15,0))=Dataset!H7,1,0)</f>
        <v>0</v>
      </c>
      <c r="L52" s="27"/>
    </row>
    <row r="53" spans="1:12" ht="25.05" customHeight="1">
      <c r="A53" s="6" t="s">
        <v>17</v>
      </c>
      <c r="B53" s="3">
        <v>2</v>
      </c>
      <c r="C53" s="3">
        <f>IF(INDEX(Dataset!$H$6:$H$15,MATCH(Neighbors!B23,Dataset!$A$6:$A$15,0))=Dataset!H8,1,0)</f>
        <v>0</v>
      </c>
      <c r="D53" s="3">
        <f>IF(INDEX(Dataset!$H$6:$H$15,MATCH(Neighbors!D23,Dataset!$A$6:$A$15,0))=Dataset!H8,1,0)</f>
        <v>1</v>
      </c>
      <c r="E53" s="3">
        <f>IF(INDEX(Dataset!$H$6:$H$15,MATCH(Neighbors!F23,Dataset!$A$6:$A$15,0))=Dataset!H8,1,0)</f>
        <v>0</v>
      </c>
      <c r="F53" s="3">
        <f>IF(INDEX(Dataset!$H$6:$H$15,MATCH(Neighbors!H23,Dataset!$A$6:$A$15,0))=Dataset!H8,1,0)</f>
        <v>1</v>
      </c>
      <c r="G53" s="3">
        <f>IF(INDEX(Dataset!$H$6:$H$15,MATCH(Neighbors!J23,Dataset!$A$6:$A$15,0))=Dataset!H8,1,0)</f>
        <v>1</v>
      </c>
      <c r="H53" s="3">
        <f>IF(INDEX(Dataset!$H$6:$H$15,MATCH(Neighbors!L23,Dataset!$A$6:$A$15,0))=Dataset!H8,1,0)</f>
        <v>0</v>
      </c>
      <c r="I53" s="3">
        <f>IF(INDEX(Dataset!$H$6:$H$15,MATCH(Neighbors!N23,Dataset!$A$6:$A$15,0))=Dataset!H8,1,0)</f>
        <v>0</v>
      </c>
      <c r="J53" s="3">
        <f>IF(INDEX(Dataset!$H$6:$H$15,MATCH(Neighbors!P23,Dataset!$A$6:$A$15,0))=Dataset!H8,1,0)</f>
        <v>0</v>
      </c>
      <c r="K53" s="3">
        <f>IF(INDEX(Dataset!$H$6:$H$15,MATCH(Neighbors!R23,Dataset!$A$6:$A$15,0))=Dataset!H8,1,0)</f>
        <v>0</v>
      </c>
      <c r="L53" s="27"/>
    </row>
    <row r="54" spans="1:12" ht="25.05" customHeight="1">
      <c r="A54" s="7" t="s">
        <v>19</v>
      </c>
      <c r="B54" s="4">
        <v>1</v>
      </c>
      <c r="C54" s="4">
        <f>IF(INDEX(Dataset!$H$6:$H$15,MATCH(Neighbors!B24,Dataset!$A$6:$A$15,0))=Dataset!H9,1,0)</f>
        <v>1</v>
      </c>
      <c r="D54" s="4">
        <f>IF(INDEX(Dataset!$H$6:$H$15,MATCH(Neighbors!D24,Dataset!$A$6:$A$15,0))=Dataset!H9,1,0)</f>
        <v>1</v>
      </c>
      <c r="E54" s="4">
        <f>IF(INDEX(Dataset!$H$6:$H$15,MATCH(Neighbors!F24,Dataset!$A$6:$A$15,0))=Dataset!H9,1,0)</f>
        <v>1</v>
      </c>
      <c r="F54" s="4">
        <f>IF(INDEX(Dataset!$H$6:$H$15,MATCH(Neighbors!H24,Dataset!$A$6:$A$15,0))=Dataset!H9,1,0)</f>
        <v>1</v>
      </c>
      <c r="G54" s="4">
        <f>IF(INDEX(Dataset!$H$6:$H$15,MATCH(Neighbors!J24,Dataset!$A$6:$A$15,0))=Dataset!H9,1,0)</f>
        <v>0</v>
      </c>
      <c r="H54" s="4">
        <f>IF(INDEX(Dataset!$H$6:$H$15,MATCH(Neighbors!L24,Dataset!$A$6:$A$15,0))=Dataset!H9,1,0)</f>
        <v>1</v>
      </c>
      <c r="I54" s="4">
        <f>IF(INDEX(Dataset!$H$6:$H$15,MATCH(Neighbors!N24,Dataset!$A$6:$A$15,0))=Dataset!H9,1,0)</f>
        <v>0</v>
      </c>
      <c r="J54" s="4">
        <f>IF(INDEX(Dataset!$H$6:$H$15,MATCH(Neighbors!P24,Dataset!$A$6:$A$15,0))=Dataset!H9,1,0)</f>
        <v>0</v>
      </c>
      <c r="K54" s="4">
        <f>IF(INDEX(Dataset!$H$6:$H$15,MATCH(Neighbors!R24,Dataset!$A$6:$A$15,0))=Dataset!H9,1,0)</f>
        <v>0</v>
      </c>
      <c r="L54" s="27"/>
    </row>
    <row r="55" spans="1:12" ht="25.05" customHeight="1">
      <c r="A55" s="6" t="s">
        <v>21</v>
      </c>
      <c r="B55" s="3">
        <v>2</v>
      </c>
      <c r="C55" s="3">
        <f>IF(INDEX(Dataset!$H$6:$H$15,MATCH(Neighbors!B25,Dataset!$A$6:$A$15,0))=Dataset!H10,1,0)</f>
        <v>1</v>
      </c>
      <c r="D55" s="3">
        <f>IF(INDEX(Dataset!$H$6:$H$15,MATCH(Neighbors!D25,Dataset!$A$6:$A$15,0))=Dataset!H10,1,0)</f>
        <v>1</v>
      </c>
      <c r="E55" s="3">
        <f>IF(INDEX(Dataset!$H$6:$H$15,MATCH(Neighbors!F25,Dataset!$A$6:$A$15,0))=Dataset!H10,1,0)</f>
        <v>1</v>
      </c>
      <c r="F55" s="3">
        <f>IF(INDEX(Dataset!$H$6:$H$15,MATCH(Neighbors!H25,Dataset!$A$6:$A$15,0))=Dataset!H10,1,0)</f>
        <v>0</v>
      </c>
      <c r="G55" s="3">
        <f>IF(INDEX(Dataset!$H$6:$H$15,MATCH(Neighbors!J25,Dataset!$A$6:$A$15,0))=Dataset!H10,1,0)</f>
        <v>0</v>
      </c>
      <c r="H55" s="3">
        <f>IF(INDEX(Dataset!$H$6:$H$15,MATCH(Neighbors!L25,Dataset!$A$6:$A$15,0))=Dataset!H10,1,0)</f>
        <v>0</v>
      </c>
      <c r="I55" s="3">
        <f>IF(INDEX(Dataset!$H$6:$H$15,MATCH(Neighbors!N25,Dataset!$A$6:$A$15,0))=Dataset!H10,1,0)</f>
        <v>0</v>
      </c>
      <c r="J55" s="3">
        <f>IF(INDEX(Dataset!$H$6:$H$15,MATCH(Neighbors!P25,Dataset!$A$6:$A$15,0))=Dataset!H10,1,0)</f>
        <v>0</v>
      </c>
      <c r="K55" s="3">
        <f>IF(INDEX(Dataset!$H$6:$H$15,MATCH(Neighbors!R25,Dataset!$A$6:$A$15,0))=Dataset!H10,1,0)</f>
        <v>0</v>
      </c>
      <c r="L55" s="27"/>
    </row>
    <row r="56" spans="1:12" ht="25.05" customHeight="1">
      <c r="A56" s="7" t="s">
        <v>23</v>
      </c>
      <c r="B56" s="4">
        <v>1</v>
      </c>
      <c r="C56" s="4">
        <f>IF(INDEX(Dataset!$H$6:$H$15,MATCH(Neighbors!B26,Dataset!$A$6:$A$15,0))=Dataset!H11,1,0)</f>
        <v>0</v>
      </c>
      <c r="D56" s="4">
        <f>IF(INDEX(Dataset!$H$6:$H$15,MATCH(Neighbors!D26,Dataset!$A$6:$A$15,0))=Dataset!H11,1,0)</f>
        <v>1</v>
      </c>
      <c r="E56" s="4">
        <f>IF(INDEX(Dataset!$H$6:$H$15,MATCH(Neighbors!F26,Dataset!$A$6:$A$15,0))=Dataset!H11,1,0)</f>
        <v>1</v>
      </c>
      <c r="F56" s="4">
        <f>IF(INDEX(Dataset!$H$6:$H$15,MATCH(Neighbors!H26,Dataset!$A$6:$A$15,0))=Dataset!H11,1,0)</f>
        <v>1</v>
      </c>
      <c r="G56" s="4">
        <f>IF(INDEX(Dataset!$H$6:$H$15,MATCH(Neighbors!J26,Dataset!$A$6:$A$15,0))=Dataset!H11,1,0)</f>
        <v>1</v>
      </c>
      <c r="H56" s="4">
        <f>IF(INDEX(Dataset!$H$6:$H$15,MATCH(Neighbors!L26,Dataset!$A$6:$A$15,0))=Dataset!H11,1,0)</f>
        <v>0</v>
      </c>
      <c r="I56" s="4">
        <f>IF(INDEX(Dataset!$H$6:$H$15,MATCH(Neighbors!N26,Dataset!$A$6:$A$15,0))=Dataset!H11,1,0)</f>
        <v>0</v>
      </c>
      <c r="J56" s="4">
        <f>IF(INDEX(Dataset!$H$6:$H$15,MATCH(Neighbors!P26,Dataset!$A$6:$A$15,0))=Dataset!H11,1,0)</f>
        <v>0</v>
      </c>
      <c r="K56" s="4">
        <f>IF(INDEX(Dataset!$H$6:$H$15,MATCH(Neighbors!R26,Dataset!$A$6:$A$15,0))=Dataset!H11,1,0)</f>
        <v>1</v>
      </c>
      <c r="L56" s="27"/>
    </row>
    <row r="57" spans="1:12" ht="25.05" customHeight="1">
      <c r="A57" s="6" t="s">
        <v>26</v>
      </c>
      <c r="B57" s="3">
        <v>1</v>
      </c>
      <c r="C57" s="3">
        <f>IF(INDEX(Dataset!$H$6:$H$15,MATCH(Neighbors!B27,Dataset!$A$6:$A$15,0))=Dataset!H12,1,0)</f>
        <v>1</v>
      </c>
      <c r="D57" s="3">
        <f>IF(INDEX(Dataset!$H$6:$H$15,MATCH(Neighbors!D27,Dataset!$A$6:$A$15,0))=Dataset!H12,1,0)</f>
        <v>1</v>
      </c>
      <c r="E57" s="3">
        <f>IF(INDEX(Dataset!$H$6:$H$15,MATCH(Neighbors!F27,Dataset!$A$6:$A$15,0))=Dataset!H12,1,0)</f>
        <v>1</v>
      </c>
      <c r="F57" s="3">
        <f>IF(INDEX(Dataset!$H$6:$H$15,MATCH(Neighbors!H27,Dataset!$A$6:$A$15,0))=Dataset!H12,1,0)</f>
        <v>1</v>
      </c>
      <c r="G57" s="3">
        <f>IF(INDEX(Dataset!$H$6:$H$15,MATCH(Neighbors!J27,Dataset!$A$6:$A$15,0))=Dataset!H12,1,0)</f>
        <v>0</v>
      </c>
      <c r="H57" s="3">
        <f>IF(INDEX(Dataset!$H$6:$H$15,MATCH(Neighbors!L27,Dataset!$A$6:$A$15,0))=Dataset!H12,1,0)</f>
        <v>1</v>
      </c>
      <c r="I57" s="3">
        <f>IF(INDEX(Dataset!$H$6:$H$15,MATCH(Neighbors!N27,Dataset!$A$6:$A$15,0))=Dataset!H12,1,0)</f>
        <v>0</v>
      </c>
      <c r="J57" s="3">
        <f>IF(INDEX(Dataset!$H$6:$H$15,MATCH(Neighbors!P27,Dataset!$A$6:$A$15,0))=Dataset!H12,1,0)</f>
        <v>0</v>
      </c>
      <c r="K57" s="3">
        <f>IF(INDEX(Dataset!$H$6:$H$15,MATCH(Neighbors!R27,Dataset!$A$6:$A$15,0))=Dataset!H12,1,0)</f>
        <v>0</v>
      </c>
      <c r="L57" s="27"/>
    </row>
    <row r="58" spans="1:12" ht="25.05" customHeight="1">
      <c r="A58" s="7" t="s">
        <v>29</v>
      </c>
      <c r="B58" s="4">
        <v>1</v>
      </c>
      <c r="C58" s="4">
        <f>IF(INDEX(Dataset!$H$6:$H$15,MATCH(Neighbors!B28,Dataset!$A$6:$A$15,0))=Dataset!H13,1,0)</f>
        <v>1</v>
      </c>
      <c r="D58" s="4">
        <f>IF(INDEX(Dataset!$H$6:$H$15,MATCH(Neighbors!D28,Dataset!$A$6:$A$15,0))=Dataset!H13,1,0)</f>
        <v>1</v>
      </c>
      <c r="E58" s="4">
        <f>IF(INDEX(Dataset!$H$6:$H$15,MATCH(Neighbors!F28,Dataset!$A$6:$A$15,0))=Dataset!H13,1,0)</f>
        <v>1</v>
      </c>
      <c r="F58" s="4">
        <f>IF(INDEX(Dataset!$H$6:$H$15,MATCH(Neighbors!H28,Dataset!$A$6:$A$15,0))=Dataset!H13,1,0)</f>
        <v>1</v>
      </c>
      <c r="G58" s="4">
        <f>IF(INDEX(Dataset!$H$6:$H$15,MATCH(Neighbors!J28,Dataset!$A$6:$A$15,0))=Dataset!H13,1,0)</f>
        <v>0</v>
      </c>
      <c r="H58" s="4">
        <f>IF(INDEX(Dataset!$H$6:$H$15,MATCH(Neighbors!L28,Dataset!$A$6:$A$15,0))=Dataset!H13,1,0)</f>
        <v>1</v>
      </c>
      <c r="I58" s="4">
        <f>IF(INDEX(Dataset!$H$6:$H$15,MATCH(Neighbors!N28,Dataset!$A$6:$A$15,0))=Dataset!H13,1,0)</f>
        <v>0</v>
      </c>
      <c r="J58" s="4">
        <f>IF(INDEX(Dataset!$H$6:$H$15,MATCH(Neighbors!P28,Dataset!$A$6:$A$15,0))=Dataset!H13,1,0)</f>
        <v>0</v>
      </c>
      <c r="K58" s="4">
        <f>IF(INDEX(Dataset!$H$6:$H$15,MATCH(Neighbors!R28,Dataset!$A$6:$A$15,0))=Dataset!H13,1,0)</f>
        <v>0</v>
      </c>
      <c r="L58" s="27"/>
    </row>
    <row r="59" spans="1:12" ht="25.05" customHeight="1">
      <c r="A59" s="6" t="s">
        <v>32</v>
      </c>
      <c r="B59" s="3">
        <v>2</v>
      </c>
      <c r="C59" s="3">
        <f>IF(INDEX(Dataset!$H$6:$H$15,MATCH(Neighbors!B29,Dataset!$A$6:$A$15,0))=Dataset!H14,1,0)</f>
        <v>1</v>
      </c>
      <c r="D59" s="3">
        <f>IF(INDEX(Dataset!$H$6:$H$15,MATCH(Neighbors!D29,Dataset!$A$6:$A$15,0))=Dataset!H14,1,0)</f>
        <v>1</v>
      </c>
      <c r="E59" s="3">
        <f>IF(INDEX(Dataset!$H$6:$H$15,MATCH(Neighbors!F29,Dataset!$A$6:$A$15,0))=Dataset!H14,1,0)</f>
        <v>1</v>
      </c>
      <c r="F59" s="3">
        <f>IF(INDEX(Dataset!$H$6:$H$15,MATCH(Neighbors!H29,Dataset!$A$6:$A$15,0))=Dataset!H14,1,0)</f>
        <v>0</v>
      </c>
      <c r="G59" s="3">
        <f>IF(INDEX(Dataset!$H$6:$H$15,MATCH(Neighbors!J29,Dataset!$A$6:$A$15,0))=Dataset!H14,1,0)</f>
        <v>0</v>
      </c>
      <c r="H59" s="3">
        <f>IF(INDEX(Dataset!$H$6:$H$15,MATCH(Neighbors!L29,Dataset!$A$6:$A$15,0))=Dataset!H14,1,0)</f>
        <v>0</v>
      </c>
      <c r="I59" s="3">
        <f>IF(INDEX(Dataset!$H$6:$H$15,MATCH(Neighbors!N29,Dataset!$A$6:$A$15,0))=Dataset!H14,1,0)</f>
        <v>0</v>
      </c>
      <c r="J59" s="3">
        <f>IF(INDEX(Dataset!$H$6:$H$15,MATCH(Neighbors!P29,Dataset!$A$6:$A$15,0))=Dataset!H14,1,0)</f>
        <v>0</v>
      </c>
      <c r="K59" s="3">
        <f>IF(INDEX(Dataset!$H$6:$H$15,MATCH(Neighbors!R29,Dataset!$A$6:$A$15,0))=Dataset!H14,1,0)</f>
        <v>0</v>
      </c>
      <c r="L59" s="27"/>
    </row>
    <row r="60" spans="1:12" ht="25.05" customHeight="1">
      <c r="A60" s="8" t="s">
        <v>33</v>
      </c>
      <c r="B60" s="5">
        <v>2</v>
      </c>
      <c r="C60" s="5">
        <f>IF(INDEX(Dataset!$H$6:$H$15,MATCH(Neighbors!B30,Dataset!$A$6:$A$15,0))=Dataset!H15,1,0)</f>
        <v>1</v>
      </c>
      <c r="D60" s="5">
        <f>IF(INDEX(Dataset!$H$6:$H$15,MATCH(Neighbors!D30,Dataset!$A$6:$A$15,0))=Dataset!H15,1,0)</f>
        <v>1</v>
      </c>
      <c r="E60" s="5">
        <f>IF(INDEX(Dataset!$H$6:$H$15,MATCH(Neighbors!F30,Dataset!$A$6:$A$15,0))=Dataset!H15,1,0)</f>
        <v>1</v>
      </c>
      <c r="F60" s="5">
        <f>IF(INDEX(Dataset!$H$6:$H$15,MATCH(Neighbors!H30,Dataset!$A$6:$A$15,0))=Dataset!H15,1,0)</f>
        <v>0</v>
      </c>
      <c r="G60" s="5">
        <f>IF(INDEX(Dataset!$H$6:$H$15,MATCH(Neighbors!J30,Dataset!$A$6:$A$15,0))=Dataset!H15,1,0)</f>
        <v>0</v>
      </c>
      <c r="H60" s="5">
        <f>IF(INDEX(Dataset!$H$6:$H$15,MATCH(Neighbors!L30,Dataset!$A$6:$A$15,0))=Dataset!H15,1,0)</f>
        <v>0</v>
      </c>
      <c r="I60" s="5">
        <f>IF(INDEX(Dataset!$H$6:$H$15,MATCH(Neighbors!N30,Dataset!$A$6:$A$15,0))=Dataset!H15,1,0)</f>
        <v>0</v>
      </c>
      <c r="J60" s="5">
        <f>IF(INDEX(Dataset!$H$6:$H$15,MATCH(Neighbors!P30,Dataset!$A$6:$A$15,0))=Dataset!H15,1,0)</f>
        <v>0</v>
      </c>
      <c r="K60" s="5">
        <f>IF(INDEX(Dataset!$H$6:$H$15,MATCH(Neighbors!R30,Dataset!$A$6:$A$15,0))=Dataset!H15,1,0)</f>
        <v>0</v>
      </c>
      <c r="L60" s="27"/>
    </row>
    <row r="61" spans="1:1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spans="1:1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2" ht="30" customHeight="1">
      <c r="A64" s="35" t="s">
        <v>78</v>
      </c>
      <c r="B64" s="35"/>
      <c r="C64" s="35"/>
      <c r="D64" s="35"/>
      <c r="E64" s="35"/>
      <c r="F64" s="35"/>
      <c r="G64" s="35"/>
      <c r="H64" s="27"/>
      <c r="I64" s="35" t="s">
        <v>79</v>
      </c>
      <c r="J64" s="35"/>
      <c r="K64" s="35"/>
      <c r="L64" s="35"/>
    </row>
    <row r="65" spans="1:12" ht="43.95" customHeight="1">
      <c r="A65" s="2" t="s">
        <v>3</v>
      </c>
      <c r="B65" s="2" t="s">
        <v>10</v>
      </c>
      <c r="C65" s="2" t="s">
        <v>80</v>
      </c>
      <c r="D65" s="2" t="s">
        <v>81</v>
      </c>
      <c r="E65" s="2" t="s">
        <v>82</v>
      </c>
      <c r="F65" s="2" t="s">
        <v>83</v>
      </c>
      <c r="G65" s="2" t="s">
        <v>84</v>
      </c>
      <c r="H65" s="27"/>
      <c r="I65" s="2" t="s">
        <v>3</v>
      </c>
      <c r="J65" s="2" t="s">
        <v>10</v>
      </c>
      <c r="K65" s="2" t="s">
        <v>82</v>
      </c>
      <c r="L65" s="2" t="s">
        <v>84</v>
      </c>
    </row>
    <row r="66" spans="1:12" ht="25.05" customHeight="1">
      <c r="A66" s="6" t="s">
        <v>13</v>
      </c>
      <c r="B66" s="3">
        <v>1</v>
      </c>
      <c r="C66" s="3">
        <f t="shared" ref="C66:C75" si="14">SUM(C51:C51)</f>
        <v>1</v>
      </c>
      <c r="D66" s="3">
        <f t="shared" ref="D66:D75" si="15">SUM(C51:D51)</f>
        <v>2</v>
      </c>
      <c r="E66" s="3">
        <f t="shared" ref="E66:E75" si="16">SUM(C51:E51)</f>
        <v>3</v>
      </c>
      <c r="F66" s="3">
        <f t="shared" ref="F66:F75" si="17">SUM(C51:F51)</f>
        <v>4</v>
      </c>
      <c r="G66" s="3">
        <f t="shared" ref="G66:G75" si="18">SUM(C51:G51)</f>
        <v>5</v>
      </c>
      <c r="H66" s="27"/>
      <c r="I66" s="6" t="s">
        <v>13</v>
      </c>
      <c r="J66" s="3">
        <v>1</v>
      </c>
      <c r="K66" s="3">
        <f t="shared" ref="K66:K75" si="19">E66</f>
        <v>3</v>
      </c>
      <c r="L66" s="3">
        <f t="shared" ref="L66:L75" si="20">G66</f>
        <v>5</v>
      </c>
    </row>
    <row r="67" spans="1:12" ht="25.05" customHeight="1">
      <c r="A67" s="7" t="s">
        <v>15</v>
      </c>
      <c r="B67" s="4">
        <v>1</v>
      </c>
      <c r="C67" s="4">
        <f t="shared" si="14"/>
        <v>1</v>
      </c>
      <c r="D67" s="4">
        <f t="shared" si="15"/>
        <v>2</v>
      </c>
      <c r="E67" s="4">
        <f t="shared" si="16"/>
        <v>3</v>
      </c>
      <c r="F67" s="4">
        <f t="shared" si="17"/>
        <v>4</v>
      </c>
      <c r="G67" s="4">
        <f t="shared" si="18"/>
        <v>5</v>
      </c>
      <c r="H67" s="27"/>
      <c r="I67" s="7" t="s">
        <v>15</v>
      </c>
      <c r="J67" s="4">
        <v>1</v>
      </c>
      <c r="K67" s="4">
        <f t="shared" si="19"/>
        <v>3</v>
      </c>
      <c r="L67" s="4">
        <f t="shared" si="20"/>
        <v>5</v>
      </c>
    </row>
    <row r="68" spans="1:12" ht="25.05" customHeight="1">
      <c r="A68" s="6" t="s">
        <v>17</v>
      </c>
      <c r="B68" s="3">
        <v>2</v>
      </c>
      <c r="C68" s="3">
        <f t="shared" si="14"/>
        <v>0</v>
      </c>
      <c r="D68" s="3">
        <f t="shared" si="15"/>
        <v>1</v>
      </c>
      <c r="E68" s="3">
        <f t="shared" si="16"/>
        <v>1</v>
      </c>
      <c r="F68" s="3">
        <f t="shared" si="17"/>
        <v>2</v>
      </c>
      <c r="G68" s="3">
        <f t="shared" si="18"/>
        <v>3</v>
      </c>
      <c r="H68" s="27"/>
      <c r="I68" s="6" t="s">
        <v>17</v>
      </c>
      <c r="J68" s="3">
        <v>2</v>
      </c>
      <c r="K68" s="3">
        <f t="shared" si="19"/>
        <v>1</v>
      </c>
      <c r="L68" s="3">
        <f t="shared" si="20"/>
        <v>3</v>
      </c>
    </row>
    <row r="69" spans="1:12" ht="25.05" customHeight="1">
      <c r="A69" s="7" t="s">
        <v>19</v>
      </c>
      <c r="B69" s="4">
        <v>1</v>
      </c>
      <c r="C69" s="4">
        <f t="shared" si="14"/>
        <v>1</v>
      </c>
      <c r="D69" s="4">
        <f t="shared" si="15"/>
        <v>2</v>
      </c>
      <c r="E69" s="4">
        <f t="shared" si="16"/>
        <v>3</v>
      </c>
      <c r="F69" s="4">
        <f t="shared" si="17"/>
        <v>4</v>
      </c>
      <c r="G69" s="4">
        <f t="shared" si="18"/>
        <v>4</v>
      </c>
      <c r="H69" s="27"/>
      <c r="I69" s="7" t="s">
        <v>19</v>
      </c>
      <c r="J69" s="4">
        <v>1</v>
      </c>
      <c r="K69" s="4">
        <f t="shared" si="19"/>
        <v>3</v>
      </c>
      <c r="L69" s="4">
        <f t="shared" si="20"/>
        <v>4</v>
      </c>
    </row>
    <row r="70" spans="1:12" ht="25.05" customHeight="1">
      <c r="A70" s="6" t="s">
        <v>21</v>
      </c>
      <c r="B70" s="3">
        <v>2</v>
      </c>
      <c r="C70" s="3">
        <f t="shared" si="14"/>
        <v>1</v>
      </c>
      <c r="D70" s="3">
        <f t="shared" si="15"/>
        <v>2</v>
      </c>
      <c r="E70" s="3">
        <f t="shared" si="16"/>
        <v>3</v>
      </c>
      <c r="F70" s="3">
        <f t="shared" si="17"/>
        <v>3</v>
      </c>
      <c r="G70" s="3">
        <f t="shared" si="18"/>
        <v>3</v>
      </c>
      <c r="H70" s="27"/>
      <c r="I70" s="6" t="s">
        <v>21</v>
      </c>
      <c r="J70" s="3">
        <v>2</v>
      </c>
      <c r="K70" s="3">
        <f t="shared" si="19"/>
        <v>3</v>
      </c>
      <c r="L70" s="3">
        <f t="shared" si="20"/>
        <v>3</v>
      </c>
    </row>
    <row r="71" spans="1:12" ht="25.05" customHeight="1">
      <c r="A71" s="7" t="s">
        <v>23</v>
      </c>
      <c r="B71" s="4">
        <v>1</v>
      </c>
      <c r="C71" s="4">
        <f t="shared" si="14"/>
        <v>0</v>
      </c>
      <c r="D71" s="4">
        <f t="shared" si="15"/>
        <v>1</v>
      </c>
      <c r="E71" s="4">
        <f t="shared" si="16"/>
        <v>2</v>
      </c>
      <c r="F71" s="4">
        <f t="shared" si="17"/>
        <v>3</v>
      </c>
      <c r="G71" s="4">
        <f t="shared" si="18"/>
        <v>4</v>
      </c>
      <c r="H71" s="27"/>
      <c r="I71" s="7" t="s">
        <v>23</v>
      </c>
      <c r="J71" s="4">
        <v>1</v>
      </c>
      <c r="K71" s="4">
        <f t="shared" si="19"/>
        <v>2</v>
      </c>
      <c r="L71" s="4">
        <f t="shared" si="20"/>
        <v>4</v>
      </c>
    </row>
    <row r="72" spans="1:12" ht="25.05" customHeight="1">
      <c r="A72" s="6" t="s">
        <v>26</v>
      </c>
      <c r="B72" s="3">
        <v>1</v>
      </c>
      <c r="C72" s="3">
        <f t="shared" si="14"/>
        <v>1</v>
      </c>
      <c r="D72" s="3">
        <f t="shared" si="15"/>
        <v>2</v>
      </c>
      <c r="E72" s="3">
        <f t="shared" si="16"/>
        <v>3</v>
      </c>
      <c r="F72" s="3">
        <f t="shared" si="17"/>
        <v>4</v>
      </c>
      <c r="G72" s="3">
        <f t="shared" si="18"/>
        <v>4</v>
      </c>
      <c r="H72" s="27"/>
      <c r="I72" s="6" t="s">
        <v>26</v>
      </c>
      <c r="J72" s="3">
        <v>1</v>
      </c>
      <c r="K72" s="3">
        <f t="shared" si="19"/>
        <v>3</v>
      </c>
      <c r="L72" s="3">
        <f t="shared" si="20"/>
        <v>4</v>
      </c>
    </row>
    <row r="73" spans="1:12" ht="25.05" customHeight="1">
      <c r="A73" s="7" t="s">
        <v>29</v>
      </c>
      <c r="B73" s="4">
        <v>1</v>
      </c>
      <c r="C73" s="4">
        <f t="shared" si="14"/>
        <v>1</v>
      </c>
      <c r="D73" s="4">
        <f t="shared" si="15"/>
        <v>2</v>
      </c>
      <c r="E73" s="4">
        <f t="shared" si="16"/>
        <v>3</v>
      </c>
      <c r="F73" s="4">
        <f t="shared" si="17"/>
        <v>4</v>
      </c>
      <c r="G73" s="4">
        <f t="shared" si="18"/>
        <v>4</v>
      </c>
      <c r="H73" s="27"/>
      <c r="I73" s="7" t="s">
        <v>29</v>
      </c>
      <c r="J73" s="4">
        <v>1</v>
      </c>
      <c r="K73" s="4">
        <f t="shared" si="19"/>
        <v>3</v>
      </c>
      <c r="L73" s="4">
        <f t="shared" si="20"/>
        <v>4</v>
      </c>
    </row>
    <row r="74" spans="1:12" ht="25.05" customHeight="1">
      <c r="A74" s="6" t="s">
        <v>32</v>
      </c>
      <c r="B74" s="3">
        <v>2</v>
      </c>
      <c r="C74" s="3">
        <f t="shared" si="14"/>
        <v>1</v>
      </c>
      <c r="D74" s="3">
        <f t="shared" si="15"/>
        <v>2</v>
      </c>
      <c r="E74" s="3">
        <f t="shared" si="16"/>
        <v>3</v>
      </c>
      <c r="F74" s="3">
        <f t="shared" si="17"/>
        <v>3</v>
      </c>
      <c r="G74" s="3">
        <f t="shared" si="18"/>
        <v>3</v>
      </c>
      <c r="H74" s="27"/>
      <c r="I74" s="6" t="s">
        <v>32</v>
      </c>
      <c r="J74" s="3">
        <v>2</v>
      </c>
      <c r="K74" s="3">
        <f t="shared" si="19"/>
        <v>3</v>
      </c>
      <c r="L74" s="3">
        <f t="shared" si="20"/>
        <v>3</v>
      </c>
    </row>
    <row r="75" spans="1:12" ht="25.05" customHeight="1">
      <c r="A75" s="8" t="s">
        <v>33</v>
      </c>
      <c r="B75" s="5">
        <v>2</v>
      </c>
      <c r="C75" s="5">
        <f t="shared" si="14"/>
        <v>1</v>
      </c>
      <c r="D75" s="5">
        <f t="shared" si="15"/>
        <v>2</v>
      </c>
      <c r="E75" s="5">
        <f t="shared" si="16"/>
        <v>3</v>
      </c>
      <c r="F75" s="5">
        <f t="shared" si="17"/>
        <v>3</v>
      </c>
      <c r="G75" s="5">
        <f t="shared" si="18"/>
        <v>3</v>
      </c>
      <c r="H75" s="27"/>
      <c r="I75" s="8" t="s">
        <v>33</v>
      </c>
      <c r="J75" s="5">
        <v>2</v>
      </c>
      <c r="K75" s="5">
        <f t="shared" si="19"/>
        <v>3</v>
      </c>
      <c r="L75" s="5">
        <f t="shared" si="20"/>
        <v>3</v>
      </c>
    </row>
    <row r="76" spans="1:12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ht="30" customHeight="1">
      <c r="A79" s="35" t="s">
        <v>85</v>
      </c>
      <c r="B79" s="35"/>
      <c r="C79" s="35"/>
      <c r="D79" s="35"/>
      <c r="E79" s="35"/>
      <c r="F79" s="35"/>
      <c r="G79" s="35"/>
      <c r="H79" s="27"/>
      <c r="I79" s="35" t="s">
        <v>86</v>
      </c>
      <c r="J79" s="35"/>
      <c r="K79" s="35"/>
      <c r="L79" s="35"/>
    </row>
    <row r="80" spans="1:12" ht="43.95" customHeight="1">
      <c r="A80" s="2" t="s">
        <v>3</v>
      </c>
      <c r="B80" s="2" t="s">
        <v>10</v>
      </c>
      <c r="C80" s="2" t="s">
        <v>87</v>
      </c>
      <c r="D80" s="2" t="s">
        <v>88</v>
      </c>
      <c r="E80" s="2" t="s">
        <v>89</v>
      </c>
      <c r="F80" s="2" t="s">
        <v>90</v>
      </c>
      <c r="G80" s="2" t="s">
        <v>91</v>
      </c>
      <c r="H80" s="27"/>
      <c r="I80" s="2" t="s">
        <v>3</v>
      </c>
      <c r="J80" s="2" t="s">
        <v>10</v>
      </c>
      <c r="K80" s="2" t="s">
        <v>89</v>
      </c>
      <c r="L80" s="2" t="s">
        <v>91</v>
      </c>
    </row>
    <row r="81" spans="1:12" ht="25.05" customHeight="1">
      <c r="A81" s="6" t="s">
        <v>13</v>
      </c>
      <c r="B81" s="3">
        <v>1</v>
      </c>
      <c r="C81" s="3">
        <f t="shared" ref="C81:C90" si="21">IF(C66/1&gt;0.5,1,0)</f>
        <v>1</v>
      </c>
      <c r="D81" s="3">
        <f t="shared" ref="D81:D90" si="22">IF(D66/2&gt;0.5,1,0)</f>
        <v>1</v>
      </c>
      <c r="E81" s="3">
        <f t="shared" ref="E81:E90" si="23">IF(E66/3&gt;0.5,1,0)</f>
        <v>1</v>
      </c>
      <c r="F81" s="3">
        <f t="shared" ref="F81:F90" si="24">IF(F66/4&gt;0.5,1,0)</f>
        <v>1</v>
      </c>
      <c r="G81" s="3">
        <f t="shared" ref="G81:G90" si="25">IF(G66/5&gt;0.5,1,0)</f>
        <v>1</v>
      </c>
      <c r="H81" s="27"/>
      <c r="I81" s="6" t="s">
        <v>13</v>
      </c>
      <c r="J81" s="3">
        <v>1</v>
      </c>
      <c r="K81" s="3">
        <f t="shared" ref="K81:K90" si="26">E81</f>
        <v>1</v>
      </c>
      <c r="L81" s="3">
        <f t="shared" ref="L81:L90" si="27">G81</f>
        <v>1</v>
      </c>
    </row>
    <row r="82" spans="1:12" ht="25.05" customHeight="1">
      <c r="A82" s="7" t="s">
        <v>15</v>
      </c>
      <c r="B82" s="4">
        <v>1</v>
      </c>
      <c r="C82" s="4">
        <f t="shared" si="21"/>
        <v>1</v>
      </c>
      <c r="D82" s="4">
        <f t="shared" si="22"/>
        <v>1</v>
      </c>
      <c r="E82" s="4">
        <f t="shared" si="23"/>
        <v>1</v>
      </c>
      <c r="F82" s="4">
        <f t="shared" si="24"/>
        <v>1</v>
      </c>
      <c r="G82" s="4">
        <f t="shared" si="25"/>
        <v>1</v>
      </c>
      <c r="H82" s="27"/>
      <c r="I82" s="7" t="s">
        <v>15</v>
      </c>
      <c r="J82" s="4">
        <v>1</v>
      </c>
      <c r="K82" s="4">
        <f t="shared" si="26"/>
        <v>1</v>
      </c>
      <c r="L82" s="4">
        <f t="shared" si="27"/>
        <v>1</v>
      </c>
    </row>
    <row r="83" spans="1:12" ht="25.05" customHeight="1">
      <c r="A83" s="6" t="s">
        <v>17</v>
      </c>
      <c r="B83" s="3">
        <v>2</v>
      </c>
      <c r="C83" s="3">
        <f t="shared" si="21"/>
        <v>0</v>
      </c>
      <c r="D83" s="3">
        <f t="shared" si="22"/>
        <v>0</v>
      </c>
      <c r="E83" s="3">
        <f t="shared" si="23"/>
        <v>0</v>
      </c>
      <c r="F83" s="3">
        <f t="shared" si="24"/>
        <v>0</v>
      </c>
      <c r="G83" s="3">
        <f t="shared" si="25"/>
        <v>1</v>
      </c>
      <c r="H83" s="27"/>
      <c r="I83" s="6" t="s">
        <v>17</v>
      </c>
      <c r="J83" s="3">
        <v>2</v>
      </c>
      <c r="K83" s="3">
        <f t="shared" si="26"/>
        <v>0</v>
      </c>
      <c r="L83" s="3">
        <f t="shared" si="27"/>
        <v>1</v>
      </c>
    </row>
    <row r="84" spans="1:12" ht="25.05" customHeight="1">
      <c r="A84" s="7" t="s">
        <v>19</v>
      </c>
      <c r="B84" s="4">
        <v>1</v>
      </c>
      <c r="C84" s="4">
        <f t="shared" si="21"/>
        <v>1</v>
      </c>
      <c r="D84" s="4">
        <f t="shared" si="22"/>
        <v>1</v>
      </c>
      <c r="E84" s="4">
        <f t="shared" si="23"/>
        <v>1</v>
      </c>
      <c r="F84" s="4">
        <f t="shared" si="24"/>
        <v>1</v>
      </c>
      <c r="G84" s="4">
        <f t="shared" si="25"/>
        <v>1</v>
      </c>
      <c r="H84" s="27"/>
      <c r="I84" s="7" t="s">
        <v>19</v>
      </c>
      <c r="J84" s="4">
        <v>1</v>
      </c>
      <c r="K84" s="4">
        <f t="shared" si="26"/>
        <v>1</v>
      </c>
      <c r="L84" s="4">
        <f t="shared" si="27"/>
        <v>1</v>
      </c>
    </row>
    <row r="85" spans="1:12" ht="25.05" customHeight="1">
      <c r="A85" s="6" t="s">
        <v>21</v>
      </c>
      <c r="B85" s="3">
        <v>2</v>
      </c>
      <c r="C85" s="3">
        <f t="shared" si="21"/>
        <v>1</v>
      </c>
      <c r="D85" s="3">
        <f t="shared" si="22"/>
        <v>1</v>
      </c>
      <c r="E85" s="3">
        <f t="shared" si="23"/>
        <v>1</v>
      </c>
      <c r="F85" s="3">
        <f t="shared" si="24"/>
        <v>1</v>
      </c>
      <c r="G85" s="3">
        <f t="shared" si="25"/>
        <v>1</v>
      </c>
      <c r="H85" s="27"/>
      <c r="I85" s="6" t="s">
        <v>21</v>
      </c>
      <c r="J85" s="3">
        <v>2</v>
      </c>
      <c r="K85" s="3">
        <f t="shared" si="26"/>
        <v>1</v>
      </c>
      <c r="L85" s="3">
        <f t="shared" si="27"/>
        <v>1</v>
      </c>
    </row>
    <row r="86" spans="1:12" ht="25.05" customHeight="1">
      <c r="A86" s="7" t="s">
        <v>23</v>
      </c>
      <c r="B86" s="4">
        <v>1</v>
      </c>
      <c r="C86" s="4">
        <f t="shared" si="21"/>
        <v>0</v>
      </c>
      <c r="D86" s="4">
        <f t="shared" si="22"/>
        <v>0</v>
      </c>
      <c r="E86" s="4">
        <f t="shared" si="23"/>
        <v>1</v>
      </c>
      <c r="F86" s="4">
        <f t="shared" si="24"/>
        <v>1</v>
      </c>
      <c r="G86" s="4">
        <f t="shared" si="25"/>
        <v>1</v>
      </c>
      <c r="H86" s="27"/>
      <c r="I86" s="7" t="s">
        <v>23</v>
      </c>
      <c r="J86" s="4">
        <v>1</v>
      </c>
      <c r="K86" s="4">
        <f t="shared" si="26"/>
        <v>1</v>
      </c>
      <c r="L86" s="4">
        <f t="shared" si="27"/>
        <v>1</v>
      </c>
    </row>
    <row r="87" spans="1:12" ht="25.05" customHeight="1">
      <c r="A87" s="6" t="s">
        <v>26</v>
      </c>
      <c r="B87" s="3">
        <v>1</v>
      </c>
      <c r="C87" s="3">
        <f t="shared" si="21"/>
        <v>1</v>
      </c>
      <c r="D87" s="3">
        <f t="shared" si="22"/>
        <v>1</v>
      </c>
      <c r="E87" s="3">
        <f t="shared" si="23"/>
        <v>1</v>
      </c>
      <c r="F87" s="3">
        <f t="shared" si="24"/>
        <v>1</v>
      </c>
      <c r="G87" s="3">
        <f t="shared" si="25"/>
        <v>1</v>
      </c>
      <c r="H87" s="27"/>
      <c r="I87" s="6" t="s">
        <v>26</v>
      </c>
      <c r="J87" s="3">
        <v>1</v>
      </c>
      <c r="K87" s="3">
        <f t="shared" si="26"/>
        <v>1</v>
      </c>
      <c r="L87" s="3">
        <f t="shared" si="27"/>
        <v>1</v>
      </c>
    </row>
    <row r="88" spans="1:12" ht="25.05" customHeight="1">
      <c r="A88" s="7" t="s">
        <v>29</v>
      </c>
      <c r="B88" s="4">
        <v>1</v>
      </c>
      <c r="C88" s="4">
        <f t="shared" si="21"/>
        <v>1</v>
      </c>
      <c r="D88" s="4">
        <f t="shared" si="22"/>
        <v>1</v>
      </c>
      <c r="E88" s="4">
        <f t="shared" si="23"/>
        <v>1</v>
      </c>
      <c r="F88" s="4">
        <f t="shared" si="24"/>
        <v>1</v>
      </c>
      <c r="G88" s="4">
        <f t="shared" si="25"/>
        <v>1</v>
      </c>
      <c r="H88" s="27"/>
      <c r="I88" s="7" t="s">
        <v>29</v>
      </c>
      <c r="J88" s="4">
        <v>1</v>
      </c>
      <c r="K88" s="4">
        <f t="shared" si="26"/>
        <v>1</v>
      </c>
      <c r="L88" s="4">
        <f t="shared" si="27"/>
        <v>1</v>
      </c>
    </row>
    <row r="89" spans="1:12" ht="25.05" customHeight="1">
      <c r="A89" s="6" t="s">
        <v>32</v>
      </c>
      <c r="B89" s="3">
        <v>2</v>
      </c>
      <c r="C89" s="3">
        <f t="shared" si="21"/>
        <v>1</v>
      </c>
      <c r="D89" s="3">
        <f t="shared" si="22"/>
        <v>1</v>
      </c>
      <c r="E89" s="3">
        <f t="shared" si="23"/>
        <v>1</v>
      </c>
      <c r="F89" s="3">
        <f t="shared" si="24"/>
        <v>1</v>
      </c>
      <c r="G89" s="3">
        <f t="shared" si="25"/>
        <v>1</v>
      </c>
      <c r="H89" s="27"/>
      <c r="I89" s="6" t="s">
        <v>32</v>
      </c>
      <c r="J89" s="3">
        <v>2</v>
      </c>
      <c r="K89" s="3">
        <f t="shared" si="26"/>
        <v>1</v>
      </c>
      <c r="L89" s="3">
        <f t="shared" si="27"/>
        <v>1</v>
      </c>
    </row>
    <row r="90" spans="1:12" ht="25.05" customHeight="1">
      <c r="A90" s="8" t="s">
        <v>33</v>
      </c>
      <c r="B90" s="5">
        <v>2</v>
      </c>
      <c r="C90" s="5">
        <f t="shared" si="21"/>
        <v>1</v>
      </c>
      <c r="D90" s="5">
        <f t="shared" si="22"/>
        <v>1</v>
      </c>
      <c r="E90" s="5">
        <f t="shared" si="23"/>
        <v>1</v>
      </c>
      <c r="F90" s="5">
        <f t="shared" si="24"/>
        <v>1</v>
      </c>
      <c r="G90" s="5">
        <f t="shared" si="25"/>
        <v>1</v>
      </c>
      <c r="H90" s="27"/>
      <c r="I90" s="8" t="s">
        <v>33</v>
      </c>
      <c r="J90" s="5">
        <v>2</v>
      </c>
      <c r="K90" s="5">
        <f t="shared" si="26"/>
        <v>1</v>
      </c>
      <c r="L90" s="5">
        <f t="shared" si="27"/>
        <v>1</v>
      </c>
    </row>
    <row r="91" spans="1:1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spans="1:1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</row>
    <row r="93" spans="1:1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</row>
    <row r="94" spans="1:12" ht="30" customHeight="1">
      <c r="A94" s="35" t="s">
        <v>93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27"/>
    </row>
    <row r="95" spans="1:12" ht="43.95" customHeight="1">
      <c r="A95" s="2" t="s">
        <v>3</v>
      </c>
      <c r="B95" s="2" t="s">
        <v>10</v>
      </c>
      <c r="C95" s="2" t="s">
        <v>69</v>
      </c>
      <c r="D95" s="2" t="s">
        <v>70</v>
      </c>
      <c r="E95" s="2" t="s">
        <v>71</v>
      </c>
      <c r="F95" s="2" t="s">
        <v>72</v>
      </c>
      <c r="G95" s="2" t="s">
        <v>73</v>
      </c>
      <c r="H95" s="2" t="s">
        <v>74</v>
      </c>
      <c r="I95" s="2" t="s">
        <v>75</v>
      </c>
      <c r="J95" s="2" t="s">
        <v>76</v>
      </c>
      <c r="K95" s="2" t="s">
        <v>77</v>
      </c>
      <c r="L95" s="27"/>
    </row>
    <row r="96" spans="1:12" ht="25.05" customHeight="1">
      <c r="A96" s="6" t="s">
        <v>13</v>
      </c>
      <c r="B96" s="3">
        <v>1</v>
      </c>
      <c r="C96" s="3">
        <f>IF(INDEX(Dataset!$H$6:$H$15,MATCH(Neighbors!B36,Dataset!$A$6:$A$15,0))=Dataset!H6,1,0)</f>
        <v>1</v>
      </c>
      <c r="D96" s="3">
        <f>IF(INDEX(Dataset!$H$6:$H$15,MATCH(Neighbors!D36,Dataset!$A$6:$A$15,0))=Dataset!H6,1,0)</f>
        <v>1</v>
      </c>
      <c r="E96" s="3">
        <f>IF(INDEX(Dataset!$H$6:$H$15,MATCH(Neighbors!F36,Dataset!$A$6:$A$15,0))=Dataset!H6,1,0)</f>
        <v>1</v>
      </c>
      <c r="F96" s="3">
        <f>IF(INDEX(Dataset!$H$6:$H$15,MATCH(Neighbors!H36,Dataset!$A$6:$A$15,0))=Dataset!H6,1,0)</f>
        <v>1</v>
      </c>
      <c r="G96" s="3">
        <f>IF(INDEX(Dataset!$H$6:$H$15,MATCH(Neighbors!J36,Dataset!$A$6:$A$15,0))=Dataset!H6,1,0)</f>
        <v>1</v>
      </c>
      <c r="H96" s="3">
        <f>IF(INDEX(Dataset!$H$6:$H$15,MATCH(Neighbors!L36,Dataset!$A$6:$A$15,0))=Dataset!H6,1,0)</f>
        <v>0</v>
      </c>
      <c r="I96" s="3">
        <f>IF(INDEX(Dataset!$H$6:$H$15,MATCH(Neighbors!N36,Dataset!$A$6:$A$15,0))=Dataset!H6,1,0)</f>
        <v>0</v>
      </c>
      <c r="J96" s="3">
        <f>IF(INDEX(Dataset!$H$6:$H$15,MATCH(Neighbors!P36,Dataset!$A$6:$A$15,0))=Dataset!H6,1,0)</f>
        <v>0</v>
      </c>
      <c r="K96" s="3">
        <f>IF(INDEX(Dataset!$H$6:$H$15,MATCH(Neighbors!R36,Dataset!$A$6:$A$15,0))=Dataset!H6,1,0)</f>
        <v>0</v>
      </c>
      <c r="L96" s="27"/>
    </row>
    <row r="97" spans="1:12" ht="25.05" customHeight="1">
      <c r="A97" s="7" t="s">
        <v>15</v>
      </c>
      <c r="B97" s="4">
        <v>1</v>
      </c>
      <c r="C97" s="4">
        <f>IF(INDEX(Dataset!$H$6:$H$15,MATCH(Neighbors!B37,Dataset!$A$6:$A$15,0))=Dataset!H7,1,0)</f>
        <v>1</v>
      </c>
      <c r="D97" s="4">
        <f>IF(INDEX(Dataset!$H$6:$H$15,MATCH(Neighbors!D37,Dataset!$A$6:$A$15,0))=Dataset!H7,1,0)</f>
        <v>1</v>
      </c>
      <c r="E97" s="4">
        <f>IF(INDEX(Dataset!$H$6:$H$15,MATCH(Neighbors!F37,Dataset!$A$6:$A$15,0))=Dataset!H7,1,0)</f>
        <v>1</v>
      </c>
      <c r="F97" s="4">
        <f>IF(INDEX(Dataset!$H$6:$H$15,MATCH(Neighbors!H37,Dataset!$A$6:$A$15,0))=Dataset!H7,1,0)</f>
        <v>0</v>
      </c>
      <c r="G97" s="4">
        <f>IF(INDEX(Dataset!$H$6:$H$15,MATCH(Neighbors!J37,Dataset!$A$6:$A$15,0))=Dataset!H7,1,0)</f>
        <v>1</v>
      </c>
      <c r="H97" s="4">
        <f>IF(INDEX(Dataset!$H$6:$H$15,MATCH(Neighbors!L37,Dataset!$A$6:$A$15,0))=Dataset!H7,1,0)</f>
        <v>1</v>
      </c>
      <c r="I97" s="4">
        <f>IF(INDEX(Dataset!$H$6:$H$15,MATCH(Neighbors!N37,Dataset!$A$6:$A$15,0))=Dataset!H7,1,0)</f>
        <v>0</v>
      </c>
      <c r="J97" s="4">
        <f>IF(INDEX(Dataset!$H$6:$H$15,MATCH(Neighbors!P37,Dataset!$A$6:$A$15,0))=Dataset!H7,1,0)</f>
        <v>0</v>
      </c>
      <c r="K97" s="4">
        <f>IF(INDEX(Dataset!$H$6:$H$15,MATCH(Neighbors!R37,Dataset!$A$6:$A$15,0))=Dataset!H7,1,0)</f>
        <v>0</v>
      </c>
      <c r="L97" s="27"/>
    </row>
    <row r="98" spans="1:12" ht="25.05" customHeight="1">
      <c r="A98" s="6" t="s">
        <v>17</v>
      </c>
      <c r="B98" s="3">
        <v>2</v>
      </c>
      <c r="C98" s="3">
        <f>IF(INDEX(Dataset!$H$6:$H$15,MATCH(Neighbors!B38,Dataset!$A$6:$A$15,0))=Dataset!H8,1,0)</f>
        <v>1</v>
      </c>
      <c r="D98" s="3">
        <f>IF(INDEX(Dataset!$H$6:$H$15,MATCH(Neighbors!D38,Dataset!$A$6:$A$15,0))=Dataset!H8,1,0)</f>
        <v>1</v>
      </c>
      <c r="E98" s="3">
        <f>IF(INDEX(Dataset!$H$6:$H$15,MATCH(Neighbors!F38,Dataset!$A$6:$A$15,0))=Dataset!H8,1,0)</f>
        <v>0</v>
      </c>
      <c r="F98" s="3">
        <f>IF(INDEX(Dataset!$H$6:$H$15,MATCH(Neighbors!H38,Dataset!$A$6:$A$15,0))=Dataset!H8,1,0)</f>
        <v>1</v>
      </c>
      <c r="G98" s="3">
        <f>IF(INDEX(Dataset!$H$6:$H$15,MATCH(Neighbors!J38,Dataset!$A$6:$A$15,0))=Dataset!H8,1,0)</f>
        <v>0</v>
      </c>
      <c r="H98" s="3">
        <f>IF(INDEX(Dataset!$H$6:$H$15,MATCH(Neighbors!L38,Dataset!$A$6:$A$15,0))=Dataset!H8,1,0)</f>
        <v>0</v>
      </c>
      <c r="I98" s="3">
        <f>IF(INDEX(Dataset!$H$6:$H$15,MATCH(Neighbors!N38,Dataset!$A$6:$A$15,0))=Dataset!H8,1,0)</f>
        <v>0</v>
      </c>
      <c r="J98" s="3">
        <f>IF(INDEX(Dataset!$H$6:$H$15,MATCH(Neighbors!P38,Dataset!$A$6:$A$15,0))=Dataset!H8,1,0)</f>
        <v>0</v>
      </c>
      <c r="K98" s="3">
        <f>IF(INDEX(Dataset!$H$6:$H$15,MATCH(Neighbors!R38,Dataset!$A$6:$A$15,0))=Dataset!H8,1,0)</f>
        <v>0</v>
      </c>
      <c r="L98" s="27"/>
    </row>
    <row r="99" spans="1:12" ht="25.05" customHeight="1">
      <c r="A99" s="7" t="s">
        <v>19</v>
      </c>
      <c r="B99" s="4">
        <v>1</v>
      </c>
      <c r="C99" s="4">
        <f>IF(INDEX(Dataset!$H$6:$H$15,MATCH(Neighbors!B39,Dataset!$A$6:$A$15,0))=Dataset!H9,1,0)</f>
        <v>1</v>
      </c>
      <c r="D99" s="4">
        <f>IF(INDEX(Dataset!$H$6:$H$15,MATCH(Neighbors!D39,Dataset!$A$6:$A$15,0))=Dataset!H9,1,0)</f>
        <v>1</v>
      </c>
      <c r="E99" s="4">
        <f>IF(INDEX(Dataset!$H$6:$H$15,MATCH(Neighbors!F39,Dataset!$A$6:$A$15,0))=Dataset!H9,1,0)</f>
        <v>1</v>
      </c>
      <c r="F99" s="4">
        <f>IF(INDEX(Dataset!$H$6:$H$15,MATCH(Neighbors!H39,Dataset!$A$6:$A$15,0))=Dataset!H9,1,0)</f>
        <v>1</v>
      </c>
      <c r="G99" s="4">
        <f>IF(INDEX(Dataset!$H$6:$H$15,MATCH(Neighbors!J39,Dataset!$A$6:$A$15,0))=Dataset!H9,1,0)</f>
        <v>0</v>
      </c>
      <c r="H99" s="4">
        <f>IF(INDEX(Dataset!$H$6:$H$15,MATCH(Neighbors!L39,Dataset!$A$6:$A$15,0))=Dataset!H9,1,0)</f>
        <v>1</v>
      </c>
      <c r="I99" s="4">
        <f>IF(INDEX(Dataset!$H$6:$H$15,MATCH(Neighbors!N39,Dataset!$A$6:$A$15,0))=Dataset!H9,1,0)</f>
        <v>0</v>
      </c>
      <c r="J99" s="4">
        <f>IF(INDEX(Dataset!$H$6:$H$15,MATCH(Neighbors!P39,Dataset!$A$6:$A$15,0))=Dataset!H9,1,0)</f>
        <v>0</v>
      </c>
      <c r="K99" s="4">
        <f>IF(INDEX(Dataset!$H$6:$H$15,MATCH(Neighbors!R39,Dataset!$A$6:$A$15,0))=Dataset!H9,1,0)</f>
        <v>0</v>
      </c>
      <c r="L99" s="27"/>
    </row>
    <row r="100" spans="1:12" ht="25.05" customHeight="1">
      <c r="A100" s="6" t="s">
        <v>21</v>
      </c>
      <c r="B100" s="3">
        <v>2</v>
      </c>
      <c r="C100" s="3">
        <f>IF(INDEX(Dataset!$H$6:$H$15,MATCH(Neighbors!B40,Dataset!$A$6:$A$15,0))=Dataset!H10,1,0)</f>
        <v>1</v>
      </c>
      <c r="D100" s="3">
        <f>IF(INDEX(Dataset!$H$6:$H$15,MATCH(Neighbors!D40,Dataset!$A$6:$A$15,0))=Dataset!H10,1,0)</f>
        <v>1</v>
      </c>
      <c r="E100" s="3">
        <f>IF(INDEX(Dataset!$H$6:$H$15,MATCH(Neighbors!F40,Dataset!$A$6:$A$15,0))=Dataset!H10,1,0)</f>
        <v>1</v>
      </c>
      <c r="F100" s="3">
        <f>IF(INDEX(Dataset!$H$6:$H$15,MATCH(Neighbors!H40,Dataset!$A$6:$A$15,0))=Dataset!H10,1,0)</f>
        <v>0</v>
      </c>
      <c r="G100" s="3">
        <f>IF(INDEX(Dataset!$H$6:$H$15,MATCH(Neighbors!J40,Dataset!$A$6:$A$15,0))=Dataset!H10,1,0)</f>
        <v>0</v>
      </c>
      <c r="H100" s="3">
        <f>IF(INDEX(Dataset!$H$6:$H$15,MATCH(Neighbors!L40,Dataset!$A$6:$A$15,0))=Dataset!H10,1,0)</f>
        <v>0</v>
      </c>
      <c r="I100" s="3">
        <f>IF(INDEX(Dataset!$H$6:$H$15,MATCH(Neighbors!N40,Dataset!$A$6:$A$15,0))=Dataset!H10,1,0)</f>
        <v>0</v>
      </c>
      <c r="J100" s="3">
        <f>IF(INDEX(Dataset!$H$6:$H$15,MATCH(Neighbors!P40,Dataset!$A$6:$A$15,0))=Dataset!H10,1,0)</f>
        <v>0</v>
      </c>
      <c r="K100" s="3">
        <f>IF(INDEX(Dataset!$H$6:$H$15,MATCH(Neighbors!R40,Dataset!$A$6:$A$15,0))=Dataset!H10,1,0)</f>
        <v>0</v>
      </c>
      <c r="L100" s="27"/>
    </row>
    <row r="101" spans="1:12" ht="25.05" customHeight="1">
      <c r="A101" s="7" t="s">
        <v>23</v>
      </c>
      <c r="B101" s="4">
        <v>1</v>
      </c>
      <c r="C101" s="4">
        <f>IF(INDEX(Dataset!$H$6:$H$15,MATCH(Neighbors!B41,Dataset!$A$6:$A$15,0))=Dataset!H11,1,0)</f>
        <v>1</v>
      </c>
      <c r="D101" s="4">
        <f>IF(INDEX(Dataset!$H$6:$H$15,MATCH(Neighbors!D41,Dataset!$A$6:$A$15,0))=Dataset!H11,1,0)</f>
        <v>1</v>
      </c>
      <c r="E101" s="4">
        <f>IF(INDEX(Dataset!$H$6:$H$15,MATCH(Neighbors!F41,Dataset!$A$6:$A$15,0))=Dataset!H11,1,0)</f>
        <v>1</v>
      </c>
      <c r="F101" s="4">
        <f>IF(INDEX(Dataset!$H$6:$H$15,MATCH(Neighbors!H41,Dataset!$A$6:$A$15,0))=Dataset!H11,1,0)</f>
        <v>0</v>
      </c>
      <c r="G101" s="4">
        <f>IF(INDEX(Dataset!$H$6:$H$15,MATCH(Neighbors!J41,Dataset!$A$6:$A$15,0))=Dataset!H11,1,0)</f>
        <v>1</v>
      </c>
      <c r="H101" s="4">
        <f>IF(INDEX(Dataset!$H$6:$H$15,MATCH(Neighbors!L41,Dataset!$A$6:$A$15,0))=Dataset!H11,1,0)</f>
        <v>0</v>
      </c>
      <c r="I101" s="4">
        <f>IF(INDEX(Dataset!$H$6:$H$15,MATCH(Neighbors!N41,Dataset!$A$6:$A$15,0))=Dataset!H11,1,0)</f>
        <v>0</v>
      </c>
      <c r="J101" s="4">
        <f>IF(INDEX(Dataset!$H$6:$H$15,MATCH(Neighbors!P41,Dataset!$A$6:$A$15,0))=Dataset!H11,1,0)</f>
        <v>0</v>
      </c>
      <c r="K101" s="4">
        <f>IF(INDEX(Dataset!$H$6:$H$15,MATCH(Neighbors!R41,Dataset!$A$6:$A$15,0))=Dataset!H11,1,0)</f>
        <v>1</v>
      </c>
      <c r="L101" s="27"/>
    </row>
    <row r="102" spans="1:12" ht="25.05" customHeight="1">
      <c r="A102" s="6" t="s">
        <v>26</v>
      </c>
      <c r="B102" s="3">
        <v>1</v>
      </c>
      <c r="C102" s="3">
        <f>IF(INDEX(Dataset!$H$6:$H$15,MATCH(Neighbors!B42,Dataset!$A$6:$A$15,0))=Dataset!H12,1,0)</f>
        <v>1</v>
      </c>
      <c r="D102" s="3">
        <f>IF(INDEX(Dataset!$H$6:$H$15,MATCH(Neighbors!D42,Dataset!$A$6:$A$15,0))=Dataset!H12,1,0)</f>
        <v>1</v>
      </c>
      <c r="E102" s="3">
        <f>IF(INDEX(Dataset!$H$6:$H$15,MATCH(Neighbors!F42,Dataset!$A$6:$A$15,0))=Dataset!H12,1,0)</f>
        <v>1</v>
      </c>
      <c r="F102" s="3">
        <f>IF(INDEX(Dataset!$H$6:$H$15,MATCH(Neighbors!H42,Dataset!$A$6:$A$15,0))=Dataset!H12,1,0)</f>
        <v>1</v>
      </c>
      <c r="G102" s="3">
        <f>IF(INDEX(Dataset!$H$6:$H$15,MATCH(Neighbors!J42,Dataset!$A$6:$A$15,0))=Dataset!H12,1,0)</f>
        <v>1</v>
      </c>
      <c r="H102" s="3">
        <f>IF(INDEX(Dataset!$H$6:$H$15,MATCH(Neighbors!L42,Dataset!$A$6:$A$15,0))=Dataset!H12,1,0)</f>
        <v>0</v>
      </c>
      <c r="I102" s="3">
        <f>IF(INDEX(Dataset!$H$6:$H$15,MATCH(Neighbors!N42,Dataset!$A$6:$A$15,0))=Dataset!H12,1,0)</f>
        <v>0</v>
      </c>
      <c r="J102" s="3">
        <f>IF(INDEX(Dataset!$H$6:$H$15,MATCH(Neighbors!P42,Dataset!$A$6:$A$15,0))=Dataset!H12,1,0)</f>
        <v>0</v>
      </c>
      <c r="K102" s="3">
        <f>IF(INDEX(Dataset!$H$6:$H$15,MATCH(Neighbors!R42,Dataset!$A$6:$A$15,0))=Dataset!H12,1,0)</f>
        <v>0</v>
      </c>
      <c r="L102" s="27"/>
    </row>
    <row r="103" spans="1:12" ht="25.05" customHeight="1">
      <c r="A103" s="7" t="s">
        <v>29</v>
      </c>
      <c r="B103" s="4">
        <v>1</v>
      </c>
      <c r="C103" s="4">
        <f>IF(INDEX(Dataset!$H$6:$H$15,MATCH(Neighbors!B43,Dataset!$A$6:$A$15,0))=Dataset!H13,1,0)</f>
        <v>1</v>
      </c>
      <c r="D103" s="4">
        <f>IF(INDEX(Dataset!$H$6:$H$15,MATCH(Neighbors!D43,Dataset!$A$6:$A$15,0))=Dataset!H13,1,0)</f>
        <v>1</v>
      </c>
      <c r="E103" s="4">
        <f>IF(INDEX(Dataset!$H$6:$H$15,MATCH(Neighbors!F43,Dataset!$A$6:$A$15,0))=Dataset!H13,1,0)</f>
        <v>1</v>
      </c>
      <c r="F103" s="4">
        <f>IF(INDEX(Dataset!$H$6:$H$15,MATCH(Neighbors!H43,Dataset!$A$6:$A$15,0))=Dataset!H13,1,0)</f>
        <v>1</v>
      </c>
      <c r="G103" s="4">
        <f>IF(INDEX(Dataset!$H$6:$H$15,MATCH(Neighbors!J43,Dataset!$A$6:$A$15,0))=Dataset!H13,1,0)</f>
        <v>1</v>
      </c>
      <c r="H103" s="4">
        <f>IF(INDEX(Dataset!$H$6:$H$15,MATCH(Neighbors!L43,Dataset!$A$6:$A$15,0))=Dataset!H13,1,0)</f>
        <v>0</v>
      </c>
      <c r="I103" s="4">
        <f>IF(INDEX(Dataset!$H$6:$H$15,MATCH(Neighbors!N43,Dataset!$A$6:$A$15,0))=Dataset!H13,1,0)</f>
        <v>0</v>
      </c>
      <c r="J103" s="4">
        <f>IF(INDEX(Dataset!$H$6:$H$15,MATCH(Neighbors!P43,Dataset!$A$6:$A$15,0))=Dataset!H13,1,0)</f>
        <v>0</v>
      </c>
      <c r="K103" s="4">
        <f>IF(INDEX(Dataset!$H$6:$H$15,MATCH(Neighbors!R43,Dataset!$A$6:$A$15,0))=Dataset!H13,1,0)</f>
        <v>0</v>
      </c>
      <c r="L103" s="27"/>
    </row>
    <row r="104" spans="1:12" ht="25.05" customHeight="1">
      <c r="A104" s="6" t="s">
        <v>32</v>
      </c>
      <c r="B104" s="3">
        <v>2</v>
      </c>
      <c r="C104" s="3">
        <f>IF(INDEX(Dataset!$H$6:$H$15,MATCH(Neighbors!B44,Dataset!$A$6:$A$15,0))=Dataset!H14,1,0)</f>
        <v>1</v>
      </c>
      <c r="D104" s="3">
        <f>IF(INDEX(Dataset!$H$6:$H$15,MATCH(Neighbors!D44,Dataset!$A$6:$A$15,0))=Dataset!H14,1,0)</f>
        <v>1</v>
      </c>
      <c r="E104" s="3">
        <f>IF(INDEX(Dataset!$H$6:$H$15,MATCH(Neighbors!F44,Dataset!$A$6:$A$15,0))=Dataset!H14,1,0)</f>
        <v>1</v>
      </c>
      <c r="F104" s="3">
        <f>IF(INDEX(Dataset!$H$6:$H$15,MATCH(Neighbors!H44,Dataset!$A$6:$A$15,0))=Dataset!H14,1,0)</f>
        <v>0</v>
      </c>
      <c r="G104" s="3">
        <f>IF(INDEX(Dataset!$H$6:$H$15,MATCH(Neighbors!J44,Dataset!$A$6:$A$15,0))=Dataset!H14,1,0)</f>
        <v>0</v>
      </c>
      <c r="H104" s="3">
        <f>IF(INDEX(Dataset!$H$6:$H$15,MATCH(Neighbors!L44,Dataset!$A$6:$A$15,0))=Dataset!H14,1,0)</f>
        <v>0</v>
      </c>
      <c r="I104" s="3">
        <f>IF(INDEX(Dataset!$H$6:$H$15,MATCH(Neighbors!N44,Dataset!$A$6:$A$15,0))=Dataset!H14,1,0)</f>
        <v>0</v>
      </c>
      <c r="J104" s="3">
        <f>IF(INDEX(Dataset!$H$6:$H$15,MATCH(Neighbors!P44,Dataset!$A$6:$A$15,0))=Dataset!H14,1,0)</f>
        <v>0</v>
      </c>
      <c r="K104" s="3">
        <f>IF(INDEX(Dataset!$H$6:$H$15,MATCH(Neighbors!R44,Dataset!$A$6:$A$15,0))=Dataset!H14,1,0)</f>
        <v>0</v>
      </c>
      <c r="L104" s="27"/>
    </row>
    <row r="105" spans="1:12" ht="25.05" customHeight="1">
      <c r="A105" s="8" t="s">
        <v>33</v>
      </c>
      <c r="B105" s="5">
        <v>2</v>
      </c>
      <c r="C105" s="5">
        <f>IF(INDEX(Dataset!$H$6:$H$15,MATCH(Neighbors!B45,Dataset!$A$6:$A$15,0))=Dataset!H15,1,0)</f>
        <v>1</v>
      </c>
      <c r="D105" s="5">
        <f>IF(INDEX(Dataset!$H$6:$H$15,MATCH(Neighbors!D45,Dataset!$A$6:$A$15,0))=Dataset!H15,1,0)</f>
        <v>1</v>
      </c>
      <c r="E105" s="5">
        <f>IF(INDEX(Dataset!$H$6:$H$15,MATCH(Neighbors!F45,Dataset!$A$6:$A$15,0))=Dataset!H15,1,0)</f>
        <v>1</v>
      </c>
      <c r="F105" s="5">
        <f>IF(INDEX(Dataset!$H$6:$H$15,MATCH(Neighbors!H45,Dataset!$A$6:$A$15,0))=Dataset!H15,1,0)</f>
        <v>0</v>
      </c>
      <c r="G105" s="5">
        <f>IF(INDEX(Dataset!$H$6:$H$15,MATCH(Neighbors!J45,Dataset!$A$6:$A$15,0))=Dataset!H15,1,0)</f>
        <v>0</v>
      </c>
      <c r="H105" s="5">
        <f>IF(INDEX(Dataset!$H$6:$H$15,MATCH(Neighbors!L45,Dataset!$A$6:$A$15,0))=Dataset!H15,1,0)</f>
        <v>0</v>
      </c>
      <c r="I105" s="5">
        <f>IF(INDEX(Dataset!$H$6:$H$15,MATCH(Neighbors!N45,Dataset!$A$6:$A$15,0))=Dataset!H15,1,0)</f>
        <v>0</v>
      </c>
      <c r="J105" s="5">
        <f>IF(INDEX(Dataset!$H$6:$H$15,MATCH(Neighbors!P45,Dataset!$A$6:$A$15,0))=Dataset!H15,1,0)</f>
        <v>0</v>
      </c>
      <c r="K105" s="5">
        <f>IF(INDEX(Dataset!$H$6:$H$15,MATCH(Neighbors!R45,Dataset!$A$6:$A$15,0))=Dataset!H15,1,0)</f>
        <v>0</v>
      </c>
      <c r="L105" s="27"/>
    </row>
    <row r="106" spans="1:1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</row>
    <row r="107" spans="1:1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</row>
    <row r="108" spans="1:1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</row>
    <row r="109" spans="1:12" ht="30" customHeight="1">
      <c r="A109" s="35" t="s">
        <v>78</v>
      </c>
      <c r="B109" s="35"/>
      <c r="C109" s="35"/>
      <c r="D109" s="35"/>
      <c r="E109" s="35"/>
      <c r="F109" s="35"/>
      <c r="G109" s="35"/>
      <c r="H109" s="27"/>
      <c r="I109" s="35" t="s">
        <v>79</v>
      </c>
      <c r="J109" s="35"/>
      <c r="K109" s="35"/>
      <c r="L109" s="35"/>
    </row>
    <row r="110" spans="1:12" ht="43.95" customHeight="1">
      <c r="A110" s="2" t="s">
        <v>3</v>
      </c>
      <c r="B110" s="2" t="s">
        <v>10</v>
      </c>
      <c r="C110" s="2" t="s">
        <v>80</v>
      </c>
      <c r="D110" s="2" t="s">
        <v>81</v>
      </c>
      <c r="E110" s="2" t="s">
        <v>82</v>
      </c>
      <c r="F110" s="2" t="s">
        <v>83</v>
      </c>
      <c r="G110" s="2" t="s">
        <v>84</v>
      </c>
      <c r="H110" s="27"/>
      <c r="I110" s="2" t="s">
        <v>3</v>
      </c>
      <c r="J110" s="2" t="s">
        <v>10</v>
      </c>
      <c r="K110" s="2" t="s">
        <v>82</v>
      </c>
      <c r="L110" s="2" t="s">
        <v>84</v>
      </c>
    </row>
    <row r="111" spans="1:12" ht="25.05" customHeight="1">
      <c r="A111" s="6" t="s">
        <v>13</v>
      </c>
      <c r="B111" s="3">
        <v>1</v>
      </c>
      <c r="C111" s="3">
        <f t="shared" ref="C111:C120" si="28">SUM(C96:C96)</f>
        <v>1</v>
      </c>
      <c r="D111" s="3">
        <f t="shared" ref="D111:D120" si="29">SUM(C96:D96)</f>
        <v>2</v>
      </c>
      <c r="E111" s="3">
        <f t="shared" ref="E111:E120" si="30">SUM(C96:E96)</f>
        <v>3</v>
      </c>
      <c r="F111" s="3">
        <f t="shared" ref="F111:F120" si="31">SUM(C96:F96)</f>
        <v>4</v>
      </c>
      <c r="G111" s="3">
        <f t="shared" ref="G111:G120" si="32">SUM(C96:G96)</f>
        <v>5</v>
      </c>
      <c r="H111" s="27"/>
      <c r="I111" s="6" t="s">
        <v>13</v>
      </c>
      <c r="J111" s="3">
        <v>1</v>
      </c>
      <c r="K111" s="3">
        <f t="shared" ref="K111:K120" si="33">E111</f>
        <v>3</v>
      </c>
      <c r="L111" s="3">
        <f t="shared" ref="L111:L120" si="34">G111</f>
        <v>5</v>
      </c>
    </row>
    <row r="112" spans="1:12" ht="25.05" customHeight="1">
      <c r="A112" s="7" t="s">
        <v>15</v>
      </c>
      <c r="B112" s="4">
        <v>1</v>
      </c>
      <c r="C112" s="4">
        <f t="shared" si="28"/>
        <v>1</v>
      </c>
      <c r="D112" s="4">
        <f t="shared" si="29"/>
        <v>2</v>
      </c>
      <c r="E112" s="4">
        <f t="shared" si="30"/>
        <v>3</v>
      </c>
      <c r="F112" s="4">
        <f t="shared" si="31"/>
        <v>3</v>
      </c>
      <c r="G112" s="4">
        <f t="shared" si="32"/>
        <v>4</v>
      </c>
      <c r="H112" s="27"/>
      <c r="I112" s="7" t="s">
        <v>15</v>
      </c>
      <c r="J112" s="4">
        <v>1</v>
      </c>
      <c r="K112" s="4">
        <f t="shared" si="33"/>
        <v>3</v>
      </c>
      <c r="L112" s="4">
        <f t="shared" si="34"/>
        <v>4</v>
      </c>
    </row>
    <row r="113" spans="1:12" ht="25.05" customHeight="1">
      <c r="A113" s="6" t="s">
        <v>17</v>
      </c>
      <c r="B113" s="3">
        <v>2</v>
      </c>
      <c r="C113" s="3">
        <f t="shared" si="28"/>
        <v>1</v>
      </c>
      <c r="D113" s="3">
        <f t="shared" si="29"/>
        <v>2</v>
      </c>
      <c r="E113" s="3">
        <f t="shared" si="30"/>
        <v>2</v>
      </c>
      <c r="F113" s="3">
        <f t="shared" si="31"/>
        <v>3</v>
      </c>
      <c r="G113" s="3">
        <f t="shared" si="32"/>
        <v>3</v>
      </c>
      <c r="H113" s="27"/>
      <c r="I113" s="6" t="s">
        <v>17</v>
      </c>
      <c r="J113" s="3">
        <v>2</v>
      </c>
      <c r="K113" s="3">
        <f t="shared" si="33"/>
        <v>2</v>
      </c>
      <c r="L113" s="3">
        <f t="shared" si="34"/>
        <v>3</v>
      </c>
    </row>
    <row r="114" spans="1:12" ht="25.05" customHeight="1">
      <c r="A114" s="7" t="s">
        <v>19</v>
      </c>
      <c r="B114" s="4">
        <v>1</v>
      </c>
      <c r="C114" s="4">
        <f t="shared" si="28"/>
        <v>1</v>
      </c>
      <c r="D114" s="4">
        <f t="shared" si="29"/>
        <v>2</v>
      </c>
      <c r="E114" s="4">
        <f t="shared" si="30"/>
        <v>3</v>
      </c>
      <c r="F114" s="4">
        <f t="shared" si="31"/>
        <v>4</v>
      </c>
      <c r="G114" s="4">
        <f t="shared" si="32"/>
        <v>4</v>
      </c>
      <c r="H114" s="27"/>
      <c r="I114" s="7" t="s">
        <v>19</v>
      </c>
      <c r="J114" s="4">
        <v>1</v>
      </c>
      <c r="K114" s="4">
        <f t="shared" si="33"/>
        <v>3</v>
      </c>
      <c r="L114" s="4">
        <f t="shared" si="34"/>
        <v>4</v>
      </c>
    </row>
    <row r="115" spans="1:12" ht="25.05" customHeight="1">
      <c r="A115" s="6" t="s">
        <v>21</v>
      </c>
      <c r="B115" s="3">
        <v>2</v>
      </c>
      <c r="C115" s="3">
        <f t="shared" si="28"/>
        <v>1</v>
      </c>
      <c r="D115" s="3">
        <f t="shared" si="29"/>
        <v>2</v>
      </c>
      <c r="E115" s="3">
        <f t="shared" si="30"/>
        <v>3</v>
      </c>
      <c r="F115" s="3">
        <f t="shared" si="31"/>
        <v>3</v>
      </c>
      <c r="G115" s="3">
        <f t="shared" si="32"/>
        <v>3</v>
      </c>
      <c r="H115" s="27"/>
      <c r="I115" s="6" t="s">
        <v>21</v>
      </c>
      <c r="J115" s="3">
        <v>2</v>
      </c>
      <c r="K115" s="3">
        <f t="shared" si="33"/>
        <v>3</v>
      </c>
      <c r="L115" s="3">
        <f t="shared" si="34"/>
        <v>3</v>
      </c>
    </row>
    <row r="116" spans="1:12" ht="25.05" customHeight="1">
      <c r="A116" s="7" t="s">
        <v>23</v>
      </c>
      <c r="B116" s="4">
        <v>1</v>
      </c>
      <c r="C116" s="4">
        <f t="shared" si="28"/>
        <v>1</v>
      </c>
      <c r="D116" s="4">
        <f t="shared" si="29"/>
        <v>2</v>
      </c>
      <c r="E116" s="4">
        <f t="shared" si="30"/>
        <v>3</v>
      </c>
      <c r="F116" s="4">
        <f t="shared" si="31"/>
        <v>3</v>
      </c>
      <c r="G116" s="4">
        <f t="shared" si="32"/>
        <v>4</v>
      </c>
      <c r="H116" s="27"/>
      <c r="I116" s="7" t="s">
        <v>23</v>
      </c>
      <c r="J116" s="4">
        <v>1</v>
      </c>
      <c r="K116" s="4">
        <f t="shared" si="33"/>
        <v>3</v>
      </c>
      <c r="L116" s="4">
        <f t="shared" si="34"/>
        <v>4</v>
      </c>
    </row>
    <row r="117" spans="1:12" ht="25.05" customHeight="1">
      <c r="A117" s="6" t="s">
        <v>26</v>
      </c>
      <c r="B117" s="3">
        <v>1</v>
      </c>
      <c r="C117" s="3">
        <f t="shared" si="28"/>
        <v>1</v>
      </c>
      <c r="D117" s="3">
        <f t="shared" si="29"/>
        <v>2</v>
      </c>
      <c r="E117" s="3">
        <f t="shared" si="30"/>
        <v>3</v>
      </c>
      <c r="F117" s="3">
        <f t="shared" si="31"/>
        <v>4</v>
      </c>
      <c r="G117" s="3">
        <f t="shared" si="32"/>
        <v>5</v>
      </c>
      <c r="H117" s="27"/>
      <c r="I117" s="6" t="s">
        <v>26</v>
      </c>
      <c r="J117" s="3">
        <v>1</v>
      </c>
      <c r="K117" s="3">
        <f t="shared" si="33"/>
        <v>3</v>
      </c>
      <c r="L117" s="3">
        <f t="shared" si="34"/>
        <v>5</v>
      </c>
    </row>
    <row r="118" spans="1:12" ht="25.05" customHeight="1">
      <c r="A118" s="7" t="s">
        <v>29</v>
      </c>
      <c r="B118" s="4">
        <v>1</v>
      </c>
      <c r="C118" s="4">
        <f t="shared" si="28"/>
        <v>1</v>
      </c>
      <c r="D118" s="4">
        <f t="shared" si="29"/>
        <v>2</v>
      </c>
      <c r="E118" s="4">
        <f t="shared" si="30"/>
        <v>3</v>
      </c>
      <c r="F118" s="4">
        <f t="shared" si="31"/>
        <v>4</v>
      </c>
      <c r="G118" s="4">
        <f t="shared" si="32"/>
        <v>5</v>
      </c>
      <c r="H118" s="27"/>
      <c r="I118" s="7" t="s">
        <v>29</v>
      </c>
      <c r="J118" s="4">
        <v>1</v>
      </c>
      <c r="K118" s="4">
        <f t="shared" si="33"/>
        <v>3</v>
      </c>
      <c r="L118" s="4">
        <f t="shared" si="34"/>
        <v>5</v>
      </c>
    </row>
    <row r="119" spans="1:12" ht="25.05" customHeight="1">
      <c r="A119" s="6" t="s">
        <v>32</v>
      </c>
      <c r="B119" s="3">
        <v>2</v>
      </c>
      <c r="C119" s="3">
        <f t="shared" si="28"/>
        <v>1</v>
      </c>
      <c r="D119" s="3">
        <f t="shared" si="29"/>
        <v>2</v>
      </c>
      <c r="E119" s="3">
        <f t="shared" si="30"/>
        <v>3</v>
      </c>
      <c r="F119" s="3">
        <f t="shared" si="31"/>
        <v>3</v>
      </c>
      <c r="G119" s="3">
        <f t="shared" si="32"/>
        <v>3</v>
      </c>
      <c r="H119" s="27"/>
      <c r="I119" s="6" t="s">
        <v>32</v>
      </c>
      <c r="J119" s="3">
        <v>2</v>
      </c>
      <c r="K119" s="3">
        <f t="shared" si="33"/>
        <v>3</v>
      </c>
      <c r="L119" s="3">
        <f t="shared" si="34"/>
        <v>3</v>
      </c>
    </row>
    <row r="120" spans="1:12" ht="25.05" customHeight="1">
      <c r="A120" s="8" t="s">
        <v>33</v>
      </c>
      <c r="B120" s="5">
        <v>2</v>
      </c>
      <c r="C120" s="5">
        <f t="shared" si="28"/>
        <v>1</v>
      </c>
      <c r="D120" s="5">
        <f t="shared" si="29"/>
        <v>2</v>
      </c>
      <c r="E120" s="5">
        <f t="shared" si="30"/>
        <v>3</v>
      </c>
      <c r="F120" s="5">
        <f t="shared" si="31"/>
        <v>3</v>
      </c>
      <c r="G120" s="5">
        <f t="shared" si="32"/>
        <v>3</v>
      </c>
      <c r="H120" s="27"/>
      <c r="I120" s="8" t="s">
        <v>33</v>
      </c>
      <c r="J120" s="5">
        <v>2</v>
      </c>
      <c r="K120" s="5">
        <f t="shared" si="33"/>
        <v>3</v>
      </c>
      <c r="L120" s="5">
        <f t="shared" si="34"/>
        <v>3</v>
      </c>
    </row>
    <row r="121" spans="1:1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spans="1:1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</row>
    <row r="123" spans="1:1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</row>
    <row r="124" spans="1:12" ht="30" customHeight="1">
      <c r="A124" s="35" t="s">
        <v>85</v>
      </c>
      <c r="B124" s="35"/>
      <c r="C124" s="35"/>
      <c r="D124" s="35"/>
      <c r="E124" s="35"/>
      <c r="F124" s="35"/>
      <c r="G124" s="35"/>
      <c r="H124" s="27"/>
      <c r="I124" s="35" t="s">
        <v>86</v>
      </c>
      <c r="J124" s="35"/>
      <c r="K124" s="35"/>
      <c r="L124" s="35"/>
    </row>
    <row r="125" spans="1:12" ht="43.95" customHeight="1">
      <c r="A125" s="2" t="s">
        <v>3</v>
      </c>
      <c r="B125" s="2" t="s">
        <v>10</v>
      </c>
      <c r="C125" s="2" t="s">
        <v>87</v>
      </c>
      <c r="D125" s="2" t="s">
        <v>88</v>
      </c>
      <c r="E125" s="2" t="s">
        <v>89</v>
      </c>
      <c r="F125" s="2" t="s">
        <v>90</v>
      </c>
      <c r="G125" s="2" t="s">
        <v>91</v>
      </c>
      <c r="H125" s="27"/>
      <c r="I125" s="2" t="s">
        <v>3</v>
      </c>
      <c r="J125" s="2" t="s">
        <v>10</v>
      </c>
      <c r="K125" s="2" t="s">
        <v>89</v>
      </c>
      <c r="L125" s="2" t="s">
        <v>91</v>
      </c>
    </row>
    <row r="126" spans="1:12" ht="25.05" customHeight="1">
      <c r="A126" s="6" t="s">
        <v>13</v>
      </c>
      <c r="B126" s="3">
        <v>1</v>
      </c>
      <c r="C126" s="3">
        <f t="shared" ref="C126:C135" si="35">IF(C111/1&gt;0.5,1,0)</f>
        <v>1</v>
      </c>
      <c r="D126" s="3">
        <f t="shared" ref="D126:D135" si="36">IF(D111/2&gt;0.5,1,0)</f>
        <v>1</v>
      </c>
      <c r="E126" s="3">
        <f t="shared" ref="E126:E135" si="37">IF(E111/3&gt;0.5,1,0)</f>
        <v>1</v>
      </c>
      <c r="F126" s="3">
        <f t="shared" ref="F126:F135" si="38">IF(F111/4&gt;0.5,1,0)</f>
        <v>1</v>
      </c>
      <c r="G126" s="3">
        <f t="shared" ref="G126:G135" si="39">IF(G111/5&gt;0.5,1,0)</f>
        <v>1</v>
      </c>
      <c r="H126" s="27"/>
      <c r="I126" s="6" t="s">
        <v>13</v>
      </c>
      <c r="J126" s="3">
        <v>1</v>
      </c>
      <c r="K126" s="3">
        <f t="shared" ref="K126:K135" si="40">E126</f>
        <v>1</v>
      </c>
      <c r="L126" s="3">
        <f t="shared" ref="L126:L135" si="41">G126</f>
        <v>1</v>
      </c>
    </row>
    <row r="127" spans="1:12" ht="25.05" customHeight="1">
      <c r="A127" s="7" t="s">
        <v>15</v>
      </c>
      <c r="B127" s="4">
        <v>1</v>
      </c>
      <c r="C127" s="4">
        <f t="shared" si="35"/>
        <v>1</v>
      </c>
      <c r="D127" s="4">
        <f t="shared" si="36"/>
        <v>1</v>
      </c>
      <c r="E127" s="4">
        <f t="shared" si="37"/>
        <v>1</v>
      </c>
      <c r="F127" s="4">
        <f t="shared" si="38"/>
        <v>1</v>
      </c>
      <c r="G127" s="4">
        <f t="shared" si="39"/>
        <v>1</v>
      </c>
      <c r="H127" s="27"/>
      <c r="I127" s="7" t="s">
        <v>15</v>
      </c>
      <c r="J127" s="4">
        <v>1</v>
      </c>
      <c r="K127" s="4">
        <f t="shared" si="40"/>
        <v>1</v>
      </c>
      <c r="L127" s="4">
        <f t="shared" si="41"/>
        <v>1</v>
      </c>
    </row>
    <row r="128" spans="1:12" ht="25.05" customHeight="1">
      <c r="A128" s="6" t="s">
        <v>17</v>
      </c>
      <c r="B128" s="3">
        <v>2</v>
      </c>
      <c r="C128" s="3">
        <f t="shared" si="35"/>
        <v>1</v>
      </c>
      <c r="D128" s="3">
        <f t="shared" si="36"/>
        <v>1</v>
      </c>
      <c r="E128" s="3">
        <f t="shared" si="37"/>
        <v>1</v>
      </c>
      <c r="F128" s="3">
        <f t="shared" si="38"/>
        <v>1</v>
      </c>
      <c r="G128" s="3">
        <f t="shared" si="39"/>
        <v>1</v>
      </c>
      <c r="H128" s="27"/>
      <c r="I128" s="6" t="s">
        <v>17</v>
      </c>
      <c r="J128" s="3">
        <v>2</v>
      </c>
      <c r="K128" s="3">
        <f t="shared" si="40"/>
        <v>1</v>
      </c>
      <c r="L128" s="3">
        <f t="shared" si="41"/>
        <v>1</v>
      </c>
    </row>
    <row r="129" spans="1:12" ht="25.05" customHeight="1">
      <c r="A129" s="7" t="s">
        <v>19</v>
      </c>
      <c r="B129" s="4">
        <v>1</v>
      </c>
      <c r="C129" s="4">
        <f t="shared" si="35"/>
        <v>1</v>
      </c>
      <c r="D129" s="4">
        <f t="shared" si="36"/>
        <v>1</v>
      </c>
      <c r="E129" s="4">
        <f t="shared" si="37"/>
        <v>1</v>
      </c>
      <c r="F129" s="4">
        <f t="shared" si="38"/>
        <v>1</v>
      </c>
      <c r="G129" s="4">
        <f t="shared" si="39"/>
        <v>1</v>
      </c>
      <c r="H129" s="27"/>
      <c r="I129" s="7" t="s">
        <v>19</v>
      </c>
      <c r="J129" s="4">
        <v>1</v>
      </c>
      <c r="K129" s="4">
        <f t="shared" si="40"/>
        <v>1</v>
      </c>
      <c r="L129" s="4">
        <f t="shared" si="41"/>
        <v>1</v>
      </c>
    </row>
    <row r="130" spans="1:12" ht="25.05" customHeight="1">
      <c r="A130" s="6" t="s">
        <v>21</v>
      </c>
      <c r="B130" s="3">
        <v>2</v>
      </c>
      <c r="C130" s="3">
        <f t="shared" si="35"/>
        <v>1</v>
      </c>
      <c r="D130" s="3">
        <f t="shared" si="36"/>
        <v>1</v>
      </c>
      <c r="E130" s="3">
        <f t="shared" si="37"/>
        <v>1</v>
      </c>
      <c r="F130" s="3">
        <f t="shared" si="38"/>
        <v>1</v>
      </c>
      <c r="G130" s="3">
        <f t="shared" si="39"/>
        <v>1</v>
      </c>
      <c r="H130" s="27"/>
      <c r="I130" s="6" t="s">
        <v>21</v>
      </c>
      <c r="J130" s="3">
        <v>2</v>
      </c>
      <c r="K130" s="3">
        <f t="shared" si="40"/>
        <v>1</v>
      </c>
      <c r="L130" s="3">
        <f t="shared" si="41"/>
        <v>1</v>
      </c>
    </row>
    <row r="131" spans="1:12" ht="25.05" customHeight="1">
      <c r="A131" s="7" t="s">
        <v>23</v>
      </c>
      <c r="B131" s="4">
        <v>1</v>
      </c>
      <c r="C131" s="4">
        <f t="shared" si="35"/>
        <v>1</v>
      </c>
      <c r="D131" s="4">
        <f t="shared" si="36"/>
        <v>1</v>
      </c>
      <c r="E131" s="4">
        <f t="shared" si="37"/>
        <v>1</v>
      </c>
      <c r="F131" s="4">
        <f t="shared" si="38"/>
        <v>1</v>
      </c>
      <c r="G131" s="4">
        <f t="shared" si="39"/>
        <v>1</v>
      </c>
      <c r="H131" s="27"/>
      <c r="I131" s="7" t="s">
        <v>23</v>
      </c>
      <c r="J131" s="4">
        <v>1</v>
      </c>
      <c r="K131" s="4">
        <f t="shared" si="40"/>
        <v>1</v>
      </c>
      <c r="L131" s="4">
        <f t="shared" si="41"/>
        <v>1</v>
      </c>
    </row>
    <row r="132" spans="1:12" ht="25.05" customHeight="1">
      <c r="A132" s="6" t="s">
        <v>26</v>
      </c>
      <c r="B132" s="3">
        <v>1</v>
      </c>
      <c r="C132" s="3">
        <f t="shared" si="35"/>
        <v>1</v>
      </c>
      <c r="D132" s="3">
        <f t="shared" si="36"/>
        <v>1</v>
      </c>
      <c r="E132" s="3">
        <f t="shared" si="37"/>
        <v>1</v>
      </c>
      <c r="F132" s="3">
        <f t="shared" si="38"/>
        <v>1</v>
      </c>
      <c r="G132" s="3">
        <f t="shared" si="39"/>
        <v>1</v>
      </c>
      <c r="H132" s="27"/>
      <c r="I132" s="6" t="s">
        <v>26</v>
      </c>
      <c r="J132" s="3">
        <v>1</v>
      </c>
      <c r="K132" s="3">
        <f t="shared" si="40"/>
        <v>1</v>
      </c>
      <c r="L132" s="3">
        <f t="shared" si="41"/>
        <v>1</v>
      </c>
    </row>
    <row r="133" spans="1:12" ht="25.05" customHeight="1">
      <c r="A133" s="7" t="s">
        <v>29</v>
      </c>
      <c r="B133" s="4">
        <v>1</v>
      </c>
      <c r="C133" s="4">
        <f t="shared" si="35"/>
        <v>1</v>
      </c>
      <c r="D133" s="4">
        <f t="shared" si="36"/>
        <v>1</v>
      </c>
      <c r="E133" s="4">
        <f t="shared" si="37"/>
        <v>1</v>
      </c>
      <c r="F133" s="4">
        <f t="shared" si="38"/>
        <v>1</v>
      </c>
      <c r="G133" s="4">
        <f t="shared" si="39"/>
        <v>1</v>
      </c>
      <c r="H133" s="27"/>
      <c r="I133" s="7" t="s">
        <v>29</v>
      </c>
      <c r="J133" s="4">
        <v>1</v>
      </c>
      <c r="K133" s="4">
        <f t="shared" si="40"/>
        <v>1</v>
      </c>
      <c r="L133" s="4">
        <f t="shared" si="41"/>
        <v>1</v>
      </c>
    </row>
    <row r="134" spans="1:12" ht="25.05" customHeight="1">
      <c r="A134" s="6" t="s">
        <v>32</v>
      </c>
      <c r="B134" s="3">
        <v>2</v>
      </c>
      <c r="C134" s="3">
        <f t="shared" si="35"/>
        <v>1</v>
      </c>
      <c r="D134" s="3">
        <f t="shared" si="36"/>
        <v>1</v>
      </c>
      <c r="E134" s="3">
        <f t="shared" si="37"/>
        <v>1</v>
      </c>
      <c r="F134" s="3">
        <f t="shared" si="38"/>
        <v>1</v>
      </c>
      <c r="G134" s="3">
        <f t="shared" si="39"/>
        <v>1</v>
      </c>
      <c r="H134" s="27"/>
      <c r="I134" s="6" t="s">
        <v>32</v>
      </c>
      <c r="J134" s="3">
        <v>2</v>
      </c>
      <c r="K134" s="3">
        <f t="shared" si="40"/>
        <v>1</v>
      </c>
      <c r="L134" s="3">
        <f t="shared" si="41"/>
        <v>1</v>
      </c>
    </row>
    <row r="135" spans="1:12" ht="25.05" customHeight="1">
      <c r="A135" s="8" t="s">
        <v>33</v>
      </c>
      <c r="B135" s="5">
        <v>2</v>
      </c>
      <c r="C135" s="5">
        <f t="shared" si="35"/>
        <v>1</v>
      </c>
      <c r="D135" s="5">
        <f t="shared" si="36"/>
        <v>1</v>
      </c>
      <c r="E135" s="5">
        <f t="shared" si="37"/>
        <v>1</v>
      </c>
      <c r="F135" s="5">
        <f t="shared" si="38"/>
        <v>1</v>
      </c>
      <c r="G135" s="5">
        <f t="shared" si="39"/>
        <v>1</v>
      </c>
      <c r="H135" s="27"/>
      <c r="I135" s="8" t="s">
        <v>33</v>
      </c>
      <c r="J135" s="5">
        <v>2</v>
      </c>
      <c r="K135" s="5">
        <f t="shared" si="40"/>
        <v>1</v>
      </c>
      <c r="L135" s="5">
        <f t="shared" si="41"/>
        <v>1</v>
      </c>
    </row>
    <row r="136" spans="1:1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</row>
    <row r="137" spans="1:1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</row>
    <row r="138" spans="1:1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</row>
    <row r="139" spans="1:12" ht="30" customHeight="1">
      <c r="A139" s="35" t="s">
        <v>94</v>
      </c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27"/>
    </row>
    <row r="140" spans="1:12" ht="43.95" customHeight="1">
      <c r="A140" s="2" t="s">
        <v>3</v>
      </c>
      <c r="B140" s="2" t="s">
        <v>10</v>
      </c>
      <c r="C140" s="2" t="s">
        <v>69</v>
      </c>
      <c r="D140" s="2" t="s">
        <v>70</v>
      </c>
      <c r="E140" s="2" t="s">
        <v>71</v>
      </c>
      <c r="F140" s="2" t="s">
        <v>72</v>
      </c>
      <c r="G140" s="2" t="s">
        <v>73</v>
      </c>
      <c r="H140" s="2" t="s">
        <v>74</v>
      </c>
      <c r="I140" s="2" t="s">
        <v>75</v>
      </c>
      <c r="J140" s="2" t="s">
        <v>76</v>
      </c>
      <c r="K140" s="2" t="s">
        <v>77</v>
      </c>
      <c r="L140" s="27"/>
    </row>
    <row r="141" spans="1:12" ht="25.05" customHeight="1">
      <c r="A141" s="6" t="s">
        <v>13</v>
      </c>
      <c r="B141" s="3">
        <v>1</v>
      </c>
      <c r="C141" s="3">
        <f>IF(INDEX(Dataset!$H$6:$H$15,MATCH(Neighbors!B51,Dataset!$A$6:$A$15,0))=Dataset!H6,1,0)</f>
        <v>1</v>
      </c>
      <c r="D141" s="3">
        <f>IF(INDEX(Dataset!$H$6:$H$15,MATCH(Neighbors!D51,Dataset!$A$6:$A$15,0))=Dataset!H6,1,0)</f>
        <v>1</v>
      </c>
      <c r="E141" s="3">
        <f>IF(INDEX(Dataset!$H$6:$H$15,MATCH(Neighbors!F51,Dataset!$A$6:$A$15,0))=Dataset!H6,1,0)</f>
        <v>1</v>
      </c>
      <c r="F141" s="3">
        <f>IF(INDEX(Dataset!$H$6:$H$15,MATCH(Neighbors!H51,Dataset!$A$6:$A$15,0))=Dataset!H6,1,0)</f>
        <v>1</v>
      </c>
      <c r="G141" s="3">
        <f>IF(INDEX(Dataset!$H$6:$H$15,MATCH(Neighbors!J51,Dataset!$A$6:$A$15,0))=Dataset!H6,1,0)</f>
        <v>1</v>
      </c>
      <c r="H141" s="3">
        <f>IF(INDEX(Dataset!$H$6:$H$15,MATCH(Neighbors!L51,Dataset!$A$6:$A$15,0))=Dataset!H6,1,0)</f>
        <v>0</v>
      </c>
      <c r="I141" s="3">
        <f>IF(INDEX(Dataset!$H$6:$H$15,MATCH(Neighbors!N51,Dataset!$A$6:$A$15,0))=Dataset!H6,1,0)</f>
        <v>0</v>
      </c>
      <c r="J141" s="3">
        <f>IF(INDEX(Dataset!$H$6:$H$15,MATCH(Neighbors!P51,Dataset!$A$6:$A$15,0))=Dataset!H6,1,0)</f>
        <v>0</v>
      </c>
      <c r="K141" s="3">
        <f>IF(INDEX(Dataset!$H$6:$H$15,MATCH(Neighbors!R51,Dataset!$A$6:$A$15,0))=Dataset!H6,1,0)</f>
        <v>0</v>
      </c>
      <c r="L141" s="27"/>
    </row>
    <row r="142" spans="1:12" ht="25.05" customHeight="1">
      <c r="A142" s="7" t="s">
        <v>15</v>
      </c>
      <c r="B142" s="4">
        <v>1</v>
      </c>
      <c r="C142" s="4">
        <f>IF(INDEX(Dataset!$H$6:$H$15,MATCH(Neighbors!B52,Dataset!$A$6:$A$15,0))=Dataset!H7,1,0)</f>
        <v>1</v>
      </c>
      <c r="D142" s="4">
        <f>IF(INDEX(Dataset!$H$6:$H$15,MATCH(Neighbors!D52,Dataset!$A$6:$A$15,0))=Dataset!H7,1,0)</f>
        <v>1</v>
      </c>
      <c r="E142" s="4">
        <f>IF(INDEX(Dataset!$H$6:$H$15,MATCH(Neighbors!F52,Dataset!$A$6:$A$15,0))=Dataset!H7,1,0)</f>
        <v>1</v>
      </c>
      <c r="F142" s="4">
        <f>IF(INDEX(Dataset!$H$6:$H$15,MATCH(Neighbors!H52,Dataset!$A$6:$A$15,0))=Dataset!H7,1,0)</f>
        <v>1</v>
      </c>
      <c r="G142" s="4">
        <f>IF(INDEX(Dataset!$H$6:$H$15,MATCH(Neighbors!J52,Dataset!$A$6:$A$15,0))=Dataset!H7,1,0)</f>
        <v>1</v>
      </c>
      <c r="H142" s="4">
        <f>IF(INDEX(Dataset!$H$6:$H$15,MATCH(Neighbors!L52,Dataset!$A$6:$A$15,0))=Dataset!H7,1,0)</f>
        <v>0</v>
      </c>
      <c r="I142" s="4">
        <f>IF(INDEX(Dataset!$H$6:$H$15,MATCH(Neighbors!N52,Dataset!$A$6:$A$15,0))=Dataset!H7,1,0)</f>
        <v>0</v>
      </c>
      <c r="J142" s="4">
        <f>IF(INDEX(Dataset!$H$6:$H$15,MATCH(Neighbors!P52,Dataset!$A$6:$A$15,0))=Dataset!H7,1,0)</f>
        <v>0</v>
      </c>
      <c r="K142" s="4">
        <f>IF(INDEX(Dataset!$H$6:$H$15,MATCH(Neighbors!R52,Dataset!$A$6:$A$15,0))=Dataset!H7,1,0)</f>
        <v>0</v>
      </c>
      <c r="L142" s="27"/>
    </row>
    <row r="143" spans="1:12" ht="25.05" customHeight="1">
      <c r="A143" s="6" t="s">
        <v>17</v>
      </c>
      <c r="B143" s="3">
        <v>2</v>
      </c>
      <c r="C143" s="3">
        <f>IF(INDEX(Dataset!$H$6:$H$15,MATCH(Neighbors!B53,Dataset!$A$6:$A$15,0))=Dataset!H8,1,0)</f>
        <v>0</v>
      </c>
      <c r="D143" s="3">
        <f>IF(INDEX(Dataset!$H$6:$H$15,MATCH(Neighbors!D53,Dataset!$A$6:$A$15,0))=Dataset!H8,1,0)</f>
        <v>1</v>
      </c>
      <c r="E143" s="3">
        <f>IF(INDEX(Dataset!$H$6:$H$15,MATCH(Neighbors!F53,Dataset!$A$6:$A$15,0))=Dataset!H8,1,0)</f>
        <v>1</v>
      </c>
      <c r="F143" s="3">
        <f>IF(INDEX(Dataset!$H$6:$H$15,MATCH(Neighbors!H53,Dataset!$A$6:$A$15,0))=Dataset!H8,1,0)</f>
        <v>0</v>
      </c>
      <c r="G143" s="3">
        <f>IF(INDEX(Dataset!$H$6:$H$15,MATCH(Neighbors!J53,Dataset!$A$6:$A$15,0))=Dataset!H8,1,0)</f>
        <v>1</v>
      </c>
      <c r="H143" s="3">
        <f>IF(INDEX(Dataset!$H$6:$H$15,MATCH(Neighbors!L53,Dataset!$A$6:$A$15,0))=Dataset!H8,1,0)</f>
        <v>0</v>
      </c>
      <c r="I143" s="3">
        <f>IF(INDEX(Dataset!$H$6:$H$15,MATCH(Neighbors!N53,Dataset!$A$6:$A$15,0))=Dataset!H8,1,0)</f>
        <v>0</v>
      </c>
      <c r="J143" s="3">
        <f>IF(INDEX(Dataset!$H$6:$H$15,MATCH(Neighbors!P53,Dataset!$A$6:$A$15,0))=Dataset!H8,1,0)</f>
        <v>0</v>
      </c>
      <c r="K143" s="3">
        <f>IF(INDEX(Dataset!$H$6:$H$15,MATCH(Neighbors!R53,Dataset!$A$6:$A$15,0))=Dataset!H8,1,0)</f>
        <v>0</v>
      </c>
      <c r="L143" s="27"/>
    </row>
    <row r="144" spans="1:12" ht="25.05" customHeight="1">
      <c r="A144" s="7" t="s">
        <v>19</v>
      </c>
      <c r="B144" s="4">
        <v>1</v>
      </c>
      <c r="C144" s="4">
        <f>IF(INDEX(Dataset!$H$6:$H$15,MATCH(Neighbors!B54,Dataset!$A$6:$A$15,0))=Dataset!H9,1,0)</f>
        <v>1</v>
      </c>
      <c r="D144" s="4">
        <f>IF(INDEX(Dataset!$H$6:$H$15,MATCH(Neighbors!D54,Dataset!$A$6:$A$15,0))=Dataset!H9,1,0)</f>
        <v>1</v>
      </c>
      <c r="E144" s="4">
        <f>IF(INDEX(Dataset!$H$6:$H$15,MATCH(Neighbors!F54,Dataset!$A$6:$A$15,0))=Dataset!H9,1,0)</f>
        <v>1</v>
      </c>
      <c r="F144" s="4">
        <f>IF(INDEX(Dataset!$H$6:$H$15,MATCH(Neighbors!H54,Dataset!$A$6:$A$15,0))=Dataset!H9,1,0)</f>
        <v>1</v>
      </c>
      <c r="G144" s="4">
        <f>IF(INDEX(Dataset!$H$6:$H$15,MATCH(Neighbors!J54,Dataset!$A$6:$A$15,0))=Dataset!H9,1,0)</f>
        <v>0</v>
      </c>
      <c r="H144" s="4">
        <f>IF(INDEX(Dataset!$H$6:$H$15,MATCH(Neighbors!L54,Dataset!$A$6:$A$15,0))=Dataset!H9,1,0)</f>
        <v>1</v>
      </c>
      <c r="I144" s="4">
        <f>IF(INDEX(Dataset!$H$6:$H$15,MATCH(Neighbors!N54,Dataset!$A$6:$A$15,0))=Dataset!H9,1,0)</f>
        <v>0</v>
      </c>
      <c r="J144" s="4">
        <f>IF(INDEX(Dataset!$H$6:$H$15,MATCH(Neighbors!P54,Dataset!$A$6:$A$15,0))=Dataset!H9,1,0)</f>
        <v>0</v>
      </c>
      <c r="K144" s="4">
        <f>IF(INDEX(Dataset!$H$6:$H$15,MATCH(Neighbors!R54,Dataset!$A$6:$A$15,0))=Dataset!H9,1,0)</f>
        <v>0</v>
      </c>
      <c r="L144" s="27"/>
    </row>
    <row r="145" spans="1:12" ht="25.05" customHeight="1">
      <c r="A145" s="6" t="s">
        <v>21</v>
      </c>
      <c r="B145" s="3">
        <v>2</v>
      </c>
      <c r="C145" s="3">
        <f>IF(INDEX(Dataset!$H$6:$H$15,MATCH(Neighbors!B55,Dataset!$A$6:$A$15,0))=Dataset!H10,1,0)</f>
        <v>1</v>
      </c>
      <c r="D145" s="3">
        <f>IF(INDEX(Dataset!$H$6:$H$15,MATCH(Neighbors!D55,Dataset!$A$6:$A$15,0))=Dataset!H10,1,0)</f>
        <v>1</v>
      </c>
      <c r="E145" s="3">
        <f>IF(INDEX(Dataset!$H$6:$H$15,MATCH(Neighbors!F55,Dataset!$A$6:$A$15,0))=Dataset!H10,1,0)</f>
        <v>1</v>
      </c>
      <c r="F145" s="3">
        <f>IF(INDEX(Dataset!$H$6:$H$15,MATCH(Neighbors!H55,Dataset!$A$6:$A$15,0))=Dataset!H10,1,0)</f>
        <v>0</v>
      </c>
      <c r="G145" s="3">
        <f>IF(INDEX(Dataset!$H$6:$H$15,MATCH(Neighbors!J55,Dataset!$A$6:$A$15,0))=Dataset!H10,1,0)</f>
        <v>0</v>
      </c>
      <c r="H145" s="3">
        <f>IF(INDEX(Dataset!$H$6:$H$15,MATCH(Neighbors!L55,Dataset!$A$6:$A$15,0))=Dataset!H10,1,0)</f>
        <v>0</v>
      </c>
      <c r="I145" s="3">
        <f>IF(INDEX(Dataset!$H$6:$H$15,MATCH(Neighbors!N55,Dataset!$A$6:$A$15,0))=Dataset!H10,1,0)</f>
        <v>0</v>
      </c>
      <c r="J145" s="3">
        <f>IF(INDEX(Dataset!$H$6:$H$15,MATCH(Neighbors!P55,Dataset!$A$6:$A$15,0))=Dataset!H10,1,0)</f>
        <v>0</v>
      </c>
      <c r="K145" s="3">
        <f>IF(INDEX(Dataset!$H$6:$H$15,MATCH(Neighbors!R55,Dataset!$A$6:$A$15,0))=Dataset!H10,1,0)</f>
        <v>0</v>
      </c>
      <c r="L145" s="27"/>
    </row>
    <row r="146" spans="1:12" ht="25.05" customHeight="1">
      <c r="A146" s="7" t="s">
        <v>23</v>
      </c>
      <c r="B146" s="4">
        <v>1</v>
      </c>
      <c r="C146" s="4">
        <f>IF(INDEX(Dataset!$H$6:$H$15,MATCH(Neighbors!B56,Dataset!$A$6:$A$15,0))=Dataset!H11,1,0)</f>
        <v>1</v>
      </c>
      <c r="D146" s="4">
        <f>IF(INDEX(Dataset!$H$6:$H$15,MATCH(Neighbors!D56,Dataset!$A$6:$A$15,0))=Dataset!H11,1,0)</f>
        <v>0</v>
      </c>
      <c r="E146" s="4">
        <f>IF(INDEX(Dataset!$H$6:$H$15,MATCH(Neighbors!F56,Dataset!$A$6:$A$15,0))=Dataset!H11,1,0)</f>
        <v>1</v>
      </c>
      <c r="F146" s="4">
        <f>IF(INDEX(Dataset!$H$6:$H$15,MATCH(Neighbors!H56,Dataset!$A$6:$A$15,0))=Dataset!H11,1,0)</f>
        <v>1</v>
      </c>
      <c r="G146" s="4">
        <f>IF(INDEX(Dataset!$H$6:$H$15,MATCH(Neighbors!J56,Dataset!$A$6:$A$15,0))=Dataset!H11,1,0)</f>
        <v>1</v>
      </c>
      <c r="H146" s="4">
        <f>IF(INDEX(Dataset!$H$6:$H$15,MATCH(Neighbors!L56,Dataset!$A$6:$A$15,0))=Dataset!H11,1,0)</f>
        <v>0</v>
      </c>
      <c r="I146" s="4">
        <f>IF(INDEX(Dataset!$H$6:$H$15,MATCH(Neighbors!N56,Dataset!$A$6:$A$15,0))=Dataset!H11,1,0)</f>
        <v>0</v>
      </c>
      <c r="J146" s="4">
        <f>IF(INDEX(Dataset!$H$6:$H$15,MATCH(Neighbors!P56,Dataset!$A$6:$A$15,0))=Dataset!H11,1,0)</f>
        <v>0</v>
      </c>
      <c r="K146" s="4">
        <f>IF(INDEX(Dataset!$H$6:$H$15,MATCH(Neighbors!R56,Dataset!$A$6:$A$15,0))=Dataset!H11,1,0)</f>
        <v>1</v>
      </c>
      <c r="L146" s="27"/>
    </row>
    <row r="147" spans="1:12" ht="25.05" customHeight="1">
      <c r="A147" s="6" t="s">
        <v>26</v>
      </c>
      <c r="B147" s="3">
        <v>1</v>
      </c>
      <c r="C147" s="3">
        <f>IF(INDEX(Dataset!$H$6:$H$15,MATCH(Neighbors!B57,Dataset!$A$6:$A$15,0))=Dataset!H12,1,0)</f>
        <v>1</v>
      </c>
      <c r="D147" s="3">
        <f>IF(INDEX(Dataset!$H$6:$H$15,MATCH(Neighbors!D57,Dataset!$A$6:$A$15,0))=Dataset!H12,1,0)</f>
        <v>1</v>
      </c>
      <c r="E147" s="3">
        <f>IF(INDEX(Dataset!$H$6:$H$15,MATCH(Neighbors!F57,Dataset!$A$6:$A$15,0))=Dataset!H12,1,0)</f>
        <v>1</v>
      </c>
      <c r="F147" s="3">
        <f>IF(INDEX(Dataset!$H$6:$H$15,MATCH(Neighbors!H57,Dataset!$A$6:$A$15,0))=Dataset!H12,1,0)</f>
        <v>1</v>
      </c>
      <c r="G147" s="3">
        <f>IF(INDEX(Dataset!$H$6:$H$15,MATCH(Neighbors!J57,Dataset!$A$6:$A$15,0))=Dataset!H12,1,0)</f>
        <v>1</v>
      </c>
      <c r="H147" s="3">
        <f>IF(INDEX(Dataset!$H$6:$H$15,MATCH(Neighbors!L57,Dataset!$A$6:$A$15,0))=Dataset!H12,1,0)</f>
        <v>0</v>
      </c>
      <c r="I147" s="3">
        <f>IF(INDEX(Dataset!$H$6:$H$15,MATCH(Neighbors!N57,Dataset!$A$6:$A$15,0))=Dataset!H12,1,0)</f>
        <v>0</v>
      </c>
      <c r="J147" s="3">
        <f>IF(INDEX(Dataset!$H$6:$H$15,MATCH(Neighbors!P57,Dataset!$A$6:$A$15,0))=Dataset!H12,1,0)</f>
        <v>0</v>
      </c>
      <c r="K147" s="3">
        <f>IF(INDEX(Dataset!$H$6:$H$15,MATCH(Neighbors!R57,Dataset!$A$6:$A$15,0))=Dataset!H12,1,0)</f>
        <v>0</v>
      </c>
      <c r="L147" s="27"/>
    </row>
    <row r="148" spans="1:12" ht="25.05" customHeight="1">
      <c r="A148" s="7" t="s">
        <v>29</v>
      </c>
      <c r="B148" s="4">
        <v>1</v>
      </c>
      <c r="C148" s="4">
        <f>IF(INDEX(Dataset!$H$6:$H$15,MATCH(Neighbors!B58,Dataset!$A$6:$A$15,0))=Dataset!H13,1,0)</f>
        <v>1</v>
      </c>
      <c r="D148" s="4">
        <f>IF(INDEX(Dataset!$H$6:$H$15,MATCH(Neighbors!D58,Dataset!$A$6:$A$15,0))=Dataset!H13,1,0)</f>
        <v>1</v>
      </c>
      <c r="E148" s="4">
        <f>IF(INDEX(Dataset!$H$6:$H$15,MATCH(Neighbors!F58,Dataset!$A$6:$A$15,0))=Dataset!H13,1,0)</f>
        <v>1</v>
      </c>
      <c r="F148" s="4">
        <f>IF(INDEX(Dataset!$H$6:$H$15,MATCH(Neighbors!H58,Dataset!$A$6:$A$15,0))=Dataset!H13,1,0)</f>
        <v>1</v>
      </c>
      <c r="G148" s="4">
        <f>IF(INDEX(Dataset!$H$6:$H$15,MATCH(Neighbors!J58,Dataset!$A$6:$A$15,0))=Dataset!H13,1,0)</f>
        <v>0</v>
      </c>
      <c r="H148" s="4">
        <f>IF(INDEX(Dataset!$H$6:$H$15,MATCH(Neighbors!L58,Dataset!$A$6:$A$15,0))=Dataset!H13,1,0)</f>
        <v>1</v>
      </c>
      <c r="I148" s="4">
        <f>IF(INDEX(Dataset!$H$6:$H$15,MATCH(Neighbors!N58,Dataset!$A$6:$A$15,0))=Dataset!H13,1,0)</f>
        <v>0</v>
      </c>
      <c r="J148" s="4">
        <f>IF(INDEX(Dataset!$H$6:$H$15,MATCH(Neighbors!P58,Dataset!$A$6:$A$15,0))=Dataset!H13,1,0)</f>
        <v>0</v>
      </c>
      <c r="K148" s="4">
        <f>IF(INDEX(Dataset!$H$6:$H$15,MATCH(Neighbors!R58,Dataset!$A$6:$A$15,0))=Dataset!H13,1,0)</f>
        <v>0</v>
      </c>
      <c r="L148" s="27"/>
    </row>
    <row r="149" spans="1:12" ht="25.05" customHeight="1">
      <c r="A149" s="6" t="s">
        <v>32</v>
      </c>
      <c r="B149" s="3">
        <v>2</v>
      </c>
      <c r="C149" s="3">
        <f>IF(INDEX(Dataset!$H$6:$H$15,MATCH(Neighbors!B59,Dataset!$A$6:$A$15,0))=Dataset!H14,1,0)</f>
        <v>1</v>
      </c>
      <c r="D149" s="3">
        <f>IF(INDEX(Dataset!$H$6:$H$15,MATCH(Neighbors!D59,Dataset!$A$6:$A$15,0))=Dataset!H14,1,0)</f>
        <v>1</v>
      </c>
      <c r="E149" s="3">
        <f>IF(INDEX(Dataset!$H$6:$H$15,MATCH(Neighbors!F59,Dataset!$A$6:$A$15,0))=Dataset!H14,1,0)</f>
        <v>1</v>
      </c>
      <c r="F149" s="3">
        <f>IF(INDEX(Dataset!$H$6:$H$15,MATCH(Neighbors!H59,Dataset!$A$6:$A$15,0))=Dataset!H14,1,0)</f>
        <v>0</v>
      </c>
      <c r="G149" s="3">
        <f>IF(INDEX(Dataset!$H$6:$H$15,MATCH(Neighbors!J59,Dataset!$A$6:$A$15,0))=Dataset!H14,1,0)</f>
        <v>0</v>
      </c>
      <c r="H149" s="3">
        <f>IF(INDEX(Dataset!$H$6:$H$15,MATCH(Neighbors!L59,Dataset!$A$6:$A$15,0))=Dataset!H14,1,0)</f>
        <v>0</v>
      </c>
      <c r="I149" s="3">
        <f>IF(INDEX(Dataset!$H$6:$H$15,MATCH(Neighbors!N59,Dataset!$A$6:$A$15,0))=Dataset!H14,1,0)</f>
        <v>0</v>
      </c>
      <c r="J149" s="3">
        <f>IF(INDEX(Dataset!$H$6:$H$15,MATCH(Neighbors!P59,Dataset!$A$6:$A$15,0))=Dataset!H14,1,0)</f>
        <v>0</v>
      </c>
      <c r="K149" s="3">
        <f>IF(INDEX(Dataset!$H$6:$H$15,MATCH(Neighbors!R59,Dataset!$A$6:$A$15,0))=Dataset!H14,1,0)</f>
        <v>0</v>
      </c>
      <c r="L149" s="27"/>
    </row>
    <row r="150" spans="1:12" ht="25.05" customHeight="1">
      <c r="A150" s="8" t="s">
        <v>33</v>
      </c>
      <c r="B150" s="5">
        <v>2</v>
      </c>
      <c r="C150" s="5">
        <f>IF(INDEX(Dataset!$H$6:$H$15,MATCH(Neighbors!B60,Dataset!$A$6:$A$15,0))=Dataset!H15,1,0)</f>
        <v>1</v>
      </c>
      <c r="D150" s="5">
        <f>IF(INDEX(Dataset!$H$6:$H$15,MATCH(Neighbors!D60,Dataset!$A$6:$A$15,0))=Dataset!H15,1,0)</f>
        <v>1</v>
      </c>
      <c r="E150" s="5">
        <f>IF(INDEX(Dataset!$H$6:$H$15,MATCH(Neighbors!F60,Dataset!$A$6:$A$15,0))=Dataset!H15,1,0)</f>
        <v>1</v>
      </c>
      <c r="F150" s="5">
        <f>IF(INDEX(Dataset!$H$6:$H$15,MATCH(Neighbors!H60,Dataset!$A$6:$A$15,0))=Dataset!H15,1,0)</f>
        <v>0</v>
      </c>
      <c r="G150" s="5">
        <f>IF(INDEX(Dataset!$H$6:$H$15,MATCH(Neighbors!J60,Dataset!$A$6:$A$15,0))=Dataset!H15,1,0)</f>
        <v>0</v>
      </c>
      <c r="H150" s="5">
        <f>IF(INDEX(Dataset!$H$6:$H$15,MATCH(Neighbors!L60,Dataset!$A$6:$A$15,0))=Dataset!H15,1,0)</f>
        <v>0</v>
      </c>
      <c r="I150" s="5">
        <f>IF(INDEX(Dataset!$H$6:$H$15,MATCH(Neighbors!N60,Dataset!$A$6:$A$15,0))=Dataset!H15,1,0)</f>
        <v>0</v>
      </c>
      <c r="J150" s="5">
        <f>IF(INDEX(Dataset!$H$6:$H$15,MATCH(Neighbors!P60,Dataset!$A$6:$A$15,0))=Dataset!H15,1,0)</f>
        <v>0</v>
      </c>
      <c r="K150" s="5">
        <f>IF(INDEX(Dataset!$H$6:$H$15,MATCH(Neighbors!R60,Dataset!$A$6:$A$15,0))=Dataset!H15,1,0)</f>
        <v>0</v>
      </c>
      <c r="L150" s="27"/>
    </row>
    <row r="151" spans="1:1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</row>
    <row r="152" spans="1:1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</row>
    <row r="153" spans="1:1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</row>
    <row r="154" spans="1:12" ht="30" customHeight="1">
      <c r="A154" s="35" t="s">
        <v>78</v>
      </c>
      <c r="B154" s="35"/>
      <c r="C154" s="35"/>
      <c r="D154" s="35"/>
      <c r="E154" s="35"/>
      <c r="F154" s="35"/>
      <c r="G154" s="35"/>
      <c r="H154" s="27"/>
      <c r="I154" s="35" t="s">
        <v>79</v>
      </c>
      <c r="J154" s="35"/>
      <c r="K154" s="35"/>
      <c r="L154" s="35"/>
    </row>
    <row r="155" spans="1:12" ht="43.95" customHeight="1">
      <c r="A155" s="2" t="s">
        <v>3</v>
      </c>
      <c r="B155" s="2" t="s">
        <v>10</v>
      </c>
      <c r="C155" s="2" t="s">
        <v>80</v>
      </c>
      <c r="D155" s="2" t="s">
        <v>81</v>
      </c>
      <c r="E155" s="2" t="s">
        <v>82</v>
      </c>
      <c r="F155" s="2" t="s">
        <v>83</v>
      </c>
      <c r="G155" s="2" t="s">
        <v>84</v>
      </c>
      <c r="H155" s="27"/>
      <c r="I155" s="2" t="s">
        <v>3</v>
      </c>
      <c r="J155" s="2" t="s">
        <v>10</v>
      </c>
      <c r="K155" s="2" t="s">
        <v>82</v>
      </c>
      <c r="L155" s="2" t="s">
        <v>84</v>
      </c>
    </row>
    <row r="156" spans="1:12" ht="25.05" customHeight="1">
      <c r="A156" s="6" t="s">
        <v>13</v>
      </c>
      <c r="B156" s="3">
        <v>1</v>
      </c>
      <c r="C156" s="3">
        <f t="shared" ref="C156:C165" si="42">SUM(C141:C141)</f>
        <v>1</v>
      </c>
      <c r="D156" s="3">
        <f t="shared" ref="D156:D165" si="43">SUM(C141:D141)</f>
        <v>2</v>
      </c>
      <c r="E156" s="3">
        <f t="shared" ref="E156:E165" si="44">SUM(C141:E141)</f>
        <v>3</v>
      </c>
      <c r="F156" s="3">
        <f t="shared" ref="F156:F165" si="45">SUM(C141:F141)</f>
        <v>4</v>
      </c>
      <c r="G156" s="3">
        <f t="shared" ref="G156:G165" si="46">SUM(C141:G141)</f>
        <v>5</v>
      </c>
      <c r="H156" s="27"/>
      <c r="I156" s="6" t="s">
        <v>13</v>
      </c>
      <c r="J156" s="3">
        <v>1</v>
      </c>
      <c r="K156" s="3">
        <f t="shared" ref="K156:K165" si="47">E156</f>
        <v>3</v>
      </c>
      <c r="L156" s="3">
        <f t="shared" ref="L156:L165" si="48">G156</f>
        <v>5</v>
      </c>
    </row>
    <row r="157" spans="1:12" ht="25.05" customHeight="1">
      <c r="A157" s="7" t="s">
        <v>15</v>
      </c>
      <c r="B157" s="4">
        <v>1</v>
      </c>
      <c r="C157" s="4">
        <f t="shared" si="42"/>
        <v>1</v>
      </c>
      <c r="D157" s="4">
        <f t="shared" si="43"/>
        <v>2</v>
      </c>
      <c r="E157" s="4">
        <f t="shared" si="44"/>
        <v>3</v>
      </c>
      <c r="F157" s="4">
        <f t="shared" si="45"/>
        <v>4</v>
      </c>
      <c r="G157" s="4">
        <f t="shared" si="46"/>
        <v>5</v>
      </c>
      <c r="H157" s="27"/>
      <c r="I157" s="7" t="s">
        <v>15</v>
      </c>
      <c r="J157" s="4">
        <v>1</v>
      </c>
      <c r="K157" s="4">
        <f t="shared" si="47"/>
        <v>3</v>
      </c>
      <c r="L157" s="4">
        <f t="shared" si="48"/>
        <v>5</v>
      </c>
    </row>
    <row r="158" spans="1:12" ht="25.05" customHeight="1">
      <c r="A158" s="6" t="s">
        <v>17</v>
      </c>
      <c r="B158" s="3">
        <v>2</v>
      </c>
      <c r="C158" s="3">
        <f t="shared" si="42"/>
        <v>0</v>
      </c>
      <c r="D158" s="3">
        <f t="shared" si="43"/>
        <v>1</v>
      </c>
      <c r="E158" s="3">
        <f t="shared" si="44"/>
        <v>2</v>
      </c>
      <c r="F158" s="3">
        <f t="shared" si="45"/>
        <v>2</v>
      </c>
      <c r="G158" s="3">
        <f t="shared" si="46"/>
        <v>3</v>
      </c>
      <c r="H158" s="27"/>
      <c r="I158" s="6" t="s">
        <v>17</v>
      </c>
      <c r="J158" s="3">
        <v>2</v>
      </c>
      <c r="K158" s="3">
        <f t="shared" si="47"/>
        <v>2</v>
      </c>
      <c r="L158" s="3">
        <f t="shared" si="48"/>
        <v>3</v>
      </c>
    </row>
    <row r="159" spans="1:12" ht="25.05" customHeight="1">
      <c r="A159" s="7" t="s">
        <v>19</v>
      </c>
      <c r="B159" s="4">
        <v>1</v>
      </c>
      <c r="C159" s="4">
        <f t="shared" si="42"/>
        <v>1</v>
      </c>
      <c r="D159" s="4">
        <f t="shared" si="43"/>
        <v>2</v>
      </c>
      <c r="E159" s="4">
        <f t="shared" si="44"/>
        <v>3</v>
      </c>
      <c r="F159" s="4">
        <f t="shared" si="45"/>
        <v>4</v>
      </c>
      <c r="G159" s="4">
        <f t="shared" si="46"/>
        <v>4</v>
      </c>
      <c r="H159" s="27"/>
      <c r="I159" s="7" t="s">
        <v>19</v>
      </c>
      <c r="J159" s="4">
        <v>1</v>
      </c>
      <c r="K159" s="4">
        <f t="shared" si="47"/>
        <v>3</v>
      </c>
      <c r="L159" s="4">
        <f t="shared" si="48"/>
        <v>4</v>
      </c>
    </row>
    <row r="160" spans="1:12" ht="25.05" customHeight="1">
      <c r="A160" s="6" t="s">
        <v>21</v>
      </c>
      <c r="B160" s="3">
        <v>2</v>
      </c>
      <c r="C160" s="3">
        <f t="shared" si="42"/>
        <v>1</v>
      </c>
      <c r="D160" s="3">
        <f t="shared" si="43"/>
        <v>2</v>
      </c>
      <c r="E160" s="3">
        <f t="shared" si="44"/>
        <v>3</v>
      </c>
      <c r="F160" s="3">
        <f t="shared" si="45"/>
        <v>3</v>
      </c>
      <c r="G160" s="3">
        <f t="shared" si="46"/>
        <v>3</v>
      </c>
      <c r="H160" s="27"/>
      <c r="I160" s="6" t="s">
        <v>21</v>
      </c>
      <c r="J160" s="3">
        <v>2</v>
      </c>
      <c r="K160" s="3">
        <f t="shared" si="47"/>
        <v>3</v>
      </c>
      <c r="L160" s="3">
        <f t="shared" si="48"/>
        <v>3</v>
      </c>
    </row>
    <row r="161" spans="1:12" ht="25.05" customHeight="1">
      <c r="A161" s="7" t="s">
        <v>23</v>
      </c>
      <c r="B161" s="4">
        <v>1</v>
      </c>
      <c r="C161" s="4">
        <f t="shared" si="42"/>
        <v>1</v>
      </c>
      <c r="D161" s="4">
        <f t="shared" si="43"/>
        <v>1</v>
      </c>
      <c r="E161" s="4">
        <f t="shared" si="44"/>
        <v>2</v>
      </c>
      <c r="F161" s="4">
        <f t="shared" si="45"/>
        <v>3</v>
      </c>
      <c r="G161" s="4">
        <f t="shared" si="46"/>
        <v>4</v>
      </c>
      <c r="H161" s="27"/>
      <c r="I161" s="7" t="s">
        <v>23</v>
      </c>
      <c r="J161" s="4">
        <v>1</v>
      </c>
      <c r="K161" s="4">
        <f t="shared" si="47"/>
        <v>2</v>
      </c>
      <c r="L161" s="4">
        <f t="shared" si="48"/>
        <v>4</v>
      </c>
    </row>
    <row r="162" spans="1:12" ht="25.05" customHeight="1">
      <c r="A162" s="6" t="s">
        <v>26</v>
      </c>
      <c r="B162" s="3">
        <v>1</v>
      </c>
      <c r="C162" s="3">
        <f t="shared" si="42"/>
        <v>1</v>
      </c>
      <c r="D162" s="3">
        <f t="shared" si="43"/>
        <v>2</v>
      </c>
      <c r="E162" s="3">
        <f t="shared" si="44"/>
        <v>3</v>
      </c>
      <c r="F162" s="3">
        <f t="shared" si="45"/>
        <v>4</v>
      </c>
      <c r="G162" s="3">
        <f t="shared" si="46"/>
        <v>5</v>
      </c>
      <c r="H162" s="27"/>
      <c r="I162" s="6" t="s">
        <v>26</v>
      </c>
      <c r="J162" s="3">
        <v>1</v>
      </c>
      <c r="K162" s="3">
        <f t="shared" si="47"/>
        <v>3</v>
      </c>
      <c r="L162" s="3">
        <f t="shared" si="48"/>
        <v>5</v>
      </c>
    </row>
    <row r="163" spans="1:12" ht="25.05" customHeight="1">
      <c r="A163" s="7" t="s">
        <v>29</v>
      </c>
      <c r="B163" s="4">
        <v>1</v>
      </c>
      <c r="C163" s="4">
        <f t="shared" si="42"/>
        <v>1</v>
      </c>
      <c r="D163" s="4">
        <f t="shared" si="43"/>
        <v>2</v>
      </c>
      <c r="E163" s="4">
        <f t="shared" si="44"/>
        <v>3</v>
      </c>
      <c r="F163" s="4">
        <f t="shared" si="45"/>
        <v>4</v>
      </c>
      <c r="G163" s="4">
        <f t="shared" si="46"/>
        <v>4</v>
      </c>
      <c r="H163" s="27"/>
      <c r="I163" s="7" t="s">
        <v>29</v>
      </c>
      <c r="J163" s="4">
        <v>1</v>
      </c>
      <c r="K163" s="4">
        <f t="shared" si="47"/>
        <v>3</v>
      </c>
      <c r="L163" s="4">
        <f t="shared" si="48"/>
        <v>4</v>
      </c>
    </row>
    <row r="164" spans="1:12" ht="25.05" customHeight="1">
      <c r="A164" s="6" t="s">
        <v>32</v>
      </c>
      <c r="B164" s="3">
        <v>2</v>
      </c>
      <c r="C164" s="3">
        <f t="shared" si="42"/>
        <v>1</v>
      </c>
      <c r="D164" s="3">
        <f t="shared" si="43"/>
        <v>2</v>
      </c>
      <c r="E164" s="3">
        <f t="shared" si="44"/>
        <v>3</v>
      </c>
      <c r="F164" s="3">
        <f t="shared" si="45"/>
        <v>3</v>
      </c>
      <c r="G164" s="3">
        <f t="shared" si="46"/>
        <v>3</v>
      </c>
      <c r="H164" s="27"/>
      <c r="I164" s="6" t="s">
        <v>32</v>
      </c>
      <c r="J164" s="3">
        <v>2</v>
      </c>
      <c r="K164" s="3">
        <f t="shared" si="47"/>
        <v>3</v>
      </c>
      <c r="L164" s="3">
        <f t="shared" si="48"/>
        <v>3</v>
      </c>
    </row>
    <row r="165" spans="1:12" ht="25.05" customHeight="1">
      <c r="A165" s="8" t="s">
        <v>33</v>
      </c>
      <c r="B165" s="5">
        <v>2</v>
      </c>
      <c r="C165" s="5">
        <f t="shared" si="42"/>
        <v>1</v>
      </c>
      <c r="D165" s="5">
        <f t="shared" si="43"/>
        <v>2</v>
      </c>
      <c r="E165" s="5">
        <f t="shared" si="44"/>
        <v>3</v>
      </c>
      <c r="F165" s="5">
        <f t="shared" si="45"/>
        <v>3</v>
      </c>
      <c r="G165" s="5">
        <f t="shared" si="46"/>
        <v>3</v>
      </c>
      <c r="H165" s="27"/>
      <c r="I165" s="8" t="s">
        <v>33</v>
      </c>
      <c r="J165" s="5">
        <v>2</v>
      </c>
      <c r="K165" s="5">
        <f t="shared" si="47"/>
        <v>3</v>
      </c>
      <c r="L165" s="5">
        <f t="shared" si="48"/>
        <v>3</v>
      </c>
    </row>
    <row r="166" spans="1:1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</row>
    <row r="167" spans="1:1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</row>
    <row r="168" spans="1:1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</row>
    <row r="169" spans="1:12" ht="30" customHeight="1">
      <c r="A169" s="35" t="s">
        <v>85</v>
      </c>
      <c r="B169" s="35"/>
      <c r="C169" s="35"/>
      <c r="D169" s="35"/>
      <c r="E169" s="35"/>
      <c r="F169" s="35"/>
      <c r="G169" s="35"/>
      <c r="H169" s="27"/>
      <c r="I169" s="35" t="s">
        <v>86</v>
      </c>
      <c r="J169" s="35"/>
      <c r="K169" s="35"/>
      <c r="L169" s="35"/>
    </row>
    <row r="170" spans="1:12" ht="43.95" customHeight="1">
      <c r="A170" s="2" t="s">
        <v>3</v>
      </c>
      <c r="B170" s="2" t="s">
        <v>10</v>
      </c>
      <c r="C170" s="2" t="s">
        <v>87</v>
      </c>
      <c r="D170" s="2" t="s">
        <v>88</v>
      </c>
      <c r="E170" s="2" t="s">
        <v>89</v>
      </c>
      <c r="F170" s="2" t="s">
        <v>90</v>
      </c>
      <c r="G170" s="2" t="s">
        <v>91</v>
      </c>
      <c r="H170" s="27"/>
      <c r="I170" s="2" t="s">
        <v>3</v>
      </c>
      <c r="J170" s="2" t="s">
        <v>10</v>
      </c>
      <c r="K170" s="2" t="s">
        <v>89</v>
      </c>
      <c r="L170" s="2" t="s">
        <v>91</v>
      </c>
    </row>
    <row r="171" spans="1:12" ht="25.05" customHeight="1">
      <c r="A171" s="6" t="s">
        <v>13</v>
      </c>
      <c r="B171" s="3">
        <v>1</v>
      </c>
      <c r="C171" s="3">
        <f t="shared" ref="C171:C180" si="49">IF(C156/1&gt;0.5,1,0)</f>
        <v>1</v>
      </c>
      <c r="D171" s="3">
        <f t="shared" ref="D171:D180" si="50">IF(D156/2&gt;0.5,1,0)</f>
        <v>1</v>
      </c>
      <c r="E171" s="3">
        <f t="shared" ref="E171:E180" si="51">IF(E156/3&gt;0.5,1,0)</f>
        <v>1</v>
      </c>
      <c r="F171" s="3">
        <f t="shared" ref="F171:F180" si="52">IF(F156/4&gt;0.5,1,0)</f>
        <v>1</v>
      </c>
      <c r="G171" s="3">
        <f t="shared" ref="G171:G180" si="53">IF(G156/5&gt;0.5,1,0)</f>
        <v>1</v>
      </c>
      <c r="H171" s="27"/>
      <c r="I171" s="6" t="s">
        <v>13</v>
      </c>
      <c r="J171" s="3">
        <v>1</v>
      </c>
      <c r="K171" s="3">
        <f t="shared" ref="K171:K180" si="54">E171</f>
        <v>1</v>
      </c>
      <c r="L171" s="3">
        <f t="shared" ref="L171:L180" si="55">G171</f>
        <v>1</v>
      </c>
    </row>
    <row r="172" spans="1:12" ht="25.05" customHeight="1">
      <c r="A172" s="7" t="s">
        <v>15</v>
      </c>
      <c r="B172" s="4">
        <v>1</v>
      </c>
      <c r="C172" s="4">
        <f t="shared" si="49"/>
        <v>1</v>
      </c>
      <c r="D172" s="4">
        <f t="shared" si="50"/>
        <v>1</v>
      </c>
      <c r="E172" s="4">
        <f t="shared" si="51"/>
        <v>1</v>
      </c>
      <c r="F172" s="4">
        <f t="shared" si="52"/>
        <v>1</v>
      </c>
      <c r="G172" s="4">
        <f t="shared" si="53"/>
        <v>1</v>
      </c>
      <c r="H172" s="27"/>
      <c r="I172" s="7" t="s">
        <v>15</v>
      </c>
      <c r="J172" s="4">
        <v>1</v>
      </c>
      <c r="K172" s="4">
        <f t="shared" si="54"/>
        <v>1</v>
      </c>
      <c r="L172" s="4">
        <f t="shared" si="55"/>
        <v>1</v>
      </c>
    </row>
    <row r="173" spans="1:12" ht="25.05" customHeight="1">
      <c r="A173" s="6" t="s">
        <v>17</v>
      </c>
      <c r="B173" s="3">
        <v>2</v>
      </c>
      <c r="C173" s="3">
        <f t="shared" si="49"/>
        <v>0</v>
      </c>
      <c r="D173" s="3">
        <f t="shared" si="50"/>
        <v>0</v>
      </c>
      <c r="E173" s="3">
        <f t="shared" si="51"/>
        <v>1</v>
      </c>
      <c r="F173" s="3">
        <f t="shared" si="52"/>
        <v>0</v>
      </c>
      <c r="G173" s="3">
        <f t="shared" si="53"/>
        <v>1</v>
      </c>
      <c r="H173" s="27"/>
      <c r="I173" s="6" t="s">
        <v>17</v>
      </c>
      <c r="J173" s="3">
        <v>2</v>
      </c>
      <c r="K173" s="3">
        <f t="shared" si="54"/>
        <v>1</v>
      </c>
      <c r="L173" s="3">
        <f t="shared" si="55"/>
        <v>1</v>
      </c>
    </row>
    <row r="174" spans="1:12" ht="25.05" customHeight="1">
      <c r="A174" s="7" t="s">
        <v>19</v>
      </c>
      <c r="B174" s="4">
        <v>1</v>
      </c>
      <c r="C174" s="4">
        <f t="shared" si="49"/>
        <v>1</v>
      </c>
      <c r="D174" s="4">
        <f t="shared" si="50"/>
        <v>1</v>
      </c>
      <c r="E174" s="4">
        <f t="shared" si="51"/>
        <v>1</v>
      </c>
      <c r="F174" s="4">
        <f t="shared" si="52"/>
        <v>1</v>
      </c>
      <c r="G174" s="4">
        <f t="shared" si="53"/>
        <v>1</v>
      </c>
      <c r="H174" s="27"/>
      <c r="I174" s="7" t="s">
        <v>19</v>
      </c>
      <c r="J174" s="4">
        <v>1</v>
      </c>
      <c r="K174" s="4">
        <f t="shared" si="54"/>
        <v>1</v>
      </c>
      <c r="L174" s="4">
        <f t="shared" si="55"/>
        <v>1</v>
      </c>
    </row>
    <row r="175" spans="1:12" ht="25.05" customHeight="1">
      <c r="A175" s="6" t="s">
        <v>21</v>
      </c>
      <c r="B175" s="3">
        <v>2</v>
      </c>
      <c r="C175" s="3">
        <f t="shared" si="49"/>
        <v>1</v>
      </c>
      <c r="D175" s="3">
        <f t="shared" si="50"/>
        <v>1</v>
      </c>
      <c r="E175" s="3">
        <f t="shared" si="51"/>
        <v>1</v>
      </c>
      <c r="F175" s="3">
        <f t="shared" si="52"/>
        <v>1</v>
      </c>
      <c r="G175" s="3">
        <f t="shared" si="53"/>
        <v>1</v>
      </c>
      <c r="H175" s="27"/>
      <c r="I175" s="6" t="s">
        <v>21</v>
      </c>
      <c r="J175" s="3">
        <v>2</v>
      </c>
      <c r="K175" s="3">
        <f t="shared" si="54"/>
        <v>1</v>
      </c>
      <c r="L175" s="3">
        <f t="shared" si="55"/>
        <v>1</v>
      </c>
    </row>
    <row r="176" spans="1:12" ht="25.05" customHeight="1">
      <c r="A176" s="7" t="s">
        <v>23</v>
      </c>
      <c r="B176" s="4">
        <v>1</v>
      </c>
      <c r="C176" s="4">
        <f t="shared" si="49"/>
        <v>1</v>
      </c>
      <c r="D176" s="4">
        <f t="shared" si="50"/>
        <v>0</v>
      </c>
      <c r="E176" s="4">
        <f t="shared" si="51"/>
        <v>1</v>
      </c>
      <c r="F176" s="4">
        <f t="shared" si="52"/>
        <v>1</v>
      </c>
      <c r="G176" s="4">
        <f t="shared" si="53"/>
        <v>1</v>
      </c>
      <c r="H176" s="27"/>
      <c r="I176" s="7" t="s">
        <v>23</v>
      </c>
      <c r="J176" s="4">
        <v>1</v>
      </c>
      <c r="K176" s="4">
        <f t="shared" si="54"/>
        <v>1</v>
      </c>
      <c r="L176" s="4">
        <f t="shared" si="55"/>
        <v>1</v>
      </c>
    </row>
    <row r="177" spans="1:12" ht="25.05" customHeight="1">
      <c r="A177" s="6" t="s">
        <v>26</v>
      </c>
      <c r="B177" s="3">
        <v>1</v>
      </c>
      <c r="C177" s="3">
        <f t="shared" si="49"/>
        <v>1</v>
      </c>
      <c r="D177" s="3">
        <f t="shared" si="50"/>
        <v>1</v>
      </c>
      <c r="E177" s="3">
        <f t="shared" si="51"/>
        <v>1</v>
      </c>
      <c r="F177" s="3">
        <f t="shared" si="52"/>
        <v>1</v>
      </c>
      <c r="G177" s="3">
        <f t="shared" si="53"/>
        <v>1</v>
      </c>
      <c r="H177" s="27"/>
      <c r="I177" s="6" t="s">
        <v>26</v>
      </c>
      <c r="J177" s="3">
        <v>1</v>
      </c>
      <c r="K177" s="3">
        <f t="shared" si="54"/>
        <v>1</v>
      </c>
      <c r="L177" s="3">
        <f t="shared" si="55"/>
        <v>1</v>
      </c>
    </row>
    <row r="178" spans="1:12" ht="25.05" customHeight="1">
      <c r="A178" s="7" t="s">
        <v>29</v>
      </c>
      <c r="B178" s="4">
        <v>1</v>
      </c>
      <c r="C178" s="4">
        <f t="shared" si="49"/>
        <v>1</v>
      </c>
      <c r="D178" s="4">
        <f t="shared" si="50"/>
        <v>1</v>
      </c>
      <c r="E178" s="4">
        <f t="shared" si="51"/>
        <v>1</v>
      </c>
      <c r="F178" s="4">
        <f t="shared" si="52"/>
        <v>1</v>
      </c>
      <c r="G178" s="4">
        <f t="shared" si="53"/>
        <v>1</v>
      </c>
      <c r="H178" s="27"/>
      <c r="I178" s="7" t="s">
        <v>29</v>
      </c>
      <c r="J178" s="4">
        <v>1</v>
      </c>
      <c r="K178" s="4">
        <f t="shared" si="54"/>
        <v>1</v>
      </c>
      <c r="L178" s="4">
        <f t="shared" si="55"/>
        <v>1</v>
      </c>
    </row>
    <row r="179" spans="1:12" ht="25.05" customHeight="1">
      <c r="A179" s="6" t="s">
        <v>32</v>
      </c>
      <c r="B179" s="3">
        <v>2</v>
      </c>
      <c r="C179" s="3">
        <f t="shared" si="49"/>
        <v>1</v>
      </c>
      <c r="D179" s="3">
        <f t="shared" si="50"/>
        <v>1</v>
      </c>
      <c r="E179" s="3">
        <f t="shared" si="51"/>
        <v>1</v>
      </c>
      <c r="F179" s="3">
        <f t="shared" si="52"/>
        <v>1</v>
      </c>
      <c r="G179" s="3">
        <f t="shared" si="53"/>
        <v>1</v>
      </c>
      <c r="H179" s="27"/>
      <c r="I179" s="6" t="s">
        <v>32</v>
      </c>
      <c r="J179" s="3">
        <v>2</v>
      </c>
      <c r="K179" s="3">
        <f t="shared" si="54"/>
        <v>1</v>
      </c>
      <c r="L179" s="3">
        <f t="shared" si="55"/>
        <v>1</v>
      </c>
    </row>
    <row r="180" spans="1:12" ht="25.05" customHeight="1">
      <c r="A180" s="8" t="s">
        <v>33</v>
      </c>
      <c r="B180" s="5">
        <v>2</v>
      </c>
      <c r="C180" s="5">
        <f t="shared" si="49"/>
        <v>1</v>
      </c>
      <c r="D180" s="5">
        <f t="shared" si="50"/>
        <v>1</v>
      </c>
      <c r="E180" s="5">
        <f t="shared" si="51"/>
        <v>1</v>
      </c>
      <c r="F180" s="5">
        <f t="shared" si="52"/>
        <v>1</v>
      </c>
      <c r="G180" s="5">
        <f t="shared" si="53"/>
        <v>1</v>
      </c>
      <c r="H180" s="27"/>
      <c r="I180" s="8" t="s">
        <v>33</v>
      </c>
      <c r="J180" s="5">
        <v>2</v>
      </c>
      <c r="K180" s="5">
        <f t="shared" si="54"/>
        <v>1</v>
      </c>
      <c r="L180" s="5">
        <f t="shared" si="55"/>
        <v>1</v>
      </c>
    </row>
    <row r="181" spans="1:1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</row>
    <row r="182" spans="1:1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</row>
    <row r="183" spans="1:1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</row>
    <row r="184" spans="1:12" ht="30" customHeight="1">
      <c r="A184" s="35" t="s">
        <v>95</v>
      </c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27"/>
    </row>
    <row r="185" spans="1:12" ht="43.95" customHeight="1">
      <c r="A185" s="2" t="s">
        <v>3</v>
      </c>
      <c r="B185" s="2" t="s">
        <v>10</v>
      </c>
      <c r="C185" s="2" t="s">
        <v>69</v>
      </c>
      <c r="D185" s="2" t="s">
        <v>70</v>
      </c>
      <c r="E185" s="2" t="s">
        <v>71</v>
      </c>
      <c r="F185" s="2" t="s">
        <v>72</v>
      </c>
      <c r="G185" s="2" t="s">
        <v>73</v>
      </c>
      <c r="H185" s="2" t="s">
        <v>74</v>
      </c>
      <c r="I185" s="2" t="s">
        <v>75</v>
      </c>
      <c r="J185" s="2" t="s">
        <v>76</v>
      </c>
      <c r="K185" s="2" t="s">
        <v>77</v>
      </c>
      <c r="L185" s="27"/>
    </row>
    <row r="186" spans="1:12" ht="25.05" customHeight="1">
      <c r="A186" s="6" t="s">
        <v>13</v>
      </c>
      <c r="B186" s="3">
        <v>1</v>
      </c>
      <c r="C186" s="3">
        <f>IF(INDEX(Dataset!$H$6:$H$15,MATCH(Neighbors!B66,Dataset!$A$6:$A$15,0))=Dataset!H6,1,0)</f>
        <v>1</v>
      </c>
      <c r="D186" s="3">
        <f>IF(INDEX(Dataset!$H$6:$H$15,MATCH(Neighbors!D66,Dataset!$A$6:$A$15,0))=Dataset!H6,1,0)</f>
        <v>1</v>
      </c>
      <c r="E186" s="3">
        <f>IF(INDEX(Dataset!$H$6:$H$15,MATCH(Neighbors!F66,Dataset!$A$6:$A$15,0))=Dataset!H6,1,0)</f>
        <v>1</v>
      </c>
      <c r="F186" s="3">
        <f>IF(INDEX(Dataset!$H$6:$H$15,MATCH(Neighbors!H66,Dataset!$A$6:$A$15,0))=Dataset!H6,1,0)</f>
        <v>1</v>
      </c>
      <c r="G186" s="3">
        <f>IF(INDEX(Dataset!$H$6:$H$15,MATCH(Neighbors!J66,Dataset!$A$6:$A$15,0))=Dataset!H6,1,0)</f>
        <v>1</v>
      </c>
      <c r="H186" s="3">
        <f>IF(INDEX(Dataset!$H$6:$H$15,MATCH(Neighbors!L66,Dataset!$A$6:$A$15,0))=Dataset!H6,1,0)</f>
        <v>0</v>
      </c>
      <c r="I186" s="3">
        <f>IF(INDEX(Dataset!$H$6:$H$15,MATCH(Neighbors!N66,Dataset!$A$6:$A$15,0))=Dataset!H6,1,0)</f>
        <v>0</v>
      </c>
      <c r="J186" s="3">
        <f>IF(INDEX(Dataset!$H$6:$H$15,MATCH(Neighbors!P66,Dataset!$A$6:$A$15,0))=Dataset!H6,1,0)</f>
        <v>0</v>
      </c>
      <c r="K186" s="3">
        <f>IF(INDEX(Dataset!$H$6:$H$15,MATCH(Neighbors!R66,Dataset!$A$6:$A$15,0))=Dataset!H6,1,0)</f>
        <v>0</v>
      </c>
      <c r="L186" s="27"/>
    </row>
    <row r="187" spans="1:12" ht="25.05" customHeight="1">
      <c r="A187" s="7" t="s">
        <v>15</v>
      </c>
      <c r="B187" s="4">
        <v>1</v>
      </c>
      <c r="C187" s="4">
        <f>IF(INDEX(Dataset!$H$6:$H$15,MATCH(Neighbors!B67,Dataset!$A$6:$A$15,0))=Dataset!H7,1,0)</f>
        <v>1</v>
      </c>
      <c r="D187" s="4">
        <f>IF(INDEX(Dataset!$H$6:$H$15,MATCH(Neighbors!D67,Dataset!$A$6:$A$15,0))=Dataset!H7,1,0)</f>
        <v>1</v>
      </c>
      <c r="E187" s="4">
        <f>IF(INDEX(Dataset!$H$6:$H$15,MATCH(Neighbors!F67,Dataset!$A$6:$A$15,0))=Dataset!H7,1,0)</f>
        <v>1</v>
      </c>
      <c r="F187" s="4">
        <f>IF(INDEX(Dataset!$H$6:$H$15,MATCH(Neighbors!H67,Dataset!$A$6:$A$15,0))=Dataset!H7,1,0)</f>
        <v>0</v>
      </c>
      <c r="G187" s="4">
        <f>IF(INDEX(Dataset!$H$6:$H$15,MATCH(Neighbors!J67,Dataset!$A$6:$A$15,0))=Dataset!H7,1,0)</f>
        <v>1</v>
      </c>
      <c r="H187" s="4">
        <f>IF(INDEX(Dataset!$H$6:$H$15,MATCH(Neighbors!L67,Dataset!$A$6:$A$15,0))=Dataset!H7,1,0)</f>
        <v>1</v>
      </c>
      <c r="I187" s="4">
        <f>IF(INDEX(Dataset!$H$6:$H$15,MATCH(Neighbors!N67,Dataset!$A$6:$A$15,0))=Dataset!H7,1,0)</f>
        <v>0</v>
      </c>
      <c r="J187" s="4">
        <f>IF(INDEX(Dataset!$H$6:$H$15,MATCH(Neighbors!P67,Dataset!$A$6:$A$15,0))=Dataset!H7,1,0)</f>
        <v>0</v>
      </c>
      <c r="K187" s="4">
        <f>IF(INDEX(Dataset!$H$6:$H$15,MATCH(Neighbors!R67,Dataset!$A$6:$A$15,0))=Dataset!H7,1,0)</f>
        <v>0</v>
      </c>
      <c r="L187" s="27"/>
    </row>
    <row r="188" spans="1:12" ht="25.05" customHeight="1">
      <c r="A188" s="6" t="s">
        <v>17</v>
      </c>
      <c r="B188" s="3">
        <v>2</v>
      </c>
      <c r="C188" s="3">
        <f>IF(INDEX(Dataset!$H$6:$H$15,MATCH(Neighbors!B68,Dataset!$A$6:$A$15,0))=Dataset!H8,1,0)</f>
        <v>1</v>
      </c>
      <c r="D188" s="3">
        <f>IF(INDEX(Dataset!$H$6:$H$15,MATCH(Neighbors!D68,Dataset!$A$6:$A$15,0))=Dataset!H8,1,0)</f>
        <v>1</v>
      </c>
      <c r="E188" s="3">
        <f>IF(INDEX(Dataset!$H$6:$H$15,MATCH(Neighbors!F68,Dataset!$A$6:$A$15,0))=Dataset!H8,1,0)</f>
        <v>1</v>
      </c>
      <c r="F188" s="3">
        <f>IF(INDEX(Dataset!$H$6:$H$15,MATCH(Neighbors!H68,Dataset!$A$6:$A$15,0))=Dataset!H8,1,0)</f>
        <v>0</v>
      </c>
      <c r="G188" s="3">
        <f>IF(INDEX(Dataset!$H$6:$H$15,MATCH(Neighbors!J68,Dataset!$A$6:$A$15,0))=Dataset!H8,1,0)</f>
        <v>0</v>
      </c>
      <c r="H188" s="3">
        <f>IF(INDEX(Dataset!$H$6:$H$15,MATCH(Neighbors!L68,Dataset!$A$6:$A$15,0))=Dataset!H8,1,0)</f>
        <v>0</v>
      </c>
      <c r="I188" s="3">
        <f>IF(INDEX(Dataset!$H$6:$H$15,MATCH(Neighbors!N68,Dataset!$A$6:$A$15,0))=Dataset!H8,1,0)</f>
        <v>0</v>
      </c>
      <c r="J188" s="3">
        <f>IF(INDEX(Dataset!$H$6:$H$15,MATCH(Neighbors!P68,Dataset!$A$6:$A$15,0))=Dataset!H8,1,0)</f>
        <v>0</v>
      </c>
      <c r="K188" s="3">
        <f>IF(INDEX(Dataset!$H$6:$H$15,MATCH(Neighbors!R68,Dataset!$A$6:$A$15,0))=Dataset!H8,1,0)</f>
        <v>0</v>
      </c>
      <c r="L188" s="27"/>
    </row>
    <row r="189" spans="1:12" ht="25.05" customHeight="1">
      <c r="A189" s="7" t="s">
        <v>19</v>
      </c>
      <c r="B189" s="4">
        <v>1</v>
      </c>
      <c r="C189" s="4">
        <f>IF(INDEX(Dataset!$H$6:$H$15,MATCH(Neighbors!B69,Dataset!$A$6:$A$15,0))=Dataset!H9,1,0)</f>
        <v>1</v>
      </c>
      <c r="D189" s="4">
        <f>IF(INDEX(Dataset!$H$6:$H$15,MATCH(Neighbors!D69,Dataset!$A$6:$A$15,0))=Dataset!H9,1,0)</f>
        <v>1</v>
      </c>
      <c r="E189" s="4">
        <f>IF(INDEX(Dataset!$H$6:$H$15,MATCH(Neighbors!F69,Dataset!$A$6:$A$15,0))=Dataset!H9,1,0)</f>
        <v>1</v>
      </c>
      <c r="F189" s="4">
        <f>IF(INDEX(Dataset!$H$6:$H$15,MATCH(Neighbors!H69,Dataset!$A$6:$A$15,0))=Dataset!H9,1,0)</f>
        <v>1</v>
      </c>
      <c r="G189" s="4">
        <f>IF(INDEX(Dataset!$H$6:$H$15,MATCH(Neighbors!J69,Dataset!$A$6:$A$15,0))=Dataset!H9,1,0)</f>
        <v>1</v>
      </c>
      <c r="H189" s="4">
        <f>IF(INDEX(Dataset!$H$6:$H$15,MATCH(Neighbors!L69,Dataset!$A$6:$A$15,0))=Dataset!H9,1,0)</f>
        <v>0</v>
      </c>
      <c r="I189" s="4">
        <f>IF(INDEX(Dataset!$H$6:$H$15,MATCH(Neighbors!N69,Dataset!$A$6:$A$15,0))=Dataset!H9,1,0)</f>
        <v>0</v>
      </c>
      <c r="J189" s="4">
        <f>IF(INDEX(Dataset!$H$6:$H$15,MATCH(Neighbors!P69,Dataset!$A$6:$A$15,0))=Dataset!H9,1,0)</f>
        <v>0</v>
      </c>
      <c r="K189" s="4">
        <f>IF(INDEX(Dataset!$H$6:$H$15,MATCH(Neighbors!R69,Dataset!$A$6:$A$15,0))=Dataset!H9,1,0)</f>
        <v>0</v>
      </c>
      <c r="L189" s="27"/>
    </row>
    <row r="190" spans="1:12" ht="25.05" customHeight="1">
      <c r="A190" s="6" t="s">
        <v>21</v>
      </c>
      <c r="B190" s="3">
        <v>2</v>
      </c>
      <c r="C190" s="3">
        <f>IF(INDEX(Dataset!$H$6:$H$15,MATCH(Neighbors!B70,Dataset!$A$6:$A$15,0))=Dataset!H10,1,0)</f>
        <v>1</v>
      </c>
      <c r="D190" s="3">
        <f>IF(INDEX(Dataset!$H$6:$H$15,MATCH(Neighbors!D70,Dataset!$A$6:$A$15,0))=Dataset!H10,1,0)</f>
        <v>1</v>
      </c>
      <c r="E190" s="3">
        <f>IF(INDEX(Dataset!$H$6:$H$15,MATCH(Neighbors!F70,Dataset!$A$6:$A$15,0))=Dataset!H10,1,0)</f>
        <v>1</v>
      </c>
      <c r="F190" s="3">
        <f>IF(INDEX(Dataset!$H$6:$H$15,MATCH(Neighbors!H70,Dataset!$A$6:$A$15,0))=Dataset!H10,1,0)</f>
        <v>0</v>
      </c>
      <c r="G190" s="3">
        <f>IF(INDEX(Dataset!$H$6:$H$15,MATCH(Neighbors!J70,Dataset!$A$6:$A$15,0))=Dataset!H10,1,0)</f>
        <v>0</v>
      </c>
      <c r="H190" s="3">
        <f>IF(INDEX(Dataset!$H$6:$H$15,MATCH(Neighbors!L70,Dataset!$A$6:$A$15,0))=Dataset!H10,1,0)</f>
        <v>0</v>
      </c>
      <c r="I190" s="3">
        <f>IF(INDEX(Dataset!$H$6:$H$15,MATCH(Neighbors!N70,Dataset!$A$6:$A$15,0))=Dataset!H10,1,0)</f>
        <v>0</v>
      </c>
      <c r="J190" s="3">
        <f>IF(INDEX(Dataset!$H$6:$H$15,MATCH(Neighbors!P70,Dataset!$A$6:$A$15,0))=Dataset!H10,1,0)</f>
        <v>0</v>
      </c>
      <c r="K190" s="3">
        <f>IF(INDEX(Dataset!$H$6:$H$15,MATCH(Neighbors!R70,Dataset!$A$6:$A$15,0))=Dataset!H10,1,0)</f>
        <v>0</v>
      </c>
      <c r="L190" s="27"/>
    </row>
    <row r="191" spans="1:12" ht="25.05" customHeight="1">
      <c r="A191" s="7" t="s">
        <v>23</v>
      </c>
      <c r="B191" s="4">
        <v>1</v>
      </c>
      <c r="C191" s="4">
        <f>IF(INDEX(Dataset!$H$6:$H$15,MATCH(Neighbors!B71,Dataset!$A$6:$A$15,0))=Dataset!H11,1,0)</f>
        <v>1</v>
      </c>
      <c r="D191" s="4">
        <f>IF(INDEX(Dataset!$H$6:$H$15,MATCH(Neighbors!D71,Dataset!$A$6:$A$15,0))=Dataset!H11,1,0)</f>
        <v>1</v>
      </c>
      <c r="E191" s="4">
        <f>IF(INDEX(Dataset!$H$6:$H$15,MATCH(Neighbors!F71,Dataset!$A$6:$A$15,0))=Dataset!H11,1,0)</f>
        <v>1</v>
      </c>
      <c r="F191" s="4">
        <f>IF(INDEX(Dataset!$H$6:$H$15,MATCH(Neighbors!H71,Dataset!$A$6:$A$15,0))=Dataset!H11,1,0)</f>
        <v>1</v>
      </c>
      <c r="G191" s="4">
        <f>IF(INDEX(Dataset!$H$6:$H$15,MATCH(Neighbors!J71,Dataset!$A$6:$A$15,0))=Dataset!H11,1,0)</f>
        <v>0</v>
      </c>
      <c r="H191" s="4">
        <f>IF(INDEX(Dataset!$H$6:$H$15,MATCH(Neighbors!L71,Dataset!$A$6:$A$15,0))=Dataset!H11,1,0)</f>
        <v>1</v>
      </c>
      <c r="I191" s="4">
        <f>IF(INDEX(Dataset!$H$6:$H$15,MATCH(Neighbors!N71,Dataset!$A$6:$A$15,0))=Dataset!H11,1,0)</f>
        <v>0</v>
      </c>
      <c r="J191" s="4">
        <f>IF(INDEX(Dataset!$H$6:$H$15,MATCH(Neighbors!P71,Dataset!$A$6:$A$15,0))=Dataset!H11,1,0)</f>
        <v>0</v>
      </c>
      <c r="K191" s="4">
        <f>IF(INDEX(Dataset!$H$6:$H$15,MATCH(Neighbors!R71,Dataset!$A$6:$A$15,0))=Dataset!H11,1,0)</f>
        <v>0</v>
      </c>
      <c r="L191" s="27"/>
    </row>
    <row r="192" spans="1:12" ht="25.05" customHeight="1">
      <c r="A192" s="6" t="s">
        <v>26</v>
      </c>
      <c r="B192" s="3">
        <v>1</v>
      </c>
      <c r="C192" s="3">
        <f>IF(INDEX(Dataset!$H$6:$H$15,MATCH(Neighbors!B72,Dataset!$A$6:$A$15,0))=Dataset!H12,1,0)</f>
        <v>1</v>
      </c>
      <c r="D192" s="3">
        <f>IF(INDEX(Dataset!$H$6:$H$15,MATCH(Neighbors!D72,Dataset!$A$6:$A$15,0))=Dataset!H12,1,0)</f>
        <v>1</v>
      </c>
      <c r="E192" s="3">
        <f>IF(INDEX(Dataset!$H$6:$H$15,MATCH(Neighbors!F72,Dataset!$A$6:$A$15,0))=Dataset!H12,1,0)</f>
        <v>1</v>
      </c>
      <c r="F192" s="3">
        <f>IF(INDEX(Dataset!$H$6:$H$15,MATCH(Neighbors!H72,Dataset!$A$6:$A$15,0))=Dataset!H12,1,0)</f>
        <v>1</v>
      </c>
      <c r="G192" s="3">
        <f>IF(INDEX(Dataset!$H$6:$H$15,MATCH(Neighbors!J72,Dataset!$A$6:$A$15,0))=Dataset!H12,1,0)</f>
        <v>1</v>
      </c>
      <c r="H192" s="3">
        <f>IF(INDEX(Dataset!$H$6:$H$15,MATCH(Neighbors!L72,Dataset!$A$6:$A$15,0))=Dataset!H12,1,0)</f>
        <v>0</v>
      </c>
      <c r="I192" s="3">
        <f>IF(INDEX(Dataset!$H$6:$H$15,MATCH(Neighbors!N72,Dataset!$A$6:$A$15,0))=Dataset!H12,1,0)</f>
        <v>0</v>
      </c>
      <c r="J192" s="3">
        <f>IF(INDEX(Dataset!$H$6:$H$15,MATCH(Neighbors!P72,Dataset!$A$6:$A$15,0))=Dataset!H12,1,0)</f>
        <v>0</v>
      </c>
      <c r="K192" s="3">
        <f>IF(INDEX(Dataset!$H$6:$H$15,MATCH(Neighbors!R72,Dataset!$A$6:$A$15,0))=Dataset!H12,1,0)</f>
        <v>0</v>
      </c>
      <c r="L192" s="27"/>
    </row>
    <row r="193" spans="1:12" ht="25.05" customHeight="1">
      <c r="A193" s="7" t="s">
        <v>29</v>
      </c>
      <c r="B193" s="4">
        <v>1</v>
      </c>
      <c r="C193" s="4">
        <f>IF(INDEX(Dataset!$H$6:$H$15,MATCH(Neighbors!B73,Dataset!$A$6:$A$15,0))=Dataset!H13,1,0)</f>
        <v>1</v>
      </c>
      <c r="D193" s="4">
        <f>IF(INDEX(Dataset!$H$6:$H$15,MATCH(Neighbors!D73,Dataset!$A$6:$A$15,0))=Dataset!H13,1,0)</f>
        <v>1</v>
      </c>
      <c r="E193" s="4">
        <f>IF(INDEX(Dataset!$H$6:$H$15,MATCH(Neighbors!F73,Dataset!$A$6:$A$15,0))=Dataset!H13,1,0)</f>
        <v>1</v>
      </c>
      <c r="F193" s="4">
        <f>IF(INDEX(Dataset!$H$6:$H$15,MATCH(Neighbors!H73,Dataset!$A$6:$A$15,0))=Dataset!H13,1,0)</f>
        <v>1</v>
      </c>
      <c r="G193" s="4">
        <f>IF(INDEX(Dataset!$H$6:$H$15,MATCH(Neighbors!J73,Dataset!$A$6:$A$15,0))=Dataset!H13,1,0)</f>
        <v>1</v>
      </c>
      <c r="H193" s="4">
        <f>IF(INDEX(Dataset!$H$6:$H$15,MATCH(Neighbors!L73,Dataset!$A$6:$A$15,0))=Dataset!H13,1,0)</f>
        <v>0</v>
      </c>
      <c r="I193" s="4">
        <f>IF(INDEX(Dataset!$H$6:$H$15,MATCH(Neighbors!N73,Dataset!$A$6:$A$15,0))=Dataset!H13,1,0)</f>
        <v>0</v>
      </c>
      <c r="J193" s="4">
        <f>IF(INDEX(Dataset!$H$6:$H$15,MATCH(Neighbors!P73,Dataset!$A$6:$A$15,0))=Dataset!H13,1,0)</f>
        <v>0</v>
      </c>
      <c r="K193" s="4">
        <f>IF(INDEX(Dataset!$H$6:$H$15,MATCH(Neighbors!R73,Dataset!$A$6:$A$15,0))=Dataset!H13,1,0)</f>
        <v>0</v>
      </c>
      <c r="L193" s="27"/>
    </row>
    <row r="194" spans="1:12" ht="25.05" customHeight="1">
      <c r="A194" s="6" t="s">
        <v>32</v>
      </c>
      <c r="B194" s="3">
        <v>2</v>
      </c>
      <c r="C194" s="3">
        <f>IF(INDEX(Dataset!$H$6:$H$15,MATCH(Neighbors!B74,Dataset!$A$6:$A$15,0))=Dataset!H14,1,0)</f>
        <v>1</v>
      </c>
      <c r="D194" s="3">
        <f>IF(INDEX(Dataset!$H$6:$H$15,MATCH(Neighbors!D74,Dataset!$A$6:$A$15,0))=Dataset!H14,1,0)</f>
        <v>1</v>
      </c>
      <c r="E194" s="3">
        <f>IF(INDEX(Dataset!$H$6:$H$15,MATCH(Neighbors!F74,Dataset!$A$6:$A$15,0))=Dataset!H14,1,0)</f>
        <v>1</v>
      </c>
      <c r="F194" s="3">
        <f>IF(INDEX(Dataset!$H$6:$H$15,MATCH(Neighbors!H74,Dataset!$A$6:$A$15,0))=Dataset!H14,1,0)</f>
        <v>0</v>
      </c>
      <c r="G194" s="3">
        <f>IF(INDEX(Dataset!$H$6:$H$15,MATCH(Neighbors!J74,Dataset!$A$6:$A$15,0))=Dataset!H14,1,0)</f>
        <v>0</v>
      </c>
      <c r="H194" s="3">
        <f>IF(INDEX(Dataset!$H$6:$H$15,MATCH(Neighbors!L74,Dataset!$A$6:$A$15,0))=Dataset!H14,1,0)</f>
        <v>0</v>
      </c>
      <c r="I194" s="3">
        <f>IF(INDEX(Dataset!$H$6:$H$15,MATCH(Neighbors!N74,Dataset!$A$6:$A$15,0))=Dataset!H14,1,0)</f>
        <v>0</v>
      </c>
      <c r="J194" s="3">
        <f>IF(INDEX(Dataset!$H$6:$H$15,MATCH(Neighbors!P74,Dataset!$A$6:$A$15,0))=Dataset!H14,1,0)</f>
        <v>0</v>
      </c>
      <c r="K194" s="3">
        <f>IF(INDEX(Dataset!$H$6:$H$15,MATCH(Neighbors!R74,Dataset!$A$6:$A$15,0))=Dataset!H14,1,0)</f>
        <v>0</v>
      </c>
      <c r="L194" s="27"/>
    </row>
    <row r="195" spans="1:12" ht="25.05" customHeight="1">
      <c r="A195" s="8" t="s">
        <v>33</v>
      </c>
      <c r="B195" s="5">
        <v>2</v>
      </c>
      <c r="C195" s="5">
        <f>IF(INDEX(Dataset!$H$6:$H$15,MATCH(Neighbors!B75,Dataset!$A$6:$A$15,0))=Dataset!H15,1,0)</f>
        <v>1</v>
      </c>
      <c r="D195" s="5">
        <f>IF(INDEX(Dataset!$H$6:$H$15,MATCH(Neighbors!D75,Dataset!$A$6:$A$15,0))=Dataset!H15,1,0)</f>
        <v>1</v>
      </c>
      <c r="E195" s="5">
        <f>IF(INDEX(Dataset!$H$6:$H$15,MATCH(Neighbors!F75,Dataset!$A$6:$A$15,0))=Dataset!H15,1,0)</f>
        <v>1</v>
      </c>
      <c r="F195" s="5">
        <f>IF(INDEX(Dataset!$H$6:$H$15,MATCH(Neighbors!H75,Dataset!$A$6:$A$15,0))=Dataset!H15,1,0)</f>
        <v>0</v>
      </c>
      <c r="G195" s="5">
        <f>IF(INDEX(Dataset!$H$6:$H$15,MATCH(Neighbors!J75,Dataset!$A$6:$A$15,0))=Dataset!H15,1,0)</f>
        <v>0</v>
      </c>
      <c r="H195" s="5">
        <f>IF(INDEX(Dataset!$H$6:$H$15,MATCH(Neighbors!L75,Dataset!$A$6:$A$15,0))=Dataset!H15,1,0)</f>
        <v>0</v>
      </c>
      <c r="I195" s="5">
        <f>IF(INDEX(Dataset!$H$6:$H$15,MATCH(Neighbors!N75,Dataset!$A$6:$A$15,0))=Dataset!H15,1,0)</f>
        <v>0</v>
      </c>
      <c r="J195" s="5">
        <f>IF(INDEX(Dataset!$H$6:$H$15,MATCH(Neighbors!P75,Dataset!$A$6:$A$15,0))=Dataset!H15,1,0)</f>
        <v>0</v>
      </c>
      <c r="K195" s="5">
        <f>IF(INDEX(Dataset!$H$6:$H$15,MATCH(Neighbors!R75,Dataset!$A$6:$A$15,0))=Dataset!H15,1,0)</f>
        <v>0</v>
      </c>
      <c r="L195" s="27"/>
    </row>
    <row r="196" spans="1:1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</row>
    <row r="197" spans="1:12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</row>
    <row r="198" spans="1:12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</row>
    <row r="199" spans="1:12" ht="30" customHeight="1">
      <c r="A199" s="35" t="s">
        <v>78</v>
      </c>
      <c r="B199" s="35"/>
      <c r="C199" s="35"/>
      <c r="D199" s="35"/>
      <c r="E199" s="35"/>
      <c r="F199" s="35"/>
      <c r="G199" s="35"/>
      <c r="H199" s="27"/>
      <c r="I199" s="35" t="s">
        <v>79</v>
      </c>
      <c r="J199" s="35"/>
      <c r="K199" s="35"/>
      <c r="L199" s="35"/>
    </row>
    <row r="200" spans="1:12" ht="43.95" customHeight="1">
      <c r="A200" s="2" t="s">
        <v>3</v>
      </c>
      <c r="B200" s="2" t="s">
        <v>10</v>
      </c>
      <c r="C200" s="2" t="s">
        <v>80</v>
      </c>
      <c r="D200" s="2" t="s">
        <v>81</v>
      </c>
      <c r="E200" s="2" t="s">
        <v>82</v>
      </c>
      <c r="F200" s="2" t="s">
        <v>83</v>
      </c>
      <c r="G200" s="2" t="s">
        <v>84</v>
      </c>
      <c r="H200" s="27"/>
      <c r="I200" s="2" t="s">
        <v>3</v>
      </c>
      <c r="J200" s="2" t="s">
        <v>10</v>
      </c>
      <c r="K200" s="2" t="s">
        <v>82</v>
      </c>
      <c r="L200" s="2" t="s">
        <v>84</v>
      </c>
    </row>
    <row r="201" spans="1:12" ht="25.05" customHeight="1">
      <c r="A201" s="6" t="s">
        <v>13</v>
      </c>
      <c r="B201" s="3">
        <v>1</v>
      </c>
      <c r="C201" s="3">
        <f t="shared" ref="C201:C210" si="56">SUM(C186:C186)</f>
        <v>1</v>
      </c>
      <c r="D201" s="3">
        <f t="shared" ref="D201:D210" si="57">SUM(C186:D186)</f>
        <v>2</v>
      </c>
      <c r="E201" s="3">
        <f t="shared" ref="E201:E210" si="58">SUM(C186:E186)</f>
        <v>3</v>
      </c>
      <c r="F201" s="3">
        <f t="shared" ref="F201:F210" si="59">SUM(C186:F186)</f>
        <v>4</v>
      </c>
      <c r="G201" s="3">
        <f t="shared" ref="G201:G210" si="60">SUM(C186:G186)</f>
        <v>5</v>
      </c>
      <c r="H201" s="27"/>
      <c r="I201" s="6" t="s">
        <v>13</v>
      </c>
      <c r="J201" s="3">
        <v>1</v>
      </c>
      <c r="K201" s="3">
        <f t="shared" ref="K201:K210" si="61">E201</f>
        <v>3</v>
      </c>
      <c r="L201" s="3">
        <f t="shared" ref="L201:L210" si="62">G201</f>
        <v>5</v>
      </c>
    </row>
    <row r="202" spans="1:12" ht="25.05" customHeight="1">
      <c r="A202" s="7" t="s">
        <v>15</v>
      </c>
      <c r="B202" s="4">
        <v>1</v>
      </c>
      <c r="C202" s="4">
        <f t="shared" si="56"/>
        <v>1</v>
      </c>
      <c r="D202" s="4">
        <f t="shared" si="57"/>
        <v>2</v>
      </c>
      <c r="E202" s="4">
        <f t="shared" si="58"/>
        <v>3</v>
      </c>
      <c r="F202" s="4">
        <f t="shared" si="59"/>
        <v>3</v>
      </c>
      <c r="G202" s="4">
        <f t="shared" si="60"/>
        <v>4</v>
      </c>
      <c r="H202" s="27"/>
      <c r="I202" s="7" t="s">
        <v>15</v>
      </c>
      <c r="J202" s="4">
        <v>1</v>
      </c>
      <c r="K202" s="4">
        <f t="shared" si="61"/>
        <v>3</v>
      </c>
      <c r="L202" s="4">
        <f t="shared" si="62"/>
        <v>4</v>
      </c>
    </row>
    <row r="203" spans="1:12" ht="25.05" customHeight="1">
      <c r="A203" s="6" t="s">
        <v>17</v>
      </c>
      <c r="B203" s="3">
        <v>2</v>
      </c>
      <c r="C203" s="3">
        <f t="shared" si="56"/>
        <v>1</v>
      </c>
      <c r="D203" s="3">
        <f t="shared" si="57"/>
        <v>2</v>
      </c>
      <c r="E203" s="3">
        <f t="shared" si="58"/>
        <v>3</v>
      </c>
      <c r="F203" s="3">
        <f t="shared" si="59"/>
        <v>3</v>
      </c>
      <c r="G203" s="3">
        <f t="shared" si="60"/>
        <v>3</v>
      </c>
      <c r="H203" s="27"/>
      <c r="I203" s="6" t="s">
        <v>17</v>
      </c>
      <c r="J203" s="3">
        <v>2</v>
      </c>
      <c r="K203" s="3">
        <f t="shared" si="61"/>
        <v>3</v>
      </c>
      <c r="L203" s="3">
        <f t="shared" si="62"/>
        <v>3</v>
      </c>
    </row>
    <row r="204" spans="1:12" ht="25.05" customHeight="1">
      <c r="A204" s="7" t="s">
        <v>19</v>
      </c>
      <c r="B204" s="4">
        <v>1</v>
      </c>
      <c r="C204" s="4">
        <f t="shared" si="56"/>
        <v>1</v>
      </c>
      <c r="D204" s="4">
        <f t="shared" si="57"/>
        <v>2</v>
      </c>
      <c r="E204" s="4">
        <f t="shared" si="58"/>
        <v>3</v>
      </c>
      <c r="F204" s="4">
        <f t="shared" si="59"/>
        <v>4</v>
      </c>
      <c r="G204" s="4">
        <f t="shared" si="60"/>
        <v>5</v>
      </c>
      <c r="H204" s="27"/>
      <c r="I204" s="7" t="s">
        <v>19</v>
      </c>
      <c r="J204" s="4">
        <v>1</v>
      </c>
      <c r="K204" s="4">
        <f t="shared" si="61"/>
        <v>3</v>
      </c>
      <c r="L204" s="4">
        <f t="shared" si="62"/>
        <v>5</v>
      </c>
    </row>
    <row r="205" spans="1:12" ht="25.05" customHeight="1">
      <c r="A205" s="6" t="s">
        <v>21</v>
      </c>
      <c r="B205" s="3">
        <v>2</v>
      </c>
      <c r="C205" s="3">
        <f t="shared" si="56"/>
        <v>1</v>
      </c>
      <c r="D205" s="3">
        <f t="shared" si="57"/>
        <v>2</v>
      </c>
      <c r="E205" s="3">
        <f t="shared" si="58"/>
        <v>3</v>
      </c>
      <c r="F205" s="3">
        <f t="shared" si="59"/>
        <v>3</v>
      </c>
      <c r="G205" s="3">
        <f t="shared" si="60"/>
        <v>3</v>
      </c>
      <c r="H205" s="27"/>
      <c r="I205" s="6" t="s">
        <v>21</v>
      </c>
      <c r="J205" s="3">
        <v>2</v>
      </c>
      <c r="K205" s="3">
        <f t="shared" si="61"/>
        <v>3</v>
      </c>
      <c r="L205" s="3">
        <f t="shared" si="62"/>
        <v>3</v>
      </c>
    </row>
    <row r="206" spans="1:12" ht="25.05" customHeight="1">
      <c r="A206" s="7" t="s">
        <v>23</v>
      </c>
      <c r="B206" s="4">
        <v>1</v>
      </c>
      <c r="C206" s="4">
        <f t="shared" si="56"/>
        <v>1</v>
      </c>
      <c r="D206" s="4">
        <f t="shared" si="57"/>
        <v>2</v>
      </c>
      <c r="E206" s="4">
        <f t="shared" si="58"/>
        <v>3</v>
      </c>
      <c r="F206" s="4">
        <f t="shared" si="59"/>
        <v>4</v>
      </c>
      <c r="G206" s="4">
        <f t="shared" si="60"/>
        <v>4</v>
      </c>
      <c r="H206" s="27"/>
      <c r="I206" s="7" t="s">
        <v>23</v>
      </c>
      <c r="J206" s="4">
        <v>1</v>
      </c>
      <c r="K206" s="4">
        <f t="shared" si="61"/>
        <v>3</v>
      </c>
      <c r="L206" s="4">
        <f t="shared" si="62"/>
        <v>4</v>
      </c>
    </row>
    <row r="207" spans="1:12" ht="25.05" customHeight="1">
      <c r="A207" s="6" t="s">
        <v>26</v>
      </c>
      <c r="B207" s="3">
        <v>1</v>
      </c>
      <c r="C207" s="3">
        <f t="shared" si="56"/>
        <v>1</v>
      </c>
      <c r="D207" s="3">
        <f t="shared" si="57"/>
        <v>2</v>
      </c>
      <c r="E207" s="3">
        <f t="shared" si="58"/>
        <v>3</v>
      </c>
      <c r="F207" s="3">
        <f t="shared" si="59"/>
        <v>4</v>
      </c>
      <c r="G207" s="3">
        <f t="shared" si="60"/>
        <v>5</v>
      </c>
      <c r="H207" s="27"/>
      <c r="I207" s="6" t="s">
        <v>26</v>
      </c>
      <c r="J207" s="3">
        <v>1</v>
      </c>
      <c r="K207" s="3">
        <f t="shared" si="61"/>
        <v>3</v>
      </c>
      <c r="L207" s="3">
        <f t="shared" si="62"/>
        <v>5</v>
      </c>
    </row>
    <row r="208" spans="1:12" ht="25.05" customHeight="1">
      <c r="A208" s="7" t="s">
        <v>29</v>
      </c>
      <c r="B208" s="4">
        <v>1</v>
      </c>
      <c r="C208" s="4">
        <f t="shared" si="56"/>
        <v>1</v>
      </c>
      <c r="D208" s="4">
        <f t="shared" si="57"/>
        <v>2</v>
      </c>
      <c r="E208" s="4">
        <f t="shared" si="58"/>
        <v>3</v>
      </c>
      <c r="F208" s="4">
        <f t="shared" si="59"/>
        <v>4</v>
      </c>
      <c r="G208" s="4">
        <f t="shared" si="60"/>
        <v>5</v>
      </c>
      <c r="H208" s="27"/>
      <c r="I208" s="7" t="s">
        <v>29</v>
      </c>
      <c r="J208" s="4">
        <v>1</v>
      </c>
      <c r="K208" s="4">
        <f t="shared" si="61"/>
        <v>3</v>
      </c>
      <c r="L208" s="4">
        <f t="shared" si="62"/>
        <v>5</v>
      </c>
    </row>
    <row r="209" spans="1:12" ht="25.05" customHeight="1">
      <c r="A209" s="6" t="s">
        <v>32</v>
      </c>
      <c r="B209" s="3">
        <v>2</v>
      </c>
      <c r="C209" s="3">
        <f t="shared" si="56"/>
        <v>1</v>
      </c>
      <c r="D209" s="3">
        <f t="shared" si="57"/>
        <v>2</v>
      </c>
      <c r="E209" s="3">
        <f t="shared" si="58"/>
        <v>3</v>
      </c>
      <c r="F209" s="3">
        <f t="shared" si="59"/>
        <v>3</v>
      </c>
      <c r="G209" s="3">
        <f t="shared" si="60"/>
        <v>3</v>
      </c>
      <c r="H209" s="27"/>
      <c r="I209" s="6" t="s">
        <v>32</v>
      </c>
      <c r="J209" s="3">
        <v>2</v>
      </c>
      <c r="K209" s="3">
        <f t="shared" si="61"/>
        <v>3</v>
      </c>
      <c r="L209" s="3">
        <f t="shared" si="62"/>
        <v>3</v>
      </c>
    </row>
    <row r="210" spans="1:12" ht="25.05" customHeight="1">
      <c r="A210" s="8" t="s">
        <v>33</v>
      </c>
      <c r="B210" s="5">
        <v>2</v>
      </c>
      <c r="C210" s="5">
        <f t="shared" si="56"/>
        <v>1</v>
      </c>
      <c r="D210" s="5">
        <f t="shared" si="57"/>
        <v>2</v>
      </c>
      <c r="E210" s="5">
        <f t="shared" si="58"/>
        <v>3</v>
      </c>
      <c r="F210" s="5">
        <f t="shared" si="59"/>
        <v>3</v>
      </c>
      <c r="G210" s="5">
        <f t="shared" si="60"/>
        <v>3</v>
      </c>
      <c r="H210" s="27"/>
      <c r="I210" s="8" t="s">
        <v>33</v>
      </c>
      <c r="J210" s="5">
        <v>2</v>
      </c>
      <c r="K210" s="5">
        <f t="shared" si="61"/>
        <v>3</v>
      </c>
      <c r="L210" s="5">
        <f t="shared" si="62"/>
        <v>3</v>
      </c>
    </row>
    <row r="211" spans="1:12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</row>
    <row r="212" spans="1: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</row>
    <row r="213" spans="1:12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</row>
    <row r="214" spans="1:12" ht="30" customHeight="1">
      <c r="A214" s="35" t="s">
        <v>85</v>
      </c>
      <c r="B214" s="35"/>
      <c r="C214" s="35"/>
      <c r="D214" s="35"/>
      <c r="E214" s="35"/>
      <c r="F214" s="35"/>
      <c r="G214" s="35"/>
      <c r="H214" s="27"/>
      <c r="I214" s="35" t="s">
        <v>86</v>
      </c>
      <c r="J214" s="35"/>
      <c r="K214" s="35"/>
      <c r="L214" s="35"/>
    </row>
    <row r="215" spans="1:12" ht="43.95" customHeight="1">
      <c r="A215" s="2" t="s">
        <v>3</v>
      </c>
      <c r="B215" s="2" t="s">
        <v>10</v>
      </c>
      <c r="C215" s="2" t="s">
        <v>87</v>
      </c>
      <c r="D215" s="2" t="s">
        <v>88</v>
      </c>
      <c r="E215" s="2" t="s">
        <v>89</v>
      </c>
      <c r="F215" s="2" t="s">
        <v>90</v>
      </c>
      <c r="G215" s="2" t="s">
        <v>91</v>
      </c>
      <c r="H215" s="27"/>
      <c r="I215" s="2" t="s">
        <v>3</v>
      </c>
      <c r="J215" s="2" t="s">
        <v>10</v>
      </c>
      <c r="K215" s="2" t="s">
        <v>89</v>
      </c>
      <c r="L215" s="2" t="s">
        <v>91</v>
      </c>
    </row>
    <row r="216" spans="1:12" ht="25.05" customHeight="1">
      <c r="A216" s="6" t="s">
        <v>13</v>
      </c>
      <c r="B216" s="3">
        <v>1</v>
      </c>
      <c r="C216" s="3">
        <f t="shared" ref="C216:C225" si="63">IF(C201/1&gt;0.5,1,0)</f>
        <v>1</v>
      </c>
      <c r="D216" s="3">
        <f t="shared" ref="D216:D225" si="64">IF(D201/2&gt;0.5,1,0)</f>
        <v>1</v>
      </c>
      <c r="E216" s="3">
        <f t="shared" ref="E216:E225" si="65">IF(E201/3&gt;0.5,1,0)</f>
        <v>1</v>
      </c>
      <c r="F216" s="3">
        <f t="shared" ref="F216:F225" si="66">IF(F201/4&gt;0.5,1,0)</f>
        <v>1</v>
      </c>
      <c r="G216" s="3">
        <f t="shared" ref="G216:G225" si="67">IF(G201/5&gt;0.5,1,0)</f>
        <v>1</v>
      </c>
      <c r="H216" s="27"/>
      <c r="I216" s="6" t="s">
        <v>13</v>
      </c>
      <c r="J216" s="3">
        <v>1</v>
      </c>
      <c r="K216" s="3">
        <f t="shared" ref="K216:K225" si="68">E216</f>
        <v>1</v>
      </c>
      <c r="L216" s="3">
        <f t="shared" ref="L216:L225" si="69">G216</f>
        <v>1</v>
      </c>
    </row>
    <row r="217" spans="1:12" ht="25.05" customHeight="1">
      <c r="A217" s="7" t="s">
        <v>15</v>
      </c>
      <c r="B217" s="4">
        <v>1</v>
      </c>
      <c r="C217" s="4">
        <f t="shared" si="63"/>
        <v>1</v>
      </c>
      <c r="D217" s="4">
        <f t="shared" si="64"/>
        <v>1</v>
      </c>
      <c r="E217" s="4">
        <f t="shared" si="65"/>
        <v>1</v>
      </c>
      <c r="F217" s="4">
        <f t="shared" si="66"/>
        <v>1</v>
      </c>
      <c r="G217" s="4">
        <f t="shared" si="67"/>
        <v>1</v>
      </c>
      <c r="H217" s="27"/>
      <c r="I217" s="7" t="s">
        <v>15</v>
      </c>
      <c r="J217" s="4">
        <v>1</v>
      </c>
      <c r="K217" s="4">
        <f t="shared" si="68"/>
        <v>1</v>
      </c>
      <c r="L217" s="4">
        <f t="shared" si="69"/>
        <v>1</v>
      </c>
    </row>
    <row r="218" spans="1:12" ht="25.05" customHeight="1">
      <c r="A218" s="6" t="s">
        <v>17</v>
      </c>
      <c r="B218" s="3">
        <v>2</v>
      </c>
      <c r="C218" s="3">
        <f t="shared" si="63"/>
        <v>1</v>
      </c>
      <c r="D218" s="3">
        <f t="shared" si="64"/>
        <v>1</v>
      </c>
      <c r="E218" s="3">
        <f t="shared" si="65"/>
        <v>1</v>
      </c>
      <c r="F218" s="3">
        <f t="shared" si="66"/>
        <v>1</v>
      </c>
      <c r="G218" s="3">
        <f t="shared" si="67"/>
        <v>1</v>
      </c>
      <c r="H218" s="27"/>
      <c r="I218" s="6" t="s">
        <v>17</v>
      </c>
      <c r="J218" s="3">
        <v>2</v>
      </c>
      <c r="K218" s="3">
        <f t="shared" si="68"/>
        <v>1</v>
      </c>
      <c r="L218" s="3">
        <f t="shared" si="69"/>
        <v>1</v>
      </c>
    </row>
    <row r="219" spans="1:12" ht="25.05" customHeight="1">
      <c r="A219" s="7" t="s">
        <v>19</v>
      </c>
      <c r="B219" s="4">
        <v>1</v>
      </c>
      <c r="C219" s="4">
        <f t="shared" si="63"/>
        <v>1</v>
      </c>
      <c r="D219" s="4">
        <f t="shared" si="64"/>
        <v>1</v>
      </c>
      <c r="E219" s="4">
        <f t="shared" si="65"/>
        <v>1</v>
      </c>
      <c r="F219" s="4">
        <f t="shared" si="66"/>
        <v>1</v>
      </c>
      <c r="G219" s="4">
        <f t="shared" si="67"/>
        <v>1</v>
      </c>
      <c r="H219" s="27"/>
      <c r="I219" s="7" t="s">
        <v>19</v>
      </c>
      <c r="J219" s="4">
        <v>1</v>
      </c>
      <c r="K219" s="4">
        <f t="shared" si="68"/>
        <v>1</v>
      </c>
      <c r="L219" s="4">
        <f t="shared" si="69"/>
        <v>1</v>
      </c>
    </row>
    <row r="220" spans="1:12" ht="25.05" customHeight="1">
      <c r="A220" s="6" t="s">
        <v>21</v>
      </c>
      <c r="B220" s="3">
        <v>2</v>
      </c>
      <c r="C220" s="3">
        <f t="shared" si="63"/>
        <v>1</v>
      </c>
      <c r="D220" s="3">
        <f t="shared" si="64"/>
        <v>1</v>
      </c>
      <c r="E220" s="3">
        <f t="shared" si="65"/>
        <v>1</v>
      </c>
      <c r="F220" s="3">
        <f t="shared" si="66"/>
        <v>1</v>
      </c>
      <c r="G220" s="3">
        <f t="shared" si="67"/>
        <v>1</v>
      </c>
      <c r="H220" s="27"/>
      <c r="I220" s="6" t="s">
        <v>21</v>
      </c>
      <c r="J220" s="3">
        <v>2</v>
      </c>
      <c r="K220" s="3">
        <f t="shared" si="68"/>
        <v>1</v>
      </c>
      <c r="L220" s="3">
        <f t="shared" si="69"/>
        <v>1</v>
      </c>
    </row>
    <row r="221" spans="1:12" ht="25.05" customHeight="1">
      <c r="A221" s="7" t="s">
        <v>23</v>
      </c>
      <c r="B221" s="4">
        <v>1</v>
      </c>
      <c r="C221" s="4">
        <f t="shared" si="63"/>
        <v>1</v>
      </c>
      <c r="D221" s="4">
        <f t="shared" si="64"/>
        <v>1</v>
      </c>
      <c r="E221" s="4">
        <f t="shared" si="65"/>
        <v>1</v>
      </c>
      <c r="F221" s="4">
        <f t="shared" si="66"/>
        <v>1</v>
      </c>
      <c r="G221" s="4">
        <f t="shared" si="67"/>
        <v>1</v>
      </c>
      <c r="H221" s="27"/>
      <c r="I221" s="7" t="s">
        <v>23</v>
      </c>
      <c r="J221" s="4">
        <v>1</v>
      </c>
      <c r="K221" s="4">
        <f t="shared" si="68"/>
        <v>1</v>
      </c>
      <c r="L221" s="4">
        <f t="shared" si="69"/>
        <v>1</v>
      </c>
    </row>
    <row r="222" spans="1:12" ht="25.05" customHeight="1">
      <c r="A222" s="6" t="s">
        <v>26</v>
      </c>
      <c r="B222" s="3">
        <v>1</v>
      </c>
      <c r="C222" s="3">
        <f t="shared" si="63"/>
        <v>1</v>
      </c>
      <c r="D222" s="3">
        <f t="shared" si="64"/>
        <v>1</v>
      </c>
      <c r="E222" s="3">
        <f t="shared" si="65"/>
        <v>1</v>
      </c>
      <c r="F222" s="3">
        <f t="shared" si="66"/>
        <v>1</v>
      </c>
      <c r="G222" s="3">
        <f t="shared" si="67"/>
        <v>1</v>
      </c>
      <c r="H222" s="27"/>
      <c r="I222" s="6" t="s">
        <v>26</v>
      </c>
      <c r="J222" s="3">
        <v>1</v>
      </c>
      <c r="K222" s="3">
        <f t="shared" si="68"/>
        <v>1</v>
      </c>
      <c r="L222" s="3">
        <f t="shared" si="69"/>
        <v>1</v>
      </c>
    </row>
    <row r="223" spans="1:12" ht="25.05" customHeight="1">
      <c r="A223" s="7" t="s">
        <v>29</v>
      </c>
      <c r="B223" s="4">
        <v>1</v>
      </c>
      <c r="C223" s="4">
        <f t="shared" si="63"/>
        <v>1</v>
      </c>
      <c r="D223" s="4">
        <f t="shared" si="64"/>
        <v>1</v>
      </c>
      <c r="E223" s="4">
        <f t="shared" si="65"/>
        <v>1</v>
      </c>
      <c r="F223" s="4">
        <f t="shared" si="66"/>
        <v>1</v>
      </c>
      <c r="G223" s="4">
        <f t="shared" si="67"/>
        <v>1</v>
      </c>
      <c r="H223" s="27"/>
      <c r="I223" s="7" t="s">
        <v>29</v>
      </c>
      <c r="J223" s="4">
        <v>1</v>
      </c>
      <c r="K223" s="4">
        <f t="shared" si="68"/>
        <v>1</v>
      </c>
      <c r="L223" s="4">
        <f t="shared" si="69"/>
        <v>1</v>
      </c>
    </row>
    <row r="224" spans="1:12" ht="25.05" customHeight="1">
      <c r="A224" s="6" t="s">
        <v>32</v>
      </c>
      <c r="B224" s="3">
        <v>2</v>
      </c>
      <c r="C224" s="3">
        <f t="shared" si="63"/>
        <v>1</v>
      </c>
      <c r="D224" s="3">
        <f t="shared" si="64"/>
        <v>1</v>
      </c>
      <c r="E224" s="3">
        <f t="shared" si="65"/>
        <v>1</v>
      </c>
      <c r="F224" s="3">
        <f t="shared" si="66"/>
        <v>1</v>
      </c>
      <c r="G224" s="3">
        <f t="shared" si="67"/>
        <v>1</v>
      </c>
      <c r="H224" s="27"/>
      <c r="I224" s="6" t="s">
        <v>32</v>
      </c>
      <c r="J224" s="3">
        <v>2</v>
      </c>
      <c r="K224" s="3">
        <f t="shared" si="68"/>
        <v>1</v>
      </c>
      <c r="L224" s="3">
        <f t="shared" si="69"/>
        <v>1</v>
      </c>
    </row>
    <row r="225" spans="1:12" ht="25.05" customHeight="1">
      <c r="A225" s="8" t="s">
        <v>33</v>
      </c>
      <c r="B225" s="5">
        <v>2</v>
      </c>
      <c r="C225" s="5">
        <f t="shared" si="63"/>
        <v>1</v>
      </c>
      <c r="D225" s="5">
        <f t="shared" si="64"/>
        <v>1</v>
      </c>
      <c r="E225" s="5">
        <f t="shared" si="65"/>
        <v>1</v>
      </c>
      <c r="F225" s="5">
        <f t="shared" si="66"/>
        <v>1</v>
      </c>
      <c r="G225" s="5">
        <f t="shared" si="67"/>
        <v>1</v>
      </c>
      <c r="H225" s="27"/>
      <c r="I225" s="8" t="s">
        <v>33</v>
      </c>
      <c r="J225" s="5">
        <v>2</v>
      </c>
      <c r="K225" s="5">
        <f t="shared" si="68"/>
        <v>1</v>
      </c>
      <c r="L225" s="5">
        <f t="shared" si="69"/>
        <v>1</v>
      </c>
    </row>
    <row r="226" spans="1:12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</row>
    <row r="227" spans="1:12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</row>
    <row r="228" spans="1:1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</row>
    <row r="229" spans="1:12" ht="30" customHeight="1">
      <c r="A229" s="35" t="s">
        <v>96</v>
      </c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27"/>
    </row>
    <row r="230" spans="1:12" ht="43.95" customHeight="1">
      <c r="A230" s="2" t="s">
        <v>3</v>
      </c>
      <c r="B230" s="2" t="s">
        <v>10</v>
      </c>
      <c r="C230" s="2" t="s">
        <v>69</v>
      </c>
      <c r="D230" s="2" t="s">
        <v>70</v>
      </c>
      <c r="E230" s="2" t="s">
        <v>71</v>
      </c>
      <c r="F230" s="2" t="s">
        <v>72</v>
      </c>
      <c r="G230" s="2" t="s">
        <v>73</v>
      </c>
      <c r="H230" s="2" t="s">
        <v>74</v>
      </c>
      <c r="I230" s="2" t="s">
        <v>75</v>
      </c>
      <c r="J230" s="2" t="s">
        <v>76</v>
      </c>
      <c r="K230" s="2" t="s">
        <v>77</v>
      </c>
      <c r="L230" s="27"/>
    </row>
    <row r="231" spans="1:12" ht="25.05" customHeight="1">
      <c r="A231" s="6" t="s">
        <v>13</v>
      </c>
      <c r="B231" s="3">
        <v>1</v>
      </c>
      <c r="C231" s="3">
        <f>IF(INDEX(Dataset!$H$6:$H$15,MATCH(Neighbors!B81,Dataset!$A$6:$A$15,0))=Dataset!H6,1,0)</f>
        <v>1</v>
      </c>
      <c r="D231" s="3">
        <f>IF(INDEX(Dataset!$H$6:$H$15,MATCH(Neighbors!D81,Dataset!$A$6:$A$15,0))=Dataset!H6,1,0)</f>
        <v>1</v>
      </c>
      <c r="E231" s="3">
        <f>IF(INDEX(Dataset!$H$6:$H$15,MATCH(Neighbors!F81,Dataset!$A$6:$A$15,0))=Dataset!H6,1,0)</f>
        <v>1</v>
      </c>
      <c r="F231" s="3">
        <f>IF(INDEX(Dataset!$H$6:$H$15,MATCH(Neighbors!H81,Dataset!$A$6:$A$15,0))=Dataset!H6,1,0)</f>
        <v>0</v>
      </c>
      <c r="G231" s="3">
        <f>IF(INDEX(Dataset!$H$6:$H$15,MATCH(Neighbors!J81,Dataset!$A$6:$A$15,0))=Dataset!H6,1,0)</f>
        <v>1</v>
      </c>
      <c r="H231" s="3">
        <f>IF(INDEX(Dataset!$H$6:$H$15,MATCH(Neighbors!L81,Dataset!$A$6:$A$15,0))=Dataset!H6,1,0)</f>
        <v>0</v>
      </c>
      <c r="I231" s="3">
        <f>IF(INDEX(Dataset!$H$6:$H$15,MATCH(Neighbors!N81,Dataset!$A$6:$A$15,0))=Dataset!H6,1,0)</f>
        <v>0</v>
      </c>
      <c r="J231" s="3">
        <f>IF(INDEX(Dataset!$H$6:$H$15,MATCH(Neighbors!P81,Dataset!$A$6:$A$15,0))=Dataset!H6,1,0)</f>
        <v>1</v>
      </c>
      <c r="K231" s="3">
        <f>IF(INDEX(Dataset!$H$6:$H$15,MATCH(Neighbors!R81,Dataset!$A$6:$A$15,0))=Dataset!H6,1,0)</f>
        <v>0</v>
      </c>
      <c r="L231" s="27"/>
    </row>
    <row r="232" spans="1:12" ht="25.05" customHeight="1">
      <c r="A232" s="7" t="s">
        <v>15</v>
      </c>
      <c r="B232" s="4">
        <v>1</v>
      </c>
      <c r="C232" s="4">
        <f>IF(INDEX(Dataset!$H$6:$H$15,MATCH(Neighbors!B82,Dataset!$A$6:$A$15,0))=Dataset!H7,1,0)</f>
        <v>1</v>
      </c>
      <c r="D232" s="4">
        <f>IF(INDEX(Dataset!$H$6:$H$15,MATCH(Neighbors!D82,Dataset!$A$6:$A$15,0))=Dataset!H7,1,0)</f>
        <v>1</v>
      </c>
      <c r="E232" s="4">
        <f>IF(INDEX(Dataset!$H$6:$H$15,MATCH(Neighbors!F82,Dataset!$A$6:$A$15,0))=Dataset!H7,1,0)</f>
        <v>1</v>
      </c>
      <c r="F232" s="4">
        <f>IF(INDEX(Dataset!$H$6:$H$15,MATCH(Neighbors!H82,Dataset!$A$6:$A$15,0))=Dataset!H7,1,0)</f>
        <v>0</v>
      </c>
      <c r="G232" s="4">
        <f>IF(INDEX(Dataset!$H$6:$H$15,MATCH(Neighbors!J82,Dataset!$A$6:$A$15,0))=Dataset!H7,1,0)</f>
        <v>1</v>
      </c>
      <c r="H232" s="4">
        <f>IF(INDEX(Dataset!$H$6:$H$15,MATCH(Neighbors!L82,Dataset!$A$6:$A$15,0))=Dataset!H7,1,0)</f>
        <v>1</v>
      </c>
      <c r="I232" s="4">
        <f>IF(INDEX(Dataset!$H$6:$H$15,MATCH(Neighbors!N82,Dataset!$A$6:$A$15,0))=Dataset!H7,1,0)</f>
        <v>0</v>
      </c>
      <c r="J232" s="4">
        <f>IF(INDEX(Dataset!$H$6:$H$15,MATCH(Neighbors!P82,Dataset!$A$6:$A$15,0))=Dataset!H7,1,0)</f>
        <v>0</v>
      </c>
      <c r="K232" s="4">
        <f>IF(INDEX(Dataset!$H$6:$H$15,MATCH(Neighbors!R82,Dataset!$A$6:$A$15,0))=Dataset!H7,1,0)</f>
        <v>0</v>
      </c>
      <c r="L232" s="27"/>
    </row>
    <row r="233" spans="1:12" ht="25.05" customHeight="1">
      <c r="A233" s="6" t="s">
        <v>17</v>
      </c>
      <c r="B233" s="3">
        <v>2</v>
      </c>
      <c r="C233" s="3">
        <f>IF(INDEX(Dataset!$H$6:$H$15,MATCH(Neighbors!B83,Dataset!$A$6:$A$15,0))=Dataset!H8,1,0)</f>
        <v>1</v>
      </c>
      <c r="D233" s="3">
        <f>IF(INDEX(Dataset!$H$6:$H$15,MATCH(Neighbors!D83,Dataset!$A$6:$A$15,0))=Dataset!H8,1,0)</f>
        <v>1</v>
      </c>
      <c r="E233" s="3">
        <f>IF(INDEX(Dataset!$H$6:$H$15,MATCH(Neighbors!F83,Dataset!$A$6:$A$15,0))=Dataset!H8,1,0)</f>
        <v>0</v>
      </c>
      <c r="F233" s="3">
        <f>IF(INDEX(Dataset!$H$6:$H$15,MATCH(Neighbors!H83,Dataset!$A$6:$A$15,0))=Dataset!H8,1,0)</f>
        <v>1</v>
      </c>
      <c r="G233" s="3">
        <f>IF(INDEX(Dataset!$H$6:$H$15,MATCH(Neighbors!J83,Dataset!$A$6:$A$15,0))=Dataset!H8,1,0)</f>
        <v>0</v>
      </c>
      <c r="H233" s="3">
        <f>IF(INDEX(Dataset!$H$6:$H$15,MATCH(Neighbors!L83,Dataset!$A$6:$A$15,0))=Dataset!H8,1,0)</f>
        <v>0</v>
      </c>
      <c r="I233" s="3">
        <f>IF(INDEX(Dataset!$H$6:$H$15,MATCH(Neighbors!N83,Dataset!$A$6:$A$15,0))=Dataset!H8,1,0)</f>
        <v>0</v>
      </c>
      <c r="J233" s="3">
        <f>IF(INDEX(Dataset!$H$6:$H$15,MATCH(Neighbors!P83,Dataset!$A$6:$A$15,0))=Dataset!H8,1,0)</f>
        <v>0</v>
      </c>
      <c r="K233" s="3">
        <f>IF(INDEX(Dataset!$H$6:$H$15,MATCH(Neighbors!R83,Dataset!$A$6:$A$15,0))=Dataset!H8,1,0)</f>
        <v>0</v>
      </c>
      <c r="L233" s="27"/>
    </row>
    <row r="234" spans="1:12" ht="25.05" customHeight="1">
      <c r="A234" s="7" t="s">
        <v>19</v>
      </c>
      <c r="B234" s="4">
        <v>1</v>
      </c>
      <c r="C234" s="4">
        <f>IF(INDEX(Dataset!$H$6:$H$15,MATCH(Neighbors!B84,Dataset!$A$6:$A$15,0))=Dataset!H9,1,0)</f>
        <v>1</v>
      </c>
      <c r="D234" s="4">
        <f>IF(INDEX(Dataset!$H$6:$H$15,MATCH(Neighbors!D84,Dataset!$A$6:$A$15,0))=Dataset!H9,1,0)</f>
        <v>1</v>
      </c>
      <c r="E234" s="4">
        <f>IF(INDEX(Dataset!$H$6:$H$15,MATCH(Neighbors!F84,Dataset!$A$6:$A$15,0))=Dataset!H9,1,0)</f>
        <v>1</v>
      </c>
      <c r="F234" s="4">
        <f>IF(INDEX(Dataset!$H$6:$H$15,MATCH(Neighbors!H84,Dataset!$A$6:$A$15,0))=Dataset!H9,1,0)</f>
        <v>1</v>
      </c>
      <c r="G234" s="4">
        <f>IF(INDEX(Dataset!$H$6:$H$15,MATCH(Neighbors!J84,Dataset!$A$6:$A$15,0))=Dataset!H9,1,0)</f>
        <v>1</v>
      </c>
      <c r="H234" s="4">
        <f>IF(INDEX(Dataset!$H$6:$H$15,MATCH(Neighbors!L84,Dataset!$A$6:$A$15,0))=Dataset!H9,1,0)</f>
        <v>0</v>
      </c>
      <c r="I234" s="4">
        <f>IF(INDEX(Dataset!$H$6:$H$15,MATCH(Neighbors!N84,Dataset!$A$6:$A$15,0))=Dataset!H9,1,0)</f>
        <v>0</v>
      </c>
      <c r="J234" s="4">
        <f>IF(INDEX(Dataset!$H$6:$H$15,MATCH(Neighbors!P84,Dataset!$A$6:$A$15,0))=Dataset!H9,1,0)</f>
        <v>0</v>
      </c>
      <c r="K234" s="4">
        <f>IF(INDEX(Dataset!$H$6:$H$15,MATCH(Neighbors!R84,Dataset!$A$6:$A$15,0))=Dataset!H9,1,0)</f>
        <v>0</v>
      </c>
      <c r="L234" s="27"/>
    </row>
    <row r="235" spans="1:12" ht="25.05" customHeight="1">
      <c r="A235" s="6" t="s">
        <v>21</v>
      </c>
      <c r="B235" s="3">
        <v>2</v>
      </c>
      <c r="C235" s="3">
        <f>IF(INDEX(Dataset!$H$6:$H$15,MATCH(Neighbors!B85,Dataset!$A$6:$A$15,0))=Dataset!H10,1,0)</f>
        <v>1</v>
      </c>
      <c r="D235" s="3">
        <f>IF(INDEX(Dataset!$H$6:$H$15,MATCH(Neighbors!D85,Dataset!$A$6:$A$15,0))=Dataset!H10,1,0)</f>
        <v>1</v>
      </c>
      <c r="E235" s="3">
        <f>IF(INDEX(Dataset!$H$6:$H$15,MATCH(Neighbors!F85,Dataset!$A$6:$A$15,0))=Dataset!H10,1,0)</f>
        <v>1</v>
      </c>
      <c r="F235" s="3">
        <f>IF(INDEX(Dataset!$H$6:$H$15,MATCH(Neighbors!H85,Dataset!$A$6:$A$15,0))=Dataset!H10,1,0)</f>
        <v>0</v>
      </c>
      <c r="G235" s="3">
        <f>IF(INDEX(Dataset!$H$6:$H$15,MATCH(Neighbors!J85,Dataset!$A$6:$A$15,0))=Dataset!H10,1,0)</f>
        <v>0</v>
      </c>
      <c r="H235" s="3">
        <f>IF(INDEX(Dataset!$H$6:$H$15,MATCH(Neighbors!L85,Dataset!$A$6:$A$15,0))=Dataset!H10,1,0)</f>
        <v>0</v>
      </c>
      <c r="I235" s="3">
        <f>IF(INDEX(Dataset!$H$6:$H$15,MATCH(Neighbors!N85,Dataset!$A$6:$A$15,0))=Dataset!H10,1,0)</f>
        <v>0</v>
      </c>
      <c r="J235" s="3">
        <f>IF(INDEX(Dataset!$H$6:$H$15,MATCH(Neighbors!P85,Dataset!$A$6:$A$15,0))=Dataset!H10,1,0)</f>
        <v>0</v>
      </c>
      <c r="K235" s="3">
        <f>IF(INDEX(Dataset!$H$6:$H$15,MATCH(Neighbors!R85,Dataset!$A$6:$A$15,0))=Dataset!H10,1,0)</f>
        <v>0</v>
      </c>
      <c r="L235" s="27"/>
    </row>
    <row r="236" spans="1:12" ht="25.05" customHeight="1">
      <c r="A236" s="7" t="s">
        <v>23</v>
      </c>
      <c r="B236" s="4">
        <v>1</v>
      </c>
      <c r="C236" s="4">
        <f>IF(INDEX(Dataset!$H$6:$H$15,MATCH(Neighbors!B86,Dataset!$A$6:$A$15,0))=Dataset!H11,1,0)</f>
        <v>1</v>
      </c>
      <c r="D236" s="4">
        <f>IF(INDEX(Dataset!$H$6:$H$15,MATCH(Neighbors!D86,Dataset!$A$6:$A$15,0))=Dataset!H11,1,0)</f>
        <v>1</v>
      </c>
      <c r="E236" s="4">
        <f>IF(INDEX(Dataset!$H$6:$H$15,MATCH(Neighbors!F86,Dataset!$A$6:$A$15,0))=Dataset!H11,1,0)</f>
        <v>1</v>
      </c>
      <c r="F236" s="4">
        <f>IF(INDEX(Dataset!$H$6:$H$15,MATCH(Neighbors!H86,Dataset!$A$6:$A$15,0))=Dataset!H11,1,0)</f>
        <v>1</v>
      </c>
      <c r="G236" s="4">
        <f>IF(INDEX(Dataset!$H$6:$H$15,MATCH(Neighbors!J86,Dataset!$A$6:$A$15,0))=Dataset!H11,1,0)</f>
        <v>1</v>
      </c>
      <c r="H236" s="4">
        <f>IF(INDEX(Dataset!$H$6:$H$15,MATCH(Neighbors!L86,Dataset!$A$6:$A$15,0))=Dataset!H11,1,0)</f>
        <v>0</v>
      </c>
      <c r="I236" s="4">
        <f>IF(INDEX(Dataset!$H$6:$H$15,MATCH(Neighbors!N86,Dataset!$A$6:$A$15,0))=Dataset!H11,1,0)</f>
        <v>0</v>
      </c>
      <c r="J236" s="4">
        <f>IF(INDEX(Dataset!$H$6:$H$15,MATCH(Neighbors!P86,Dataset!$A$6:$A$15,0))=Dataset!H11,1,0)</f>
        <v>0</v>
      </c>
      <c r="K236" s="4">
        <f>IF(INDEX(Dataset!$H$6:$H$15,MATCH(Neighbors!R86,Dataset!$A$6:$A$15,0))=Dataset!H11,1,0)</f>
        <v>0</v>
      </c>
      <c r="L236" s="27"/>
    </row>
    <row r="237" spans="1:12" ht="25.05" customHeight="1">
      <c r="A237" s="6" t="s">
        <v>26</v>
      </c>
      <c r="B237" s="3">
        <v>1</v>
      </c>
      <c r="C237" s="3">
        <f>IF(INDEX(Dataset!$H$6:$H$15,MATCH(Neighbors!B87,Dataset!$A$6:$A$15,0))=Dataset!H12,1,0)</f>
        <v>1</v>
      </c>
      <c r="D237" s="3">
        <f>IF(INDEX(Dataset!$H$6:$H$15,MATCH(Neighbors!D87,Dataset!$A$6:$A$15,0))=Dataset!H12,1,0)</f>
        <v>1</v>
      </c>
      <c r="E237" s="3">
        <f>IF(INDEX(Dataset!$H$6:$H$15,MATCH(Neighbors!F87,Dataset!$A$6:$A$15,0))=Dataset!H12,1,0)</f>
        <v>1</v>
      </c>
      <c r="F237" s="3">
        <f>IF(INDEX(Dataset!$H$6:$H$15,MATCH(Neighbors!H87,Dataset!$A$6:$A$15,0))=Dataset!H12,1,0)</f>
        <v>1</v>
      </c>
      <c r="G237" s="3">
        <f>IF(INDEX(Dataset!$H$6:$H$15,MATCH(Neighbors!J87,Dataset!$A$6:$A$15,0))=Dataset!H12,1,0)</f>
        <v>0</v>
      </c>
      <c r="H237" s="3">
        <f>IF(INDEX(Dataset!$H$6:$H$15,MATCH(Neighbors!L87,Dataset!$A$6:$A$15,0))=Dataset!H12,1,0)</f>
        <v>0</v>
      </c>
      <c r="I237" s="3">
        <f>IF(INDEX(Dataset!$H$6:$H$15,MATCH(Neighbors!N87,Dataset!$A$6:$A$15,0))=Dataset!H12,1,0)</f>
        <v>1</v>
      </c>
      <c r="J237" s="3">
        <f>IF(INDEX(Dataset!$H$6:$H$15,MATCH(Neighbors!P87,Dataset!$A$6:$A$15,0))=Dataset!H12,1,0)</f>
        <v>0</v>
      </c>
      <c r="K237" s="3">
        <f>IF(INDEX(Dataset!$H$6:$H$15,MATCH(Neighbors!R87,Dataset!$A$6:$A$15,0))=Dataset!H12,1,0)</f>
        <v>0</v>
      </c>
      <c r="L237" s="27"/>
    </row>
    <row r="238" spans="1:12" ht="25.05" customHeight="1">
      <c r="A238" s="7" t="s">
        <v>29</v>
      </c>
      <c r="B238" s="4">
        <v>1</v>
      </c>
      <c r="C238" s="4">
        <f>IF(INDEX(Dataset!$H$6:$H$15,MATCH(Neighbors!B88,Dataset!$A$6:$A$15,0))=Dataset!H13,1,0)</f>
        <v>1</v>
      </c>
      <c r="D238" s="4">
        <f>IF(INDEX(Dataset!$H$6:$H$15,MATCH(Neighbors!D88,Dataset!$A$6:$A$15,0))=Dataset!H13,1,0)</f>
        <v>1</v>
      </c>
      <c r="E238" s="4">
        <f>IF(INDEX(Dataset!$H$6:$H$15,MATCH(Neighbors!F88,Dataset!$A$6:$A$15,0))=Dataset!H13,1,0)</f>
        <v>1</v>
      </c>
      <c r="F238" s="4">
        <f>IF(INDEX(Dataset!$H$6:$H$15,MATCH(Neighbors!H88,Dataset!$A$6:$A$15,0))=Dataset!H13,1,0)</f>
        <v>1</v>
      </c>
      <c r="G238" s="4">
        <f>IF(INDEX(Dataset!$H$6:$H$15,MATCH(Neighbors!J88,Dataset!$A$6:$A$15,0))=Dataset!H13,1,0)</f>
        <v>0</v>
      </c>
      <c r="H238" s="4">
        <f>IF(INDEX(Dataset!$H$6:$H$15,MATCH(Neighbors!L88,Dataset!$A$6:$A$15,0))=Dataset!H13,1,0)</f>
        <v>0</v>
      </c>
      <c r="I238" s="4">
        <f>IF(INDEX(Dataset!$H$6:$H$15,MATCH(Neighbors!N88,Dataset!$A$6:$A$15,0))=Dataset!H13,1,0)</f>
        <v>0</v>
      </c>
      <c r="J238" s="4">
        <f>IF(INDEX(Dataset!$H$6:$H$15,MATCH(Neighbors!P88,Dataset!$A$6:$A$15,0))=Dataset!H13,1,0)</f>
        <v>1</v>
      </c>
      <c r="K238" s="4">
        <f>IF(INDEX(Dataset!$H$6:$H$15,MATCH(Neighbors!R88,Dataset!$A$6:$A$15,0))=Dataset!H13,1,0)</f>
        <v>0</v>
      </c>
      <c r="L238" s="27"/>
    </row>
    <row r="239" spans="1:12" ht="25.05" customHeight="1">
      <c r="A239" s="6" t="s">
        <v>32</v>
      </c>
      <c r="B239" s="3">
        <v>2</v>
      </c>
      <c r="C239" s="3">
        <f>IF(INDEX(Dataset!$H$6:$H$15,MATCH(Neighbors!B89,Dataset!$A$6:$A$15,0))=Dataset!H14,1,0)</f>
        <v>1</v>
      </c>
      <c r="D239" s="3">
        <f>IF(INDEX(Dataset!$H$6:$H$15,MATCH(Neighbors!D89,Dataset!$A$6:$A$15,0))=Dataset!H14,1,0)</f>
        <v>1</v>
      </c>
      <c r="E239" s="3">
        <f>IF(INDEX(Dataset!$H$6:$H$15,MATCH(Neighbors!F89,Dataset!$A$6:$A$15,0))=Dataset!H14,1,0)</f>
        <v>1</v>
      </c>
      <c r="F239" s="3">
        <f>IF(INDEX(Dataset!$H$6:$H$15,MATCH(Neighbors!H89,Dataset!$A$6:$A$15,0))=Dataset!H14,1,0)</f>
        <v>0</v>
      </c>
      <c r="G239" s="3">
        <f>IF(INDEX(Dataset!$H$6:$H$15,MATCH(Neighbors!J89,Dataset!$A$6:$A$15,0))=Dataset!H14,1,0)</f>
        <v>0</v>
      </c>
      <c r="H239" s="3">
        <f>IF(INDEX(Dataset!$H$6:$H$15,MATCH(Neighbors!L89,Dataset!$A$6:$A$15,0))=Dataset!H14,1,0)</f>
        <v>0</v>
      </c>
      <c r="I239" s="3">
        <f>IF(INDEX(Dataset!$H$6:$H$15,MATCH(Neighbors!N89,Dataset!$A$6:$A$15,0))=Dataset!H14,1,0)</f>
        <v>0</v>
      </c>
      <c r="J239" s="3">
        <f>IF(INDEX(Dataset!$H$6:$H$15,MATCH(Neighbors!P89,Dataset!$A$6:$A$15,0))=Dataset!H14,1,0)</f>
        <v>0</v>
      </c>
      <c r="K239" s="3">
        <f>IF(INDEX(Dataset!$H$6:$H$15,MATCH(Neighbors!R89,Dataset!$A$6:$A$15,0))=Dataset!H14,1,0)</f>
        <v>0</v>
      </c>
      <c r="L239" s="27"/>
    </row>
    <row r="240" spans="1:12" ht="25.05" customHeight="1">
      <c r="A240" s="8" t="s">
        <v>33</v>
      </c>
      <c r="B240" s="5">
        <v>2</v>
      </c>
      <c r="C240" s="5">
        <f>IF(INDEX(Dataset!$H$6:$H$15,MATCH(Neighbors!B90,Dataset!$A$6:$A$15,0))=Dataset!H15,1,0)</f>
        <v>1</v>
      </c>
      <c r="D240" s="5">
        <f>IF(INDEX(Dataset!$H$6:$H$15,MATCH(Neighbors!D90,Dataset!$A$6:$A$15,0))=Dataset!H15,1,0)</f>
        <v>1</v>
      </c>
      <c r="E240" s="5">
        <f>IF(INDEX(Dataset!$H$6:$H$15,MATCH(Neighbors!F90,Dataset!$A$6:$A$15,0))=Dataset!H15,1,0)</f>
        <v>1</v>
      </c>
      <c r="F240" s="5">
        <f>IF(INDEX(Dataset!$H$6:$H$15,MATCH(Neighbors!H90,Dataset!$A$6:$A$15,0))=Dataset!H15,1,0)</f>
        <v>0</v>
      </c>
      <c r="G240" s="5">
        <f>IF(INDEX(Dataset!$H$6:$H$15,MATCH(Neighbors!J90,Dataset!$A$6:$A$15,0))=Dataset!H15,1,0)</f>
        <v>0</v>
      </c>
      <c r="H240" s="5">
        <f>IF(INDEX(Dataset!$H$6:$H$15,MATCH(Neighbors!L90,Dataset!$A$6:$A$15,0))=Dataset!H15,1,0)</f>
        <v>0</v>
      </c>
      <c r="I240" s="5">
        <f>IF(INDEX(Dataset!$H$6:$H$15,MATCH(Neighbors!N90,Dataset!$A$6:$A$15,0))=Dataset!H15,1,0)</f>
        <v>0</v>
      </c>
      <c r="J240" s="5">
        <f>IF(INDEX(Dataset!$H$6:$H$15,MATCH(Neighbors!P90,Dataset!$A$6:$A$15,0))=Dataset!H15,1,0)</f>
        <v>0</v>
      </c>
      <c r="K240" s="5">
        <f>IF(INDEX(Dataset!$H$6:$H$15,MATCH(Neighbors!R90,Dataset!$A$6:$A$15,0))=Dataset!H15,1,0)</f>
        <v>0</v>
      </c>
      <c r="L240" s="27"/>
    </row>
    <row r="241" spans="1:12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</row>
    <row r="242" spans="1:1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</row>
    <row r="243" spans="1:12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</row>
    <row r="244" spans="1:12" ht="30" customHeight="1">
      <c r="A244" s="35" t="s">
        <v>78</v>
      </c>
      <c r="B244" s="35"/>
      <c r="C244" s="35"/>
      <c r="D244" s="35"/>
      <c r="E244" s="35"/>
      <c r="F244" s="35"/>
      <c r="G244" s="35"/>
      <c r="H244" s="27"/>
      <c r="I244" s="35" t="s">
        <v>79</v>
      </c>
      <c r="J244" s="35"/>
      <c r="K244" s="35"/>
      <c r="L244" s="35"/>
    </row>
    <row r="245" spans="1:12" ht="43.95" customHeight="1">
      <c r="A245" s="2" t="s">
        <v>3</v>
      </c>
      <c r="B245" s="2" t="s">
        <v>10</v>
      </c>
      <c r="C245" s="2" t="s">
        <v>80</v>
      </c>
      <c r="D245" s="2" t="s">
        <v>81</v>
      </c>
      <c r="E245" s="2" t="s">
        <v>82</v>
      </c>
      <c r="F245" s="2" t="s">
        <v>83</v>
      </c>
      <c r="G245" s="2" t="s">
        <v>84</v>
      </c>
      <c r="H245" s="27"/>
      <c r="I245" s="2" t="s">
        <v>3</v>
      </c>
      <c r="J245" s="2" t="s">
        <v>10</v>
      </c>
      <c r="K245" s="2" t="s">
        <v>82</v>
      </c>
      <c r="L245" s="2" t="s">
        <v>84</v>
      </c>
    </row>
    <row r="246" spans="1:12" ht="25.05" customHeight="1">
      <c r="A246" s="6" t="s">
        <v>13</v>
      </c>
      <c r="B246" s="3">
        <v>1</v>
      </c>
      <c r="C246" s="3">
        <f t="shared" ref="C246:C255" si="70">SUM(C231:C231)</f>
        <v>1</v>
      </c>
      <c r="D246" s="3">
        <f t="shared" ref="D246:D255" si="71">SUM(C231:D231)</f>
        <v>2</v>
      </c>
      <c r="E246" s="3">
        <f t="shared" ref="E246:E255" si="72">SUM(C231:E231)</f>
        <v>3</v>
      </c>
      <c r="F246" s="3">
        <f t="shared" ref="F246:F255" si="73">SUM(C231:F231)</f>
        <v>3</v>
      </c>
      <c r="G246" s="3">
        <f t="shared" ref="G246:G255" si="74">SUM(C231:G231)</f>
        <v>4</v>
      </c>
      <c r="H246" s="27"/>
      <c r="I246" s="6" t="s">
        <v>13</v>
      </c>
      <c r="J246" s="3">
        <v>1</v>
      </c>
      <c r="K246" s="3">
        <f t="shared" ref="K246:K255" si="75">E246</f>
        <v>3</v>
      </c>
      <c r="L246" s="3">
        <f t="shared" ref="L246:L255" si="76">G246</f>
        <v>4</v>
      </c>
    </row>
    <row r="247" spans="1:12" ht="25.05" customHeight="1">
      <c r="A247" s="7" t="s">
        <v>15</v>
      </c>
      <c r="B247" s="4">
        <v>1</v>
      </c>
      <c r="C247" s="4">
        <f t="shared" si="70"/>
        <v>1</v>
      </c>
      <c r="D247" s="4">
        <f t="shared" si="71"/>
        <v>2</v>
      </c>
      <c r="E247" s="4">
        <f t="shared" si="72"/>
        <v>3</v>
      </c>
      <c r="F247" s="4">
        <f t="shared" si="73"/>
        <v>3</v>
      </c>
      <c r="G247" s="4">
        <f t="shared" si="74"/>
        <v>4</v>
      </c>
      <c r="H247" s="27"/>
      <c r="I247" s="7" t="s">
        <v>15</v>
      </c>
      <c r="J247" s="4">
        <v>1</v>
      </c>
      <c r="K247" s="4">
        <f t="shared" si="75"/>
        <v>3</v>
      </c>
      <c r="L247" s="4">
        <f t="shared" si="76"/>
        <v>4</v>
      </c>
    </row>
    <row r="248" spans="1:12" ht="25.05" customHeight="1">
      <c r="A248" s="6" t="s">
        <v>17</v>
      </c>
      <c r="B248" s="3">
        <v>2</v>
      </c>
      <c r="C248" s="3">
        <f t="shared" si="70"/>
        <v>1</v>
      </c>
      <c r="D248" s="3">
        <f t="shared" si="71"/>
        <v>2</v>
      </c>
      <c r="E248" s="3">
        <f t="shared" si="72"/>
        <v>2</v>
      </c>
      <c r="F248" s="3">
        <f t="shared" si="73"/>
        <v>3</v>
      </c>
      <c r="G248" s="3">
        <f t="shared" si="74"/>
        <v>3</v>
      </c>
      <c r="H248" s="27"/>
      <c r="I248" s="6" t="s">
        <v>17</v>
      </c>
      <c r="J248" s="3">
        <v>2</v>
      </c>
      <c r="K248" s="3">
        <f t="shared" si="75"/>
        <v>2</v>
      </c>
      <c r="L248" s="3">
        <f t="shared" si="76"/>
        <v>3</v>
      </c>
    </row>
    <row r="249" spans="1:12" ht="25.05" customHeight="1">
      <c r="A249" s="7" t="s">
        <v>19</v>
      </c>
      <c r="B249" s="4">
        <v>1</v>
      </c>
      <c r="C249" s="4">
        <f t="shared" si="70"/>
        <v>1</v>
      </c>
      <c r="D249" s="4">
        <f t="shared" si="71"/>
        <v>2</v>
      </c>
      <c r="E249" s="4">
        <f t="shared" si="72"/>
        <v>3</v>
      </c>
      <c r="F249" s="4">
        <f t="shared" si="73"/>
        <v>4</v>
      </c>
      <c r="G249" s="4">
        <f t="shared" si="74"/>
        <v>5</v>
      </c>
      <c r="H249" s="27"/>
      <c r="I249" s="7" t="s">
        <v>19</v>
      </c>
      <c r="J249" s="4">
        <v>1</v>
      </c>
      <c r="K249" s="4">
        <f t="shared" si="75"/>
        <v>3</v>
      </c>
      <c r="L249" s="4">
        <f t="shared" si="76"/>
        <v>5</v>
      </c>
    </row>
    <row r="250" spans="1:12" ht="25.05" customHeight="1">
      <c r="A250" s="6" t="s">
        <v>21</v>
      </c>
      <c r="B250" s="3">
        <v>2</v>
      </c>
      <c r="C250" s="3">
        <f t="shared" si="70"/>
        <v>1</v>
      </c>
      <c r="D250" s="3">
        <f t="shared" si="71"/>
        <v>2</v>
      </c>
      <c r="E250" s="3">
        <f t="shared" si="72"/>
        <v>3</v>
      </c>
      <c r="F250" s="3">
        <f t="shared" si="73"/>
        <v>3</v>
      </c>
      <c r="G250" s="3">
        <f t="shared" si="74"/>
        <v>3</v>
      </c>
      <c r="H250" s="27"/>
      <c r="I250" s="6" t="s">
        <v>21</v>
      </c>
      <c r="J250" s="3">
        <v>2</v>
      </c>
      <c r="K250" s="3">
        <f t="shared" si="75"/>
        <v>3</v>
      </c>
      <c r="L250" s="3">
        <f t="shared" si="76"/>
        <v>3</v>
      </c>
    </row>
    <row r="251" spans="1:12" ht="25.05" customHeight="1">
      <c r="A251" s="7" t="s">
        <v>23</v>
      </c>
      <c r="B251" s="4">
        <v>1</v>
      </c>
      <c r="C251" s="4">
        <f t="shared" si="70"/>
        <v>1</v>
      </c>
      <c r="D251" s="4">
        <f t="shared" si="71"/>
        <v>2</v>
      </c>
      <c r="E251" s="4">
        <f t="shared" si="72"/>
        <v>3</v>
      </c>
      <c r="F251" s="4">
        <f t="shared" si="73"/>
        <v>4</v>
      </c>
      <c r="G251" s="4">
        <f t="shared" si="74"/>
        <v>5</v>
      </c>
      <c r="H251" s="27"/>
      <c r="I251" s="7" t="s">
        <v>23</v>
      </c>
      <c r="J251" s="4">
        <v>1</v>
      </c>
      <c r="K251" s="4">
        <f t="shared" si="75"/>
        <v>3</v>
      </c>
      <c r="L251" s="4">
        <f t="shared" si="76"/>
        <v>5</v>
      </c>
    </row>
    <row r="252" spans="1:12" ht="25.05" customHeight="1">
      <c r="A252" s="6" t="s">
        <v>26</v>
      </c>
      <c r="B252" s="3">
        <v>1</v>
      </c>
      <c r="C252" s="3">
        <f t="shared" si="70"/>
        <v>1</v>
      </c>
      <c r="D252" s="3">
        <f t="shared" si="71"/>
        <v>2</v>
      </c>
      <c r="E252" s="3">
        <f t="shared" si="72"/>
        <v>3</v>
      </c>
      <c r="F252" s="3">
        <f t="shared" si="73"/>
        <v>4</v>
      </c>
      <c r="G252" s="3">
        <f t="shared" si="74"/>
        <v>4</v>
      </c>
      <c r="H252" s="27"/>
      <c r="I252" s="6" t="s">
        <v>26</v>
      </c>
      <c r="J252" s="3">
        <v>1</v>
      </c>
      <c r="K252" s="3">
        <f t="shared" si="75"/>
        <v>3</v>
      </c>
      <c r="L252" s="3">
        <f t="shared" si="76"/>
        <v>4</v>
      </c>
    </row>
    <row r="253" spans="1:12" ht="25.05" customHeight="1">
      <c r="A253" s="7" t="s">
        <v>29</v>
      </c>
      <c r="B253" s="4">
        <v>1</v>
      </c>
      <c r="C253" s="4">
        <f t="shared" si="70"/>
        <v>1</v>
      </c>
      <c r="D253" s="4">
        <f t="shared" si="71"/>
        <v>2</v>
      </c>
      <c r="E253" s="4">
        <f t="shared" si="72"/>
        <v>3</v>
      </c>
      <c r="F253" s="4">
        <f t="shared" si="73"/>
        <v>4</v>
      </c>
      <c r="G253" s="4">
        <f t="shared" si="74"/>
        <v>4</v>
      </c>
      <c r="H253" s="27"/>
      <c r="I253" s="7" t="s">
        <v>29</v>
      </c>
      <c r="J253" s="4">
        <v>1</v>
      </c>
      <c r="K253" s="4">
        <f t="shared" si="75"/>
        <v>3</v>
      </c>
      <c r="L253" s="4">
        <f t="shared" si="76"/>
        <v>4</v>
      </c>
    </row>
    <row r="254" spans="1:12" ht="25.05" customHeight="1">
      <c r="A254" s="6" t="s">
        <v>32</v>
      </c>
      <c r="B254" s="3">
        <v>2</v>
      </c>
      <c r="C254" s="3">
        <f t="shared" si="70"/>
        <v>1</v>
      </c>
      <c r="D254" s="3">
        <f t="shared" si="71"/>
        <v>2</v>
      </c>
      <c r="E254" s="3">
        <f t="shared" si="72"/>
        <v>3</v>
      </c>
      <c r="F254" s="3">
        <f t="shared" si="73"/>
        <v>3</v>
      </c>
      <c r="G254" s="3">
        <f t="shared" si="74"/>
        <v>3</v>
      </c>
      <c r="H254" s="27"/>
      <c r="I254" s="6" t="s">
        <v>32</v>
      </c>
      <c r="J254" s="3">
        <v>2</v>
      </c>
      <c r="K254" s="3">
        <f t="shared" si="75"/>
        <v>3</v>
      </c>
      <c r="L254" s="3">
        <f t="shared" si="76"/>
        <v>3</v>
      </c>
    </row>
    <row r="255" spans="1:12" ht="25.05" customHeight="1">
      <c r="A255" s="8" t="s">
        <v>33</v>
      </c>
      <c r="B255" s="5">
        <v>2</v>
      </c>
      <c r="C255" s="5">
        <f t="shared" si="70"/>
        <v>1</v>
      </c>
      <c r="D255" s="5">
        <f t="shared" si="71"/>
        <v>2</v>
      </c>
      <c r="E255" s="5">
        <f t="shared" si="72"/>
        <v>3</v>
      </c>
      <c r="F255" s="5">
        <f t="shared" si="73"/>
        <v>3</v>
      </c>
      <c r="G255" s="5">
        <f t="shared" si="74"/>
        <v>3</v>
      </c>
      <c r="H255" s="27"/>
      <c r="I255" s="8" t="s">
        <v>33</v>
      </c>
      <c r="J255" s="5">
        <v>2</v>
      </c>
      <c r="K255" s="5">
        <f t="shared" si="75"/>
        <v>3</v>
      </c>
      <c r="L255" s="5">
        <f t="shared" si="76"/>
        <v>3</v>
      </c>
    </row>
    <row r="256" spans="1:1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</row>
    <row r="257" spans="1:1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</row>
    <row r="258" spans="1:1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</row>
    <row r="259" spans="1:12" ht="30" customHeight="1">
      <c r="A259" s="35" t="s">
        <v>85</v>
      </c>
      <c r="B259" s="35"/>
      <c r="C259" s="35"/>
      <c r="D259" s="35"/>
      <c r="E259" s="35"/>
      <c r="F259" s="35"/>
      <c r="G259" s="35"/>
      <c r="H259" s="27"/>
      <c r="I259" s="35" t="s">
        <v>86</v>
      </c>
      <c r="J259" s="35"/>
      <c r="K259" s="35"/>
      <c r="L259" s="35"/>
    </row>
    <row r="260" spans="1:12" ht="43.95" customHeight="1">
      <c r="A260" s="2" t="s">
        <v>3</v>
      </c>
      <c r="B260" s="2" t="s">
        <v>10</v>
      </c>
      <c r="C260" s="2" t="s">
        <v>87</v>
      </c>
      <c r="D260" s="2" t="s">
        <v>88</v>
      </c>
      <c r="E260" s="2" t="s">
        <v>89</v>
      </c>
      <c r="F260" s="2" t="s">
        <v>90</v>
      </c>
      <c r="G260" s="2" t="s">
        <v>91</v>
      </c>
      <c r="H260" s="27"/>
      <c r="I260" s="2" t="s">
        <v>3</v>
      </c>
      <c r="J260" s="2" t="s">
        <v>10</v>
      </c>
      <c r="K260" s="2" t="s">
        <v>89</v>
      </c>
      <c r="L260" s="2" t="s">
        <v>91</v>
      </c>
    </row>
    <row r="261" spans="1:12" ht="25.05" customHeight="1">
      <c r="A261" s="6" t="s">
        <v>13</v>
      </c>
      <c r="B261" s="3">
        <v>1</v>
      </c>
      <c r="C261" s="3">
        <f t="shared" ref="C261:C270" si="77">IF(C246/1&gt;0.5,1,0)</f>
        <v>1</v>
      </c>
      <c r="D261" s="3">
        <f t="shared" ref="D261:D270" si="78">IF(D246/2&gt;0.5,1,0)</f>
        <v>1</v>
      </c>
      <c r="E261" s="3">
        <f t="shared" ref="E261:E270" si="79">IF(E246/3&gt;0.5,1,0)</f>
        <v>1</v>
      </c>
      <c r="F261" s="3">
        <f t="shared" ref="F261:F270" si="80">IF(F246/4&gt;0.5,1,0)</f>
        <v>1</v>
      </c>
      <c r="G261" s="3">
        <f t="shared" ref="G261:G270" si="81">IF(G246/5&gt;0.5,1,0)</f>
        <v>1</v>
      </c>
      <c r="H261" s="27"/>
      <c r="I261" s="6" t="s">
        <v>13</v>
      </c>
      <c r="J261" s="3">
        <v>1</v>
      </c>
      <c r="K261" s="3">
        <f t="shared" ref="K261:K270" si="82">E261</f>
        <v>1</v>
      </c>
      <c r="L261" s="3">
        <f t="shared" ref="L261:L270" si="83">G261</f>
        <v>1</v>
      </c>
    </row>
    <row r="262" spans="1:12" ht="25.05" customHeight="1">
      <c r="A262" s="7" t="s">
        <v>15</v>
      </c>
      <c r="B262" s="4">
        <v>1</v>
      </c>
      <c r="C262" s="4">
        <f t="shared" si="77"/>
        <v>1</v>
      </c>
      <c r="D262" s="4">
        <f t="shared" si="78"/>
        <v>1</v>
      </c>
      <c r="E262" s="4">
        <f t="shared" si="79"/>
        <v>1</v>
      </c>
      <c r="F262" s="4">
        <f t="shared" si="80"/>
        <v>1</v>
      </c>
      <c r="G262" s="4">
        <f t="shared" si="81"/>
        <v>1</v>
      </c>
      <c r="H262" s="27"/>
      <c r="I262" s="7" t="s">
        <v>15</v>
      </c>
      <c r="J262" s="4">
        <v>1</v>
      </c>
      <c r="K262" s="4">
        <f t="shared" si="82"/>
        <v>1</v>
      </c>
      <c r="L262" s="4">
        <f t="shared" si="83"/>
        <v>1</v>
      </c>
    </row>
    <row r="263" spans="1:12" ht="25.05" customHeight="1">
      <c r="A263" s="6" t="s">
        <v>17</v>
      </c>
      <c r="B263" s="3">
        <v>2</v>
      </c>
      <c r="C263" s="3">
        <f t="shared" si="77"/>
        <v>1</v>
      </c>
      <c r="D263" s="3">
        <f t="shared" si="78"/>
        <v>1</v>
      </c>
      <c r="E263" s="3">
        <f t="shared" si="79"/>
        <v>1</v>
      </c>
      <c r="F263" s="3">
        <f t="shared" si="80"/>
        <v>1</v>
      </c>
      <c r="G263" s="3">
        <f t="shared" si="81"/>
        <v>1</v>
      </c>
      <c r="H263" s="27"/>
      <c r="I263" s="6" t="s">
        <v>17</v>
      </c>
      <c r="J263" s="3">
        <v>2</v>
      </c>
      <c r="K263" s="3">
        <f t="shared" si="82"/>
        <v>1</v>
      </c>
      <c r="L263" s="3">
        <f t="shared" si="83"/>
        <v>1</v>
      </c>
    </row>
    <row r="264" spans="1:12" ht="25.05" customHeight="1">
      <c r="A264" s="7" t="s">
        <v>19</v>
      </c>
      <c r="B264" s="4">
        <v>1</v>
      </c>
      <c r="C264" s="4">
        <f t="shared" si="77"/>
        <v>1</v>
      </c>
      <c r="D264" s="4">
        <f t="shared" si="78"/>
        <v>1</v>
      </c>
      <c r="E264" s="4">
        <f t="shared" si="79"/>
        <v>1</v>
      </c>
      <c r="F264" s="4">
        <f t="shared" si="80"/>
        <v>1</v>
      </c>
      <c r="G264" s="4">
        <f t="shared" si="81"/>
        <v>1</v>
      </c>
      <c r="H264" s="27"/>
      <c r="I264" s="7" t="s">
        <v>19</v>
      </c>
      <c r="J264" s="4">
        <v>1</v>
      </c>
      <c r="K264" s="4">
        <f t="shared" si="82"/>
        <v>1</v>
      </c>
      <c r="L264" s="4">
        <f t="shared" si="83"/>
        <v>1</v>
      </c>
    </row>
    <row r="265" spans="1:12" ht="25.05" customHeight="1">
      <c r="A265" s="6" t="s">
        <v>21</v>
      </c>
      <c r="B265" s="3">
        <v>2</v>
      </c>
      <c r="C265" s="3">
        <f t="shared" si="77"/>
        <v>1</v>
      </c>
      <c r="D265" s="3">
        <f t="shared" si="78"/>
        <v>1</v>
      </c>
      <c r="E265" s="3">
        <f t="shared" si="79"/>
        <v>1</v>
      </c>
      <c r="F265" s="3">
        <f t="shared" si="80"/>
        <v>1</v>
      </c>
      <c r="G265" s="3">
        <f t="shared" si="81"/>
        <v>1</v>
      </c>
      <c r="H265" s="27"/>
      <c r="I265" s="6" t="s">
        <v>21</v>
      </c>
      <c r="J265" s="3">
        <v>2</v>
      </c>
      <c r="K265" s="3">
        <f t="shared" si="82"/>
        <v>1</v>
      </c>
      <c r="L265" s="3">
        <f t="shared" si="83"/>
        <v>1</v>
      </c>
    </row>
    <row r="266" spans="1:12" ht="25.05" customHeight="1">
      <c r="A266" s="7" t="s">
        <v>23</v>
      </c>
      <c r="B266" s="4">
        <v>1</v>
      </c>
      <c r="C266" s="4">
        <f t="shared" si="77"/>
        <v>1</v>
      </c>
      <c r="D266" s="4">
        <f t="shared" si="78"/>
        <v>1</v>
      </c>
      <c r="E266" s="4">
        <f t="shared" si="79"/>
        <v>1</v>
      </c>
      <c r="F266" s="4">
        <f t="shared" si="80"/>
        <v>1</v>
      </c>
      <c r="G266" s="4">
        <f t="shared" si="81"/>
        <v>1</v>
      </c>
      <c r="H266" s="27"/>
      <c r="I266" s="7" t="s">
        <v>23</v>
      </c>
      <c r="J266" s="4">
        <v>1</v>
      </c>
      <c r="K266" s="4">
        <f t="shared" si="82"/>
        <v>1</v>
      </c>
      <c r="L266" s="4">
        <f t="shared" si="83"/>
        <v>1</v>
      </c>
    </row>
    <row r="267" spans="1:12" ht="25.05" customHeight="1">
      <c r="A267" s="6" t="s">
        <v>26</v>
      </c>
      <c r="B267" s="3">
        <v>1</v>
      </c>
      <c r="C267" s="3">
        <f t="shared" si="77"/>
        <v>1</v>
      </c>
      <c r="D267" s="3">
        <f t="shared" si="78"/>
        <v>1</v>
      </c>
      <c r="E267" s="3">
        <f t="shared" si="79"/>
        <v>1</v>
      </c>
      <c r="F267" s="3">
        <f t="shared" si="80"/>
        <v>1</v>
      </c>
      <c r="G267" s="3">
        <f t="shared" si="81"/>
        <v>1</v>
      </c>
      <c r="H267" s="27"/>
      <c r="I267" s="6" t="s">
        <v>26</v>
      </c>
      <c r="J267" s="3">
        <v>1</v>
      </c>
      <c r="K267" s="3">
        <f t="shared" si="82"/>
        <v>1</v>
      </c>
      <c r="L267" s="3">
        <f t="shared" si="83"/>
        <v>1</v>
      </c>
    </row>
    <row r="268" spans="1:12" ht="25.05" customHeight="1">
      <c r="A268" s="7" t="s">
        <v>29</v>
      </c>
      <c r="B268" s="4">
        <v>1</v>
      </c>
      <c r="C268" s="4">
        <f t="shared" si="77"/>
        <v>1</v>
      </c>
      <c r="D268" s="4">
        <f t="shared" si="78"/>
        <v>1</v>
      </c>
      <c r="E268" s="4">
        <f t="shared" si="79"/>
        <v>1</v>
      </c>
      <c r="F268" s="4">
        <f t="shared" si="80"/>
        <v>1</v>
      </c>
      <c r="G268" s="4">
        <f t="shared" si="81"/>
        <v>1</v>
      </c>
      <c r="H268" s="27"/>
      <c r="I268" s="7" t="s">
        <v>29</v>
      </c>
      <c r="J268" s="4">
        <v>1</v>
      </c>
      <c r="K268" s="4">
        <f t="shared" si="82"/>
        <v>1</v>
      </c>
      <c r="L268" s="4">
        <f t="shared" si="83"/>
        <v>1</v>
      </c>
    </row>
    <row r="269" spans="1:12" ht="25.05" customHeight="1">
      <c r="A269" s="6" t="s">
        <v>32</v>
      </c>
      <c r="B269" s="3">
        <v>2</v>
      </c>
      <c r="C269" s="3">
        <f t="shared" si="77"/>
        <v>1</v>
      </c>
      <c r="D269" s="3">
        <f t="shared" si="78"/>
        <v>1</v>
      </c>
      <c r="E269" s="3">
        <f t="shared" si="79"/>
        <v>1</v>
      </c>
      <c r="F269" s="3">
        <f t="shared" si="80"/>
        <v>1</v>
      </c>
      <c r="G269" s="3">
        <f t="shared" si="81"/>
        <v>1</v>
      </c>
      <c r="H269" s="27"/>
      <c r="I269" s="6" t="s">
        <v>32</v>
      </c>
      <c r="J269" s="3">
        <v>2</v>
      </c>
      <c r="K269" s="3">
        <f t="shared" si="82"/>
        <v>1</v>
      </c>
      <c r="L269" s="3">
        <f t="shared" si="83"/>
        <v>1</v>
      </c>
    </row>
    <row r="270" spans="1:12" ht="25.05" customHeight="1">
      <c r="A270" s="8" t="s">
        <v>33</v>
      </c>
      <c r="B270" s="5">
        <v>2</v>
      </c>
      <c r="C270" s="5">
        <f t="shared" si="77"/>
        <v>1</v>
      </c>
      <c r="D270" s="5">
        <f t="shared" si="78"/>
        <v>1</v>
      </c>
      <c r="E270" s="5">
        <f t="shared" si="79"/>
        <v>1</v>
      </c>
      <c r="F270" s="5">
        <f t="shared" si="80"/>
        <v>1</v>
      </c>
      <c r="G270" s="5">
        <f t="shared" si="81"/>
        <v>1</v>
      </c>
      <c r="H270" s="27"/>
      <c r="I270" s="8" t="s">
        <v>33</v>
      </c>
      <c r="J270" s="5">
        <v>2</v>
      </c>
      <c r="K270" s="5">
        <f t="shared" si="82"/>
        <v>1</v>
      </c>
      <c r="L270" s="5">
        <f t="shared" si="83"/>
        <v>1</v>
      </c>
    </row>
    <row r="271" spans="1:1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</row>
    <row r="272" spans="1:1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</row>
    <row r="273" spans="1:1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</row>
    <row r="274" spans="1:12" ht="30" customHeight="1">
      <c r="A274" s="35" t="s">
        <v>97</v>
      </c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27"/>
    </row>
    <row r="275" spans="1:12" ht="43.95" customHeight="1">
      <c r="A275" s="2" t="s">
        <v>3</v>
      </c>
      <c r="B275" s="2" t="s">
        <v>10</v>
      </c>
      <c r="C275" s="2" t="s">
        <v>69</v>
      </c>
      <c r="D275" s="2" t="s">
        <v>70</v>
      </c>
      <c r="E275" s="2" t="s">
        <v>71</v>
      </c>
      <c r="F275" s="2" t="s">
        <v>72</v>
      </c>
      <c r="G275" s="2" t="s">
        <v>73</v>
      </c>
      <c r="H275" s="2" t="s">
        <v>74</v>
      </c>
      <c r="I275" s="2" t="s">
        <v>75</v>
      </c>
      <c r="J275" s="2" t="s">
        <v>76</v>
      </c>
      <c r="K275" s="2" t="s">
        <v>77</v>
      </c>
      <c r="L275" s="27"/>
    </row>
    <row r="276" spans="1:12" ht="25.05" customHeight="1">
      <c r="A276" s="6" t="s">
        <v>13</v>
      </c>
      <c r="B276" s="3">
        <v>1</v>
      </c>
      <c r="C276" s="3">
        <f>IF(INDEX(Dataset!$H$6:$H$15,MATCH(Neighbors!B96,Dataset!$A$6:$A$15,0))=Dataset!H6,1,0)</f>
        <v>1</v>
      </c>
      <c r="D276" s="3">
        <f>IF(INDEX(Dataset!$H$6:$H$15,MATCH(Neighbors!D96,Dataset!$A$6:$A$15,0))=Dataset!H6,1,0)</f>
        <v>1</v>
      </c>
      <c r="E276" s="3">
        <f>IF(INDEX(Dataset!$H$6:$H$15,MATCH(Neighbors!F96,Dataset!$A$6:$A$15,0))=Dataset!H6,1,0)</f>
        <v>1</v>
      </c>
      <c r="F276" s="3">
        <f>IF(INDEX(Dataset!$H$6:$H$15,MATCH(Neighbors!H96,Dataset!$A$6:$A$15,0))=Dataset!H6,1,0)</f>
        <v>0</v>
      </c>
      <c r="G276" s="3">
        <f>IF(INDEX(Dataset!$H$6:$H$15,MATCH(Neighbors!J96,Dataset!$A$6:$A$15,0))=Dataset!H6,1,0)</f>
        <v>1</v>
      </c>
      <c r="H276" s="3">
        <f>IF(INDEX(Dataset!$H$6:$H$15,MATCH(Neighbors!L96,Dataset!$A$6:$A$15,0))=Dataset!H6,1,0)</f>
        <v>0</v>
      </c>
      <c r="I276" s="3">
        <f>IF(INDEX(Dataset!$H$6:$H$15,MATCH(Neighbors!N96,Dataset!$A$6:$A$15,0))=Dataset!H6,1,0)</f>
        <v>0</v>
      </c>
      <c r="J276" s="3">
        <f>IF(INDEX(Dataset!$H$6:$H$15,MATCH(Neighbors!P96,Dataset!$A$6:$A$15,0))=Dataset!H6,1,0)</f>
        <v>0</v>
      </c>
      <c r="K276" s="3">
        <f>IF(INDEX(Dataset!$H$6:$H$15,MATCH(Neighbors!R96,Dataset!$A$6:$A$15,0))=Dataset!H6,1,0)</f>
        <v>1</v>
      </c>
      <c r="L276" s="27"/>
    </row>
    <row r="277" spans="1:12" ht="25.05" customHeight="1">
      <c r="A277" s="7" t="s">
        <v>15</v>
      </c>
      <c r="B277" s="4">
        <v>1</v>
      </c>
      <c r="C277" s="4">
        <f>IF(INDEX(Dataset!$H$6:$H$15,MATCH(Neighbors!B97,Dataset!$A$6:$A$15,0))=Dataset!H7,1,0)</f>
        <v>1</v>
      </c>
      <c r="D277" s="4">
        <f>IF(INDEX(Dataset!$H$6:$H$15,MATCH(Neighbors!D97,Dataset!$A$6:$A$15,0))=Dataset!H7,1,0)</f>
        <v>1</v>
      </c>
      <c r="E277" s="4">
        <f>IF(INDEX(Dataset!$H$6:$H$15,MATCH(Neighbors!F97,Dataset!$A$6:$A$15,0))=Dataset!H7,1,0)</f>
        <v>0</v>
      </c>
      <c r="F277" s="4">
        <f>IF(INDEX(Dataset!$H$6:$H$15,MATCH(Neighbors!H97,Dataset!$A$6:$A$15,0))=Dataset!H7,1,0)</f>
        <v>0</v>
      </c>
      <c r="G277" s="4">
        <f>IF(INDEX(Dataset!$H$6:$H$15,MATCH(Neighbors!J97,Dataset!$A$6:$A$15,0))=Dataset!H7,1,0)</f>
        <v>0</v>
      </c>
      <c r="H277" s="4">
        <f>IF(INDEX(Dataset!$H$6:$H$15,MATCH(Neighbors!L97,Dataset!$A$6:$A$15,0))=Dataset!H7,1,0)</f>
        <v>0</v>
      </c>
      <c r="I277" s="4">
        <f>IF(INDEX(Dataset!$H$6:$H$15,MATCH(Neighbors!N97,Dataset!$A$6:$A$15,0))=Dataset!H7,1,0)</f>
        <v>1</v>
      </c>
      <c r="J277" s="4">
        <f>IF(INDEX(Dataset!$H$6:$H$15,MATCH(Neighbors!P97,Dataset!$A$6:$A$15,0))=Dataset!H7,1,0)</f>
        <v>1</v>
      </c>
      <c r="K277" s="4">
        <f>IF(INDEX(Dataset!$H$6:$H$15,MATCH(Neighbors!R97,Dataset!$A$6:$A$15,0))=Dataset!H7,1,0)</f>
        <v>1</v>
      </c>
      <c r="L277" s="27"/>
    </row>
    <row r="278" spans="1:12" ht="25.05" customHeight="1">
      <c r="A278" s="6" t="s">
        <v>17</v>
      </c>
      <c r="B278" s="3">
        <v>2</v>
      </c>
      <c r="C278" s="3">
        <f>IF(INDEX(Dataset!$H$6:$H$15,MATCH(Neighbors!B98,Dataset!$A$6:$A$15,0))=Dataset!H8,1,0)</f>
        <v>1</v>
      </c>
      <c r="D278" s="3">
        <f>IF(INDEX(Dataset!$H$6:$H$15,MATCH(Neighbors!D98,Dataset!$A$6:$A$15,0))=Dataset!H8,1,0)</f>
        <v>1</v>
      </c>
      <c r="E278" s="3">
        <f>IF(INDEX(Dataset!$H$6:$H$15,MATCH(Neighbors!F98,Dataset!$A$6:$A$15,0))=Dataset!H8,1,0)</f>
        <v>1</v>
      </c>
      <c r="F278" s="3">
        <f>IF(INDEX(Dataset!$H$6:$H$15,MATCH(Neighbors!H98,Dataset!$A$6:$A$15,0))=Dataset!H8,1,0)</f>
        <v>0</v>
      </c>
      <c r="G278" s="3">
        <f>IF(INDEX(Dataset!$H$6:$H$15,MATCH(Neighbors!J98,Dataset!$A$6:$A$15,0))=Dataset!H8,1,0)</f>
        <v>0</v>
      </c>
      <c r="H278" s="3">
        <f>IF(INDEX(Dataset!$H$6:$H$15,MATCH(Neighbors!L98,Dataset!$A$6:$A$15,0))=Dataset!H8,1,0)</f>
        <v>0</v>
      </c>
      <c r="I278" s="3">
        <f>IF(INDEX(Dataset!$H$6:$H$15,MATCH(Neighbors!N98,Dataset!$A$6:$A$15,0))=Dataset!H8,1,0)</f>
        <v>0</v>
      </c>
      <c r="J278" s="3">
        <f>IF(INDEX(Dataset!$H$6:$H$15,MATCH(Neighbors!P98,Dataset!$A$6:$A$15,0))=Dataset!H8,1,0)</f>
        <v>0</v>
      </c>
      <c r="K278" s="3">
        <f>IF(INDEX(Dataset!$H$6:$H$15,MATCH(Neighbors!R98,Dataset!$A$6:$A$15,0))=Dataset!H8,1,0)</f>
        <v>0</v>
      </c>
      <c r="L278" s="27"/>
    </row>
    <row r="279" spans="1:12" ht="25.05" customHeight="1">
      <c r="A279" s="7" t="s">
        <v>19</v>
      </c>
      <c r="B279" s="4">
        <v>1</v>
      </c>
      <c r="C279" s="4">
        <f>IF(INDEX(Dataset!$H$6:$H$15,MATCH(Neighbors!B99,Dataset!$A$6:$A$15,0))=Dataset!H9,1,0)</f>
        <v>1</v>
      </c>
      <c r="D279" s="4">
        <f>IF(INDEX(Dataset!$H$6:$H$15,MATCH(Neighbors!D99,Dataset!$A$6:$A$15,0))=Dataset!H9,1,0)</f>
        <v>1</v>
      </c>
      <c r="E279" s="4">
        <f>IF(INDEX(Dataset!$H$6:$H$15,MATCH(Neighbors!F99,Dataset!$A$6:$A$15,0))=Dataset!H9,1,0)</f>
        <v>1</v>
      </c>
      <c r="F279" s="4">
        <f>IF(INDEX(Dataset!$H$6:$H$15,MATCH(Neighbors!H99,Dataset!$A$6:$A$15,0))=Dataset!H9,1,0)</f>
        <v>0</v>
      </c>
      <c r="G279" s="4">
        <f>IF(INDEX(Dataset!$H$6:$H$15,MATCH(Neighbors!J99,Dataset!$A$6:$A$15,0))=Dataset!H9,1,0)</f>
        <v>0</v>
      </c>
      <c r="H279" s="4">
        <f>IF(INDEX(Dataset!$H$6:$H$15,MATCH(Neighbors!L99,Dataset!$A$6:$A$15,0))=Dataset!H9,1,0)</f>
        <v>0</v>
      </c>
      <c r="I279" s="4">
        <f>IF(INDEX(Dataset!$H$6:$H$15,MATCH(Neighbors!N99,Dataset!$A$6:$A$15,0))=Dataset!H9,1,0)</f>
        <v>0</v>
      </c>
      <c r="J279" s="4">
        <f>IF(INDEX(Dataset!$H$6:$H$15,MATCH(Neighbors!P99,Dataset!$A$6:$A$15,0))=Dataset!H9,1,0)</f>
        <v>1</v>
      </c>
      <c r="K279" s="4">
        <f>IF(INDEX(Dataset!$H$6:$H$15,MATCH(Neighbors!R99,Dataset!$A$6:$A$15,0))=Dataset!H9,1,0)</f>
        <v>1</v>
      </c>
      <c r="L279" s="27"/>
    </row>
    <row r="280" spans="1:12" ht="25.05" customHeight="1">
      <c r="A280" s="6" t="s">
        <v>21</v>
      </c>
      <c r="B280" s="3">
        <v>2</v>
      </c>
      <c r="C280" s="3">
        <f>IF(INDEX(Dataset!$H$6:$H$15,MATCH(Neighbors!B100,Dataset!$A$6:$A$15,0))=Dataset!H10,1,0)</f>
        <v>1</v>
      </c>
      <c r="D280" s="3">
        <f>IF(INDEX(Dataset!$H$6:$H$15,MATCH(Neighbors!D100,Dataset!$A$6:$A$15,0))=Dataset!H10,1,0)</f>
        <v>1</v>
      </c>
      <c r="E280" s="3">
        <f>IF(INDEX(Dataset!$H$6:$H$15,MATCH(Neighbors!F100,Dataset!$A$6:$A$15,0))=Dataset!H10,1,0)</f>
        <v>1</v>
      </c>
      <c r="F280" s="3">
        <f>IF(INDEX(Dataset!$H$6:$H$15,MATCH(Neighbors!H100,Dataset!$A$6:$A$15,0))=Dataset!H10,1,0)</f>
        <v>0</v>
      </c>
      <c r="G280" s="3">
        <f>IF(INDEX(Dataset!$H$6:$H$15,MATCH(Neighbors!J100,Dataset!$A$6:$A$15,0))=Dataset!H10,1,0)</f>
        <v>0</v>
      </c>
      <c r="H280" s="3">
        <f>IF(INDEX(Dataset!$H$6:$H$15,MATCH(Neighbors!L100,Dataset!$A$6:$A$15,0))=Dataset!H10,1,0)</f>
        <v>0</v>
      </c>
      <c r="I280" s="3">
        <f>IF(INDEX(Dataset!$H$6:$H$15,MATCH(Neighbors!N100,Dataset!$A$6:$A$15,0))=Dataset!H10,1,0)</f>
        <v>0</v>
      </c>
      <c r="J280" s="3">
        <f>IF(INDEX(Dataset!$H$6:$H$15,MATCH(Neighbors!P100,Dataset!$A$6:$A$15,0))=Dataset!H10,1,0)</f>
        <v>0</v>
      </c>
      <c r="K280" s="3">
        <f>IF(INDEX(Dataset!$H$6:$H$15,MATCH(Neighbors!R100,Dataset!$A$6:$A$15,0))=Dataset!H10,1,0)</f>
        <v>0</v>
      </c>
      <c r="L280" s="27"/>
    </row>
    <row r="281" spans="1:12" ht="25.05" customHeight="1">
      <c r="A281" s="7" t="s">
        <v>23</v>
      </c>
      <c r="B281" s="4">
        <v>1</v>
      </c>
      <c r="C281" s="4">
        <f>IF(INDEX(Dataset!$H$6:$H$15,MATCH(Neighbors!B101,Dataset!$A$6:$A$15,0))=Dataset!H11,1,0)</f>
        <v>1</v>
      </c>
      <c r="D281" s="4">
        <f>IF(INDEX(Dataset!$H$6:$H$15,MATCH(Neighbors!D101,Dataset!$A$6:$A$15,0))=Dataset!H11,1,0)</f>
        <v>0</v>
      </c>
      <c r="E281" s="4">
        <f>IF(INDEX(Dataset!$H$6:$H$15,MATCH(Neighbors!F101,Dataset!$A$6:$A$15,0))=Dataset!H11,1,0)</f>
        <v>1</v>
      </c>
      <c r="F281" s="4">
        <f>IF(INDEX(Dataset!$H$6:$H$15,MATCH(Neighbors!H101,Dataset!$A$6:$A$15,0))=Dataset!H11,1,0)</f>
        <v>1</v>
      </c>
      <c r="G281" s="4">
        <f>IF(INDEX(Dataset!$H$6:$H$15,MATCH(Neighbors!J101,Dataset!$A$6:$A$15,0))=Dataset!H11,1,0)</f>
        <v>0</v>
      </c>
      <c r="H281" s="4">
        <f>IF(INDEX(Dataset!$H$6:$H$15,MATCH(Neighbors!L101,Dataset!$A$6:$A$15,0))=Dataset!H11,1,0)</f>
        <v>0</v>
      </c>
      <c r="I281" s="4">
        <f>IF(INDEX(Dataset!$H$6:$H$15,MATCH(Neighbors!N101,Dataset!$A$6:$A$15,0))=Dataset!H11,1,0)</f>
        <v>0</v>
      </c>
      <c r="J281" s="4">
        <f>IF(INDEX(Dataset!$H$6:$H$15,MATCH(Neighbors!P101,Dataset!$A$6:$A$15,0))=Dataset!H11,1,0)</f>
        <v>1</v>
      </c>
      <c r="K281" s="4">
        <f>IF(INDEX(Dataset!$H$6:$H$15,MATCH(Neighbors!R101,Dataset!$A$6:$A$15,0))=Dataset!H11,1,0)</f>
        <v>1</v>
      </c>
      <c r="L281" s="27"/>
    </row>
    <row r="282" spans="1:12" ht="25.05" customHeight="1">
      <c r="A282" s="6" t="s">
        <v>26</v>
      </c>
      <c r="B282" s="3">
        <v>1</v>
      </c>
      <c r="C282" s="3">
        <f>IF(INDEX(Dataset!$H$6:$H$15,MATCH(Neighbors!B102,Dataset!$A$6:$A$15,0))=Dataset!H12,1,0)</f>
        <v>1</v>
      </c>
      <c r="D282" s="3">
        <f>IF(INDEX(Dataset!$H$6:$H$15,MATCH(Neighbors!D102,Dataset!$A$6:$A$15,0))=Dataset!H12,1,0)</f>
        <v>1</v>
      </c>
      <c r="E282" s="3">
        <f>IF(INDEX(Dataset!$H$6:$H$15,MATCH(Neighbors!F102,Dataset!$A$6:$A$15,0))=Dataset!H12,1,0)</f>
        <v>1</v>
      </c>
      <c r="F282" s="3">
        <f>IF(INDEX(Dataset!$H$6:$H$15,MATCH(Neighbors!H102,Dataset!$A$6:$A$15,0))=Dataset!H12,1,0)</f>
        <v>1</v>
      </c>
      <c r="G282" s="3">
        <f>IF(INDEX(Dataset!$H$6:$H$15,MATCH(Neighbors!J102,Dataset!$A$6:$A$15,0))=Dataset!H12,1,0)</f>
        <v>0</v>
      </c>
      <c r="H282" s="3">
        <f>IF(INDEX(Dataset!$H$6:$H$15,MATCH(Neighbors!L102,Dataset!$A$6:$A$15,0))=Dataset!H12,1,0)</f>
        <v>0</v>
      </c>
      <c r="I282" s="3">
        <f>IF(INDEX(Dataset!$H$6:$H$15,MATCH(Neighbors!N102,Dataset!$A$6:$A$15,0))=Dataset!H12,1,0)</f>
        <v>0</v>
      </c>
      <c r="J282" s="3">
        <f>IF(INDEX(Dataset!$H$6:$H$15,MATCH(Neighbors!P102,Dataset!$A$6:$A$15,0))=Dataset!H12,1,0)</f>
        <v>0</v>
      </c>
      <c r="K282" s="3">
        <f>IF(INDEX(Dataset!$H$6:$H$15,MATCH(Neighbors!R102,Dataset!$A$6:$A$15,0))=Dataset!H12,1,0)</f>
        <v>1</v>
      </c>
      <c r="L282" s="27"/>
    </row>
    <row r="283" spans="1:12" ht="25.05" customHeight="1">
      <c r="A283" s="7" t="s">
        <v>29</v>
      </c>
      <c r="B283" s="4">
        <v>1</v>
      </c>
      <c r="C283" s="4">
        <f>IF(INDEX(Dataset!$H$6:$H$15,MATCH(Neighbors!B103,Dataset!$A$6:$A$15,0))=Dataset!H13,1,0)</f>
        <v>1</v>
      </c>
      <c r="D283" s="4">
        <f>IF(INDEX(Dataset!$H$6:$H$15,MATCH(Neighbors!D103,Dataset!$A$6:$A$15,0))=Dataset!H13,1,0)</f>
        <v>1</v>
      </c>
      <c r="E283" s="4">
        <f>IF(INDEX(Dataset!$H$6:$H$15,MATCH(Neighbors!F103,Dataset!$A$6:$A$15,0))=Dataset!H13,1,0)</f>
        <v>1</v>
      </c>
      <c r="F283" s="4">
        <f>IF(INDEX(Dataset!$H$6:$H$15,MATCH(Neighbors!H103,Dataset!$A$6:$A$15,0))=Dataset!H13,1,0)</f>
        <v>0</v>
      </c>
      <c r="G283" s="4">
        <f>IF(INDEX(Dataset!$H$6:$H$15,MATCH(Neighbors!J103,Dataset!$A$6:$A$15,0))=Dataset!H13,1,0)</f>
        <v>0</v>
      </c>
      <c r="H283" s="4">
        <f>IF(INDEX(Dataset!$H$6:$H$15,MATCH(Neighbors!L103,Dataset!$A$6:$A$15,0))=Dataset!H13,1,0)</f>
        <v>0</v>
      </c>
      <c r="I283" s="4">
        <f>IF(INDEX(Dataset!$H$6:$H$15,MATCH(Neighbors!N103,Dataset!$A$6:$A$15,0))=Dataset!H13,1,0)</f>
        <v>1</v>
      </c>
      <c r="J283" s="4">
        <f>IF(INDEX(Dataset!$H$6:$H$15,MATCH(Neighbors!P103,Dataset!$A$6:$A$15,0))=Dataset!H13,1,0)</f>
        <v>0</v>
      </c>
      <c r="K283" s="4">
        <f>IF(INDEX(Dataset!$H$6:$H$15,MATCH(Neighbors!R103,Dataset!$A$6:$A$15,0))=Dataset!H13,1,0)</f>
        <v>1</v>
      </c>
      <c r="L283" s="27"/>
    </row>
    <row r="284" spans="1:12" ht="25.05" customHeight="1">
      <c r="A284" s="6" t="s">
        <v>32</v>
      </c>
      <c r="B284" s="3">
        <v>2</v>
      </c>
      <c r="C284" s="3">
        <f>IF(INDEX(Dataset!$H$6:$H$15,MATCH(Neighbors!B104,Dataset!$A$6:$A$15,0))=Dataset!H14,1,0)</f>
        <v>1</v>
      </c>
      <c r="D284" s="3">
        <f>IF(INDEX(Dataset!$H$6:$H$15,MATCH(Neighbors!D104,Dataset!$A$6:$A$15,0))=Dataset!H14,1,0)</f>
        <v>1</v>
      </c>
      <c r="E284" s="3">
        <f>IF(INDEX(Dataset!$H$6:$H$15,MATCH(Neighbors!F104,Dataset!$A$6:$A$15,0))=Dataset!H14,1,0)</f>
        <v>1</v>
      </c>
      <c r="F284" s="3">
        <f>IF(INDEX(Dataset!$H$6:$H$15,MATCH(Neighbors!H104,Dataset!$A$6:$A$15,0))=Dataset!H14,1,0)</f>
        <v>0</v>
      </c>
      <c r="G284" s="3">
        <f>IF(INDEX(Dataset!$H$6:$H$15,MATCH(Neighbors!J104,Dataset!$A$6:$A$15,0))=Dataset!H14,1,0)</f>
        <v>0</v>
      </c>
      <c r="H284" s="3">
        <f>IF(INDEX(Dataset!$H$6:$H$15,MATCH(Neighbors!L104,Dataset!$A$6:$A$15,0))=Dataset!H14,1,0)</f>
        <v>0</v>
      </c>
      <c r="I284" s="3">
        <f>IF(INDEX(Dataset!$H$6:$H$15,MATCH(Neighbors!N104,Dataset!$A$6:$A$15,0))=Dataset!H14,1,0)</f>
        <v>0</v>
      </c>
      <c r="J284" s="3">
        <f>IF(INDEX(Dataset!$H$6:$H$15,MATCH(Neighbors!P104,Dataset!$A$6:$A$15,0))=Dataset!H14,1,0)</f>
        <v>0</v>
      </c>
      <c r="K284" s="3">
        <f>IF(INDEX(Dataset!$H$6:$H$15,MATCH(Neighbors!R104,Dataset!$A$6:$A$15,0))=Dataset!H14,1,0)</f>
        <v>0</v>
      </c>
      <c r="L284" s="27"/>
    </row>
    <row r="285" spans="1:12" ht="25.05" customHeight="1">
      <c r="A285" s="8" t="s">
        <v>33</v>
      </c>
      <c r="B285" s="5">
        <v>2</v>
      </c>
      <c r="C285" s="5">
        <f>IF(INDEX(Dataset!$H$6:$H$15,MATCH(Neighbors!B105,Dataset!$A$6:$A$15,0))=Dataset!H15,1,0)</f>
        <v>1</v>
      </c>
      <c r="D285" s="5">
        <f>IF(INDEX(Dataset!$H$6:$H$15,MATCH(Neighbors!D105,Dataset!$A$6:$A$15,0))=Dataset!H15,1,0)</f>
        <v>1</v>
      </c>
      <c r="E285" s="5">
        <f>IF(INDEX(Dataset!$H$6:$H$15,MATCH(Neighbors!F105,Dataset!$A$6:$A$15,0))=Dataset!H15,1,0)</f>
        <v>1</v>
      </c>
      <c r="F285" s="5">
        <f>IF(INDEX(Dataset!$H$6:$H$15,MATCH(Neighbors!H105,Dataset!$A$6:$A$15,0))=Dataset!H15,1,0)</f>
        <v>0</v>
      </c>
      <c r="G285" s="5">
        <f>IF(INDEX(Dataset!$H$6:$H$15,MATCH(Neighbors!J105,Dataset!$A$6:$A$15,0))=Dataset!H15,1,0)</f>
        <v>0</v>
      </c>
      <c r="H285" s="5">
        <f>IF(INDEX(Dataset!$H$6:$H$15,MATCH(Neighbors!L105,Dataset!$A$6:$A$15,0))=Dataset!H15,1,0)</f>
        <v>0</v>
      </c>
      <c r="I285" s="5">
        <f>IF(INDEX(Dataset!$H$6:$H$15,MATCH(Neighbors!N105,Dataset!$A$6:$A$15,0))=Dataset!H15,1,0)</f>
        <v>0</v>
      </c>
      <c r="J285" s="5">
        <f>IF(INDEX(Dataset!$H$6:$H$15,MATCH(Neighbors!P105,Dataset!$A$6:$A$15,0))=Dataset!H15,1,0)</f>
        <v>0</v>
      </c>
      <c r="K285" s="5">
        <f>IF(INDEX(Dataset!$H$6:$H$15,MATCH(Neighbors!R105,Dataset!$A$6:$A$15,0))=Dataset!H15,1,0)</f>
        <v>0</v>
      </c>
      <c r="L285" s="27"/>
    </row>
    <row r="286" spans="1:12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</row>
    <row r="287" spans="1:12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</row>
    <row r="288" spans="1:12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</row>
    <row r="289" spans="1:12" ht="30" customHeight="1">
      <c r="A289" s="35" t="s">
        <v>78</v>
      </c>
      <c r="B289" s="35"/>
      <c r="C289" s="35"/>
      <c r="D289" s="35"/>
      <c r="E289" s="35"/>
      <c r="F289" s="35"/>
      <c r="G289" s="35"/>
      <c r="H289" s="27"/>
      <c r="I289" s="35" t="s">
        <v>79</v>
      </c>
      <c r="J289" s="35"/>
      <c r="K289" s="35"/>
      <c r="L289" s="35"/>
    </row>
    <row r="290" spans="1:12" ht="43.95" customHeight="1">
      <c r="A290" s="2" t="s">
        <v>3</v>
      </c>
      <c r="B290" s="2" t="s">
        <v>10</v>
      </c>
      <c r="C290" s="2" t="s">
        <v>80</v>
      </c>
      <c r="D290" s="2" t="s">
        <v>81</v>
      </c>
      <c r="E290" s="2" t="s">
        <v>82</v>
      </c>
      <c r="F290" s="2" t="s">
        <v>83</v>
      </c>
      <c r="G290" s="2" t="s">
        <v>84</v>
      </c>
      <c r="H290" s="27"/>
      <c r="I290" s="2" t="s">
        <v>3</v>
      </c>
      <c r="J290" s="2" t="s">
        <v>10</v>
      </c>
      <c r="K290" s="2" t="s">
        <v>82</v>
      </c>
      <c r="L290" s="2" t="s">
        <v>84</v>
      </c>
    </row>
    <row r="291" spans="1:12" ht="25.05" customHeight="1">
      <c r="A291" s="6" t="s">
        <v>13</v>
      </c>
      <c r="B291" s="3">
        <v>1</v>
      </c>
      <c r="C291" s="3">
        <f t="shared" ref="C291:C300" si="84">SUM(C276:C276)</f>
        <v>1</v>
      </c>
      <c r="D291" s="3">
        <f t="shared" ref="D291:D300" si="85">SUM(C276:D276)</f>
        <v>2</v>
      </c>
      <c r="E291" s="3">
        <f t="shared" ref="E291:E300" si="86">SUM(C276:E276)</f>
        <v>3</v>
      </c>
      <c r="F291" s="3">
        <f t="shared" ref="F291:F300" si="87">SUM(C276:F276)</f>
        <v>3</v>
      </c>
      <c r="G291" s="3">
        <f t="shared" ref="G291:G300" si="88">SUM(C276:G276)</f>
        <v>4</v>
      </c>
      <c r="H291" s="27"/>
      <c r="I291" s="6" t="s">
        <v>13</v>
      </c>
      <c r="J291" s="3">
        <v>1</v>
      </c>
      <c r="K291" s="3">
        <f t="shared" ref="K291:K300" si="89">E291</f>
        <v>3</v>
      </c>
      <c r="L291" s="3">
        <f t="shared" ref="L291:L300" si="90">G291</f>
        <v>4</v>
      </c>
    </row>
    <row r="292" spans="1:12" ht="25.05" customHeight="1">
      <c r="A292" s="7" t="s">
        <v>15</v>
      </c>
      <c r="B292" s="4">
        <v>1</v>
      </c>
      <c r="C292" s="4">
        <f t="shared" si="84"/>
        <v>1</v>
      </c>
      <c r="D292" s="4">
        <f t="shared" si="85"/>
        <v>2</v>
      </c>
      <c r="E292" s="4">
        <f t="shared" si="86"/>
        <v>2</v>
      </c>
      <c r="F292" s="4">
        <f t="shared" si="87"/>
        <v>2</v>
      </c>
      <c r="G292" s="4">
        <f t="shared" si="88"/>
        <v>2</v>
      </c>
      <c r="H292" s="27"/>
      <c r="I292" s="7" t="s">
        <v>15</v>
      </c>
      <c r="J292" s="4">
        <v>1</v>
      </c>
      <c r="K292" s="4">
        <f t="shared" si="89"/>
        <v>2</v>
      </c>
      <c r="L292" s="4">
        <f t="shared" si="90"/>
        <v>2</v>
      </c>
    </row>
    <row r="293" spans="1:12" ht="25.05" customHeight="1">
      <c r="A293" s="6" t="s">
        <v>17</v>
      </c>
      <c r="B293" s="3">
        <v>2</v>
      </c>
      <c r="C293" s="3">
        <f t="shared" si="84"/>
        <v>1</v>
      </c>
      <c r="D293" s="3">
        <f t="shared" si="85"/>
        <v>2</v>
      </c>
      <c r="E293" s="3">
        <f t="shared" si="86"/>
        <v>3</v>
      </c>
      <c r="F293" s="3">
        <f t="shared" si="87"/>
        <v>3</v>
      </c>
      <c r="G293" s="3">
        <f t="shared" si="88"/>
        <v>3</v>
      </c>
      <c r="H293" s="27"/>
      <c r="I293" s="6" t="s">
        <v>17</v>
      </c>
      <c r="J293" s="3">
        <v>2</v>
      </c>
      <c r="K293" s="3">
        <f t="shared" si="89"/>
        <v>3</v>
      </c>
      <c r="L293" s="3">
        <f t="shared" si="90"/>
        <v>3</v>
      </c>
    </row>
    <row r="294" spans="1:12" ht="25.05" customHeight="1">
      <c r="A294" s="7" t="s">
        <v>19</v>
      </c>
      <c r="B294" s="4">
        <v>1</v>
      </c>
      <c r="C294" s="4">
        <f t="shared" si="84"/>
        <v>1</v>
      </c>
      <c r="D294" s="4">
        <f t="shared" si="85"/>
        <v>2</v>
      </c>
      <c r="E294" s="4">
        <f t="shared" si="86"/>
        <v>3</v>
      </c>
      <c r="F294" s="4">
        <f t="shared" si="87"/>
        <v>3</v>
      </c>
      <c r="G294" s="4">
        <f t="shared" si="88"/>
        <v>3</v>
      </c>
      <c r="H294" s="27"/>
      <c r="I294" s="7" t="s">
        <v>19</v>
      </c>
      <c r="J294" s="4">
        <v>1</v>
      </c>
      <c r="K294" s="4">
        <f t="shared" si="89"/>
        <v>3</v>
      </c>
      <c r="L294" s="4">
        <f t="shared" si="90"/>
        <v>3</v>
      </c>
    </row>
    <row r="295" spans="1:12" ht="25.05" customHeight="1">
      <c r="A295" s="6" t="s">
        <v>21</v>
      </c>
      <c r="B295" s="3">
        <v>2</v>
      </c>
      <c r="C295" s="3">
        <f t="shared" si="84"/>
        <v>1</v>
      </c>
      <c r="D295" s="3">
        <f t="shared" si="85"/>
        <v>2</v>
      </c>
      <c r="E295" s="3">
        <f t="shared" si="86"/>
        <v>3</v>
      </c>
      <c r="F295" s="3">
        <f t="shared" si="87"/>
        <v>3</v>
      </c>
      <c r="G295" s="3">
        <f t="shared" si="88"/>
        <v>3</v>
      </c>
      <c r="H295" s="27"/>
      <c r="I295" s="6" t="s">
        <v>21</v>
      </c>
      <c r="J295" s="3">
        <v>2</v>
      </c>
      <c r="K295" s="3">
        <f t="shared" si="89"/>
        <v>3</v>
      </c>
      <c r="L295" s="3">
        <f t="shared" si="90"/>
        <v>3</v>
      </c>
    </row>
    <row r="296" spans="1:12" ht="25.05" customHeight="1">
      <c r="A296" s="7" t="s">
        <v>23</v>
      </c>
      <c r="B296" s="4">
        <v>1</v>
      </c>
      <c r="C296" s="4">
        <f t="shared" si="84"/>
        <v>1</v>
      </c>
      <c r="D296" s="4">
        <f t="shared" si="85"/>
        <v>1</v>
      </c>
      <c r="E296" s="4">
        <f t="shared" si="86"/>
        <v>2</v>
      </c>
      <c r="F296" s="4">
        <f t="shared" si="87"/>
        <v>3</v>
      </c>
      <c r="G296" s="4">
        <f t="shared" si="88"/>
        <v>3</v>
      </c>
      <c r="H296" s="27"/>
      <c r="I296" s="7" t="s">
        <v>23</v>
      </c>
      <c r="J296" s="4">
        <v>1</v>
      </c>
      <c r="K296" s="4">
        <f t="shared" si="89"/>
        <v>2</v>
      </c>
      <c r="L296" s="4">
        <f t="shared" si="90"/>
        <v>3</v>
      </c>
    </row>
    <row r="297" spans="1:12" ht="25.05" customHeight="1">
      <c r="A297" s="6" t="s">
        <v>26</v>
      </c>
      <c r="B297" s="3">
        <v>1</v>
      </c>
      <c r="C297" s="3">
        <f t="shared" si="84"/>
        <v>1</v>
      </c>
      <c r="D297" s="3">
        <f t="shared" si="85"/>
        <v>2</v>
      </c>
      <c r="E297" s="3">
        <f t="shared" si="86"/>
        <v>3</v>
      </c>
      <c r="F297" s="3">
        <f t="shared" si="87"/>
        <v>4</v>
      </c>
      <c r="G297" s="3">
        <f t="shared" si="88"/>
        <v>4</v>
      </c>
      <c r="H297" s="27"/>
      <c r="I297" s="6" t="s">
        <v>26</v>
      </c>
      <c r="J297" s="3">
        <v>1</v>
      </c>
      <c r="K297" s="3">
        <f t="shared" si="89"/>
        <v>3</v>
      </c>
      <c r="L297" s="3">
        <f t="shared" si="90"/>
        <v>4</v>
      </c>
    </row>
    <row r="298" spans="1:12" ht="25.05" customHeight="1">
      <c r="A298" s="7" t="s">
        <v>29</v>
      </c>
      <c r="B298" s="4">
        <v>1</v>
      </c>
      <c r="C298" s="4">
        <f t="shared" si="84"/>
        <v>1</v>
      </c>
      <c r="D298" s="4">
        <f t="shared" si="85"/>
        <v>2</v>
      </c>
      <c r="E298" s="4">
        <f t="shared" si="86"/>
        <v>3</v>
      </c>
      <c r="F298" s="4">
        <f t="shared" si="87"/>
        <v>3</v>
      </c>
      <c r="G298" s="4">
        <f t="shared" si="88"/>
        <v>3</v>
      </c>
      <c r="H298" s="27"/>
      <c r="I298" s="7" t="s">
        <v>29</v>
      </c>
      <c r="J298" s="4">
        <v>1</v>
      </c>
      <c r="K298" s="4">
        <f t="shared" si="89"/>
        <v>3</v>
      </c>
      <c r="L298" s="4">
        <f t="shared" si="90"/>
        <v>3</v>
      </c>
    </row>
    <row r="299" spans="1:12" ht="25.05" customHeight="1">
      <c r="A299" s="6" t="s">
        <v>32</v>
      </c>
      <c r="B299" s="3">
        <v>2</v>
      </c>
      <c r="C299" s="3">
        <f t="shared" si="84"/>
        <v>1</v>
      </c>
      <c r="D299" s="3">
        <f t="shared" si="85"/>
        <v>2</v>
      </c>
      <c r="E299" s="3">
        <f t="shared" si="86"/>
        <v>3</v>
      </c>
      <c r="F299" s="3">
        <f t="shared" si="87"/>
        <v>3</v>
      </c>
      <c r="G299" s="3">
        <f t="shared" si="88"/>
        <v>3</v>
      </c>
      <c r="H299" s="27"/>
      <c r="I299" s="6" t="s">
        <v>32</v>
      </c>
      <c r="J299" s="3">
        <v>2</v>
      </c>
      <c r="K299" s="3">
        <f t="shared" si="89"/>
        <v>3</v>
      </c>
      <c r="L299" s="3">
        <f t="shared" si="90"/>
        <v>3</v>
      </c>
    </row>
    <row r="300" spans="1:12" ht="25.05" customHeight="1">
      <c r="A300" s="8" t="s">
        <v>33</v>
      </c>
      <c r="B300" s="5">
        <v>2</v>
      </c>
      <c r="C300" s="5">
        <f t="shared" si="84"/>
        <v>1</v>
      </c>
      <c r="D300" s="5">
        <f t="shared" si="85"/>
        <v>2</v>
      </c>
      <c r="E300" s="5">
        <f t="shared" si="86"/>
        <v>3</v>
      </c>
      <c r="F300" s="5">
        <f t="shared" si="87"/>
        <v>3</v>
      </c>
      <c r="G300" s="5">
        <f t="shared" si="88"/>
        <v>3</v>
      </c>
      <c r="H300" s="27"/>
      <c r="I300" s="8" t="s">
        <v>33</v>
      </c>
      <c r="J300" s="5">
        <v>2</v>
      </c>
      <c r="K300" s="5">
        <f t="shared" si="89"/>
        <v>3</v>
      </c>
      <c r="L300" s="5">
        <f t="shared" si="90"/>
        <v>3</v>
      </c>
    </row>
    <row r="301" spans="1:12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</row>
    <row r="302" spans="1:1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</row>
    <row r="303" spans="1:12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</row>
    <row r="304" spans="1:12" ht="30" customHeight="1">
      <c r="A304" s="35" t="s">
        <v>85</v>
      </c>
      <c r="B304" s="35"/>
      <c r="C304" s="35"/>
      <c r="D304" s="35"/>
      <c r="E304" s="35"/>
      <c r="F304" s="35"/>
      <c r="G304" s="35"/>
      <c r="H304" s="27"/>
      <c r="I304" s="35" t="s">
        <v>86</v>
      </c>
      <c r="J304" s="35"/>
      <c r="K304" s="35"/>
      <c r="L304" s="35"/>
    </row>
    <row r="305" spans="1:12" ht="43.95" customHeight="1">
      <c r="A305" s="2" t="s">
        <v>3</v>
      </c>
      <c r="B305" s="2" t="s">
        <v>10</v>
      </c>
      <c r="C305" s="2" t="s">
        <v>87</v>
      </c>
      <c r="D305" s="2" t="s">
        <v>88</v>
      </c>
      <c r="E305" s="2" t="s">
        <v>89</v>
      </c>
      <c r="F305" s="2" t="s">
        <v>90</v>
      </c>
      <c r="G305" s="2" t="s">
        <v>91</v>
      </c>
      <c r="H305" s="27"/>
      <c r="I305" s="2" t="s">
        <v>3</v>
      </c>
      <c r="J305" s="2" t="s">
        <v>10</v>
      </c>
      <c r="K305" s="2" t="s">
        <v>89</v>
      </c>
      <c r="L305" s="2" t="s">
        <v>91</v>
      </c>
    </row>
    <row r="306" spans="1:12" ht="25.05" customHeight="1">
      <c r="A306" s="6" t="s">
        <v>13</v>
      </c>
      <c r="B306" s="3">
        <v>1</v>
      </c>
      <c r="C306" s="3">
        <f t="shared" ref="C306:C315" si="91">IF(C291/1&gt;0.5,1,0)</f>
        <v>1</v>
      </c>
      <c r="D306" s="3">
        <f t="shared" ref="D306:D315" si="92">IF(D291/2&gt;0.5,1,0)</f>
        <v>1</v>
      </c>
      <c r="E306" s="3">
        <f t="shared" ref="E306:E315" si="93">IF(E291/3&gt;0.5,1,0)</f>
        <v>1</v>
      </c>
      <c r="F306" s="3">
        <f t="shared" ref="F306:F315" si="94">IF(F291/4&gt;0.5,1,0)</f>
        <v>1</v>
      </c>
      <c r="G306" s="3">
        <f t="shared" ref="G306:G315" si="95">IF(G291/5&gt;0.5,1,0)</f>
        <v>1</v>
      </c>
      <c r="H306" s="27"/>
      <c r="I306" s="6" t="s">
        <v>13</v>
      </c>
      <c r="J306" s="3">
        <v>1</v>
      </c>
      <c r="K306" s="3">
        <f t="shared" ref="K306:K315" si="96">E306</f>
        <v>1</v>
      </c>
      <c r="L306" s="3">
        <f t="shared" ref="L306:L315" si="97">G306</f>
        <v>1</v>
      </c>
    </row>
    <row r="307" spans="1:12" ht="25.05" customHeight="1">
      <c r="A307" s="7" t="s">
        <v>15</v>
      </c>
      <c r="B307" s="4">
        <v>1</v>
      </c>
      <c r="C307" s="4">
        <f t="shared" si="91"/>
        <v>1</v>
      </c>
      <c r="D307" s="4">
        <f t="shared" si="92"/>
        <v>1</v>
      </c>
      <c r="E307" s="4">
        <f t="shared" si="93"/>
        <v>1</v>
      </c>
      <c r="F307" s="4">
        <f t="shared" si="94"/>
        <v>0</v>
      </c>
      <c r="G307" s="4">
        <f t="shared" si="95"/>
        <v>0</v>
      </c>
      <c r="H307" s="27"/>
      <c r="I307" s="7" t="s">
        <v>15</v>
      </c>
      <c r="J307" s="4">
        <v>1</v>
      </c>
      <c r="K307" s="4">
        <f t="shared" si="96"/>
        <v>1</v>
      </c>
      <c r="L307" s="4">
        <f t="shared" si="97"/>
        <v>0</v>
      </c>
    </row>
    <row r="308" spans="1:12" ht="25.05" customHeight="1">
      <c r="A308" s="6" t="s">
        <v>17</v>
      </c>
      <c r="B308" s="3">
        <v>2</v>
      </c>
      <c r="C308" s="3">
        <f t="shared" si="91"/>
        <v>1</v>
      </c>
      <c r="D308" s="3">
        <f t="shared" si="92"/>
        <v>1</v>
      </c>
      <c r="E308" s="3">
        <f t="shared" si="93"/>
        <v>1</v>
      </c>
      <c r="F308" s="3">
        <f t="shared" si="94"/>
        <v>1</v>
      </c>
      <c r="G308" s="3">
        <f t="shared" si="95"/>
        <v>1</v>
      </c>
      <c r="H308" s="27"/>
      <c r="I308" s="6" t="s">
        <v>17</v>
      </c>
      <c r="J308" s="3">
        <v>2</v>
      </c>
      <c r="K308" s="3">
        <f t="shared" si="96"/>
        <v>1</v>
      </c>
      <c r="L308" s="3">
        <f t="shared" si="97"/>
        <v>1</v>
      </c>
    </row>
    <row r="309" spans="1:12" ht="25.05" customHeight="1">
      <c r="A309" s="7" t="s">
        <v>19</v>
      </c>
      <c r="B309" s="4">
        <v>1</v>
      </c>
      <c r="C309" s="4">
        <f t="shared" si="91"/>
        <v>1</v>
      </c>
      <c r="D309" s="4">
        <f t="shared" si="92"/>
        <v>1</v>
      </c>
      <c r="E309" s="4">
        <f t="shared" si="93"/>
        <v>1</v>
      </c>
      <c r="F309" s="4">
        <f t="shared" si="94"/>
        <v>1</v>
      </c>
      <c r="G309" s="4">
        <f t="shared" si="95"/>
        <v>1</v>
      </c>
      <c r="H309" s="27"/>
      <c r="I309" s="7" t="s">
        <v>19</v>
      </c>
      <c r="J309" s="4">
        <v>1</v>
      </c>
      <c r="K309" s="4">
        <f t="shared" si="96"/>
        <v>1</v>
      </c>
      <c r="L309" s="4">
        <f t="shared" si="97"/>
        <v>1</v>
      </c>
    </row>
    <row r="310" spans="1:12" ht="25.05" customHeight="1">
      <c r="A310" s="6" t="s">
        <v>21</v>
      </c>
      <c r="B310" s="3">
        <v>2</v>
      </c>
      <c r="C310" s="3">
        <f t="shared" si="91"/>
        <v>1</v>
      </c>
      <c r="D310" s="3">
        <f t="shared" si="92"/>
        <v>1</v>
      </c>
      <c r="E310" s="3">
        <f t="shared" si="93"/>
        <v>1</v>
      </c>
      <c r="F310" s="3">
        <f t="shared" si="94"/>
        <v>1</v>
      </c>
      <c r="G310" s="3">
        <f t="shared" si="95"/>
        <v>1</v>
      </c>
      <c r="H310" s="27"/>
      <c r="I310" s="6" t="s">
        <v>21</v>
      </c>
      <c r="J310" s="3">
        <v>2</v>
      </c>
      <c r="K310" s="3">
        <f t="shared" si="96"/>
        <v>1</v>
      </c>
      <c r="L310" s="3">
        <f t="shared" si="97"/>
        <v>1</v>
      </c>
    </row>
    <row r="311" spans="1:12" ht="25.05" customHeight="1">
      <c r="A311" s="7" t="s">
        <v>23</v>
      </c>
      <c r="B311" s="4">
        <v>1</v>
      </c>
      <c r="C311" s="4">
        <f t="shared" si="91"/>
        <v>1</v>
      </c>
      <c r="D311" s="4">
        <f t="shared" si="92"/>
        <v>0</v>
      </c>
      <c r="E311" s="4">
        <f t="shared" si="93"/>
        <v>1</v>
      </c>
      <c r="F311" s="4">
        <f t="shared" si="94"/>
        <v>1</v>
      </c>
      <c r="G311" s="4">
        <f t="shared" si="95"/>
        <v>1</v>
      </c>
      <c r="H311" s="27"/>
      <c r="I311" s="7" t="s">
        <v>23</v>
      </c>
      <c r="J311" s="4">
        <v>1</v>
      </c>
      <c r="K311" s="4">
        <f t="shared" si="96"/>
        <v>1</v>
      </c>
      <c r="L311" s="4">
        <f t="shared" si="97"/>
        <v>1</v>
      </c>
    </row>
    <row r="312" spans="1:12" ht="25.05" customHeight="1">
      <c r="A312" s="6" t="s">
        <v>26</v>
      </c>
      <c r="B312" s="3">
        <v>1</v>
      </c>
      <c r="C312" s="3">
        <f t="shared" si="91"/>
        <v>1</v>
      </c>
      <c r="D312" s="3">
        <f t="shared" si="92"/>
        <v>1</v>
      </c>
      <c r="E312" s="3">
        <f t="shared" si="93"/>
        <v>1</v>
      </c>
      <c r="F312" s="3">
        <f t="shared" si="94"/>
        <v>1</v>
      </c>
      <c r="G312" s="3">
        <f t="shared" si="95"/>
        <v>1</v>
      </c>
      <c r="H312" s="27"/>
      <c r="I312" s="6" t="s">
        <v>26</v>
      </c>
      <c r="J312" s="3">
        <v>1</v>
      </c>
      <c r="K312" s="3">
        <f t="shared" si="96"/>
        <v>1</v>
      </c>
      <c r="L312" s="3">
        <f t="shared" si="97"/>
        <v>1</v>
      </c>
    </row>
    <row r="313" spans="1:12" ht="25.05" customHeight="1">
      <c r="A313" s="7" t="s">
        <v>29</v>
      </c>
      <c r="B313" s="4">
        <v>1</v>
      </c>
      <c r="C313" s="4">
        <f t="shared" si="91"/>
        <v>1</v>
      </c>
      <c r="D313" s="4">
        <f t="shared" si="92"/>
        <v>1</v>
      </c>
      <c r="E313" s="4">
        <f t="shared" si="93"/>
        <v>1</v>
      </c>
      <c r="F313" s="4">
        <f t="shared" si="94"/>
        <v>1</v>
      </c>
      <c r="G313" s="4">
        <f t="shared" si="95"/>
        <v>1</v>
      </c>
      <c r="H313" s="27"/>
      <c r="I313" s="7" t="s">
        <v>29</v>
      </c>
      <c r="J313" s="4">
        <v>1</v>
      </c>
      <c r="K313" s="4">
        <f t="shared" si="96"/>
        <v>1</v>
      </c>
      <c r="L313" s="4">
        <f t="shared" si="97"/>
        <v>1</v>
      </c>
    </row>
    <row r="314" spans="1:12" ht="25.05" customHeight="1">
      <c r="A314" s="6" t="s">
        <v>32</v>
      </c>
      <c r="B314" s="3">
        <v>2</v>
      </c>
      <c r="C314" s="3">
        <f t="shared" si="91"/>
        <v>1</v>
      </c>
      <c r="D314" s="3">
        <f t="shared" si="92"/>
        <v>1</v>
      </c>
      <c r="E314" s="3">
        <f t="shared" si="93"/>
        <v>1</v>
      </c>
      <c r="F314" s="3">
        <f t="shared" si="94"/>
        <v>1</v>
      </c>
      <c r="G314" s="3">
        <f t="shared" si="95"/>
        <v>1</v>
      </c>
      <c r="H314" s="27"/>
      <c r="I314" s="6" t="s">
        <v>32</v>
      </c>
      <c r="J314" s="3">
        <v>2</v>
      </c>
      <c r="K314" s="3">
        <f t="shared" si="96"/>
        <v>1</v>
      </c>
      <c r="L314" s="3">
        <f t="shared" si="97"/>
        <v>1</v>
      </c>
    </row>
    <row r="315" spans="1:12" ht="25.05" customHeight="1">
      <c r="A315" s="8" t="s">
        <v>33</v>
      </c>
      <c r="B315" s="5">
        <v>2</v>
      </c>
      <c r="C315" s="5">
        <f t="shared" si="91"/>
        <v>1</v>
      </c>
      <c r="D315" s="5">
        <f t="shared" si="92"/>
        <v>1</v>
      </c>
      <c r="E315" s="5">
        <f t="shared" si="93"/>
        <v>1</v>
      </c>
      <c r="F315" s="5">
        <f t="shared" si="94"/>
        <v>1</v>
      </c>
      <c r="G315" s="5">
        <f t="shared" si="95"/>
        <v>1</v>
      </c>
      <c r="H315" s="27"/>
      <c r="I315" s="8" t="s">
        <v>33</v>
      </c>
      <c r="J315" s="5">
        <v>2</v>
      </c>
      <c r="K315" s="5">
        <f t="shared" si="96"/>
        <v>1</v>
      </c>
      <c r="L315" s="5">
        <f t="shared" si="97"/>
        <v>1</v>
      </c>
    </row>
    <row r="316" spans="1:12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</row>
    <row r="317" spans="1:12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</row>
    <row r="318" spans="1:12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</row>
    <row r="319" spans="1:12" ht="30" customHeight="1">
      <c r="A319" s="35" t="s">
        <v>98</v>
      </c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27"/>
    </row>
    <row r="320" spans="1:12" ht="43.95" customHeight="1">
      <c r="A320" s="2" t="s">
        <v>3</v>
      </c>
      <c r="B320" s="2" t="s">
        <v>10</v>
      </c>
      <c r="C320" s="2" t="s">
        <v>69</v>
      </c>
      <c r="D320" s="2" t="s">
        <v>70</v>
      </c>
      <c r="E320" s="2" t="s">
        <v>71</v>
      </c>
      <c r="F320" s="2" t="s">
        <v>72</v>
      </c>
      <c r="G320" s="2" t="s">
        <v>73</v>
      </c>
      <c r="H320" s="2" t="s">
        <v>74</v>
      </c>
      <c r="I320" s="2" t="s">
        <v>75</v>
      </c>
      <c r="J320" s="2" t="s">
        <v>76</v>
      </c>
      <c r="K320" s="2" t="s">
        <v>77</v>
      </c>
      <c r="L320" s="27"/>
    </row>
    <row r="321" spans="1:12" ht="25.05" customHeight="1">
      <c r="A321" s="6" t="s">
        <v>13</v>
      </c>
      <c r="B321" s="3">
        <v>1</v>
      </c>
      <c r="C321" s="3">
        <f>IF(INDEX(Dataset!$H$6:$H$15,MATCH(Neighbors!B111,Dataset!$A$6:$A$15,0))=Dataset!H6,1,0)</f>
        <v>1</v>
      </c>
      <c r="D321" s="3">
        <f>IF(INDEX(Dataset!$H$6:$H$15,MATCH(Neighbors!D111,Dataset!$A$6:$A$15,0))=Dataset!H6,1,0)</f>
        <v>1</v>
      </c>
      <c r="E321" s="3">
        <f>IF(INDEX(Dataset!$H$6:$H$15,MATCH(Neighbors!F111,Dataset!$A$6:$A$15,0))=Dataset!H6,1,0)</f>
        <v>1</v>
      </c>
      <c r="F321" s="3">
        <f>IF(INDEX(Dataset!$H$6:$H$15,MATCH(Neighbors!H111,Dataset!$A$6:$A$15,0))=Dataset!H6,1,0)</f>
        <v>1</v>
      </c>
      <c r="G321" s="3">
        <f>IF(INDEX(Dataset!$H$6:$H$15,MATCH(Neighbors!J111,Dataset!$A$6:$A$15,0))=Dataset!H6,1,0)</f>
        <v>1</v>
      </c>
      <c r="H321" s="3">
        <f>IF(INDEX(Dataset!$H$6:$H$15,MATCH(Neighbors!L111,Dataset!$A$6:$A$15,0))=Dataset!H6,1,0)</f>
        <v>0</v>
      </c>
      <c r="I321" s="3">
        <f>IF(INDEX(Dataset!$H$6:$H$15,MATCH(Neighbors!N111,Dataset!$A$6:$A$15,0))=Dataset!H6,1,0)</f>
        <v>0</v>
      </c>
      <c r="J321" s="3">
        <f>IF(INDEX(Dataset!$H$6:$H$15,MATCH(Neighbors!P111,Dataset!$A$6:$A$15,0))=Dataset!H6,1,0)</f>
        <v>0</v>
      </c>
      <c r="K321" s="3">
        <f>IF(INDEX(Dataset!$H$6:$H$15,MATCH(Neighbors!R111,Dataset!$A$6:$A$15,0))=Dataset!H6,1,0)</f>
        <v>0</v>
      </c>
      <c r="L321" s="27"/>
    </row>
    <row r="322" spans="1:12" ht="25.05" customHeight="1">
      <c r="A322" s="7" t="s">
        <v>15</v>
      </c>
      <c r="B322" s="4">
        <v>1</v>
      </c>
      <c r="C322" s="4">
        <f>IF(INDEX(Dataset!$H$6:$H$15,MATCH(Neighbors!B112,Dataset!$A$6:$A$15,0))=Dataset!H7,1,0)</f>
        <v>1</v>
      </c>
      <c r="D322" s="4">
        <f>IF(INDEX(Dataset!$H$6:$H$15,MATCH(Neighbors!D112,Dataset!$A$6:$A$15,0))=Dataset!H7,1,0)</f>
        <v>1</v>
      </c>
      <c r="E322" s="4">
        <f>IF(INDEX(Dataset!$H$6:$H$15,MATCH(Neighbors!F112,Dataset!$A$6:$A$15,0))=Dataset!H7,1,0)</f>
        <v>1</v>
      </c>
      <c r="F322" s="4">
        <f>IF(INDEX(Dataset!$H$6:$H$15,MATCH(Neighbors!H112,Dataset!$A$6:$A$15,0))=Dataset!H7,1,0)</f>
        <v>1</v>
      </c>
      <c r="G322" s="4">
        <f>IF(INDEX(Dataset!$H$6:$H$15,MATCH(Neighbors!J112,Dataset!$A$6:$A$15,0))=Dataset!H7,1,0)</f>
        <v>0</v>
      </c>
      <c r="H322" s="4">
        <f>IF(INDEX(Dataset!$H$6:$H$15,MATCH(Neighbors!L112,Dataset!$A$6:$A$15,0))=Dataset!H7,1,0)</f>
        <v>1</v>
      </c>
      <c r="I322" s="4">
        <f>IF(INDEX(Dataset!$H$6:$H$15,MATCH(Neighbors!N112,Dataset!$A$6:$A$15,0))=Dataset!H7,1,0)</f>
        <v>0</v>
      </c>
      <c r="J322" s="4">
        <f>IF(INDEX(Dataset!$H$6:$H$15,MATCH(Neighbors!P112,Dataset!$A$6:$A$15,0))=Dataset!H7,1,0)</f>
        <v>0</v>
      </c>
      <c r="K322" s="4">
        <f>IF(INDEX(Dataset!$H$6:$H$15,MATCH(Neighbors!R112,Dataset!$A$6:$A$15,0))=Dataset!H7,1,0)</f>
        <v>0</v>
      </c>
      <c r="L322" s="27"/>
    </row>
    <row r="323" spans="1:12" ht="25.05" customHeight="1">
      <c r="A323" s="6" t="s">
        <v>17</v>
      </c>
      <c r="B323" s="3">
        <v>2</v>
      </c>
      <c r="C323" s="3">
        <f>IF(INDEX(Dataset!$H$6:$H$15,MATCH(Neighbors!B113,Dataset!$A$6:$A$15,0))=Dataset!H8,1,0)</f>
        <v>1</v>
      </c>
      <c r="D323" s="3">
        <f>IF(INDEX(Dataset!$H$6:$H$15,MATCH(Neighbors!D113,Dataset!$A$6:$A$15,0))=Dataset!H8,1,0)</f>
        <v>1</v>
      </c>
      <c r="E323" s="3">
        <f>IF(INDEX(Dataset!$H$6:$H$15,MATCH(Neighbors!F113,Dataset!$A$6:$A$15,0))=Dataset!H8,1,0)</f>
        <v>0</v>
      </c>
      <c r="F323" s="3">
        <f>IF(INDEX(Dataset!$H$6:$H$15,MATCH(Neighbors!H113,Dataset!$A$6:$A$15,0))=Dataset!H8,1,0)</f>
        <v>1</v>
      </c>
      <c r="G323" s="3">
        <f>IF(INDEX(Dataset!$H$6:$H$15,MATCH(Neighbors!J113,Dataset!$A$6:$A$15,0))=Dataset!H8,1,0)</f>
        <v>0</v>
      </c>
      <c r="H323" s="3">
        <f>IF(INDEX(Dataset!$H$6:$H$15,MATCH(Neighbors!L113,Dataset!$A$6:$A$15,0))=Dataset!H8,1,0)</f>
        <v>0</v>
      </c>
      <c r="I323" s="3">
        <f>IF(INDEX(Dataset!$H$6:$H$15,MATCH(Neighbors!N113,Dataset!$A$6:$A$15,0))=Dataset!H8,1,0)</f>
        <v>0</v>
      </c>
      <c r="J323" s="3">
        <f>IF(INDEX(Dataset!$H$6:$H$15,MATCH(Neighbors!P113,Dataset!$A$6:$A$15,0))=Dataset!H8,1,0)</f>
        <v>0</v>
      </c>
      <c r="K323" s="3">
        <f>IF(INDEX(Dataset!$H$6:$H$15,MATCH(Neighbors!R113,Dataset!$A$6:$A$15,0))=Dataset!H8,1,0)</f>
        <v>0</v>
      </c>
      <c r="L323" s="27"/>
    </row>
    <row r="324" spans="1:12" ht="25.05" customHeight="1">
      <c r="A324" s="7" t="s">
        <v>19</v>
      </c>
      <c r="B324" s="4">
        <v>1</v>
      </c>
      <c r="C324" s="4">
        <f>IF(INDEX(Dataset!$H$6:$H$15,MATCH(Neighbors!B114,Dataset!$A$6:$A$15,0))=Dataset!H9,1,0)</f>
        <v>1</v>
      </c>
      <c r="D324" s="4">
        <f>IF(INDEX(Dataset!$H$6:$H$15,MATCH(Neighbors!D114,Dataset!$A$6:$A$15,0))=Dataset!H9,1,0)</f>
        <v>1</v>
      </c>
      <c r="E324" s="4">
        <f>IF(INDEX(Dataset!$H$6:$H$15,MATCH(Neighbors!F114,Dataset!$A$6:$A$15,0))=Dataset!H9,1,0)</f>
        <v>1</v>
      </c>
      <c r="F324" s="4">
        <f>IF(INDEX(Dataset!$H$6:$H$15,MATCH(Neighbors!H114,Dataset!$A$6:$A$15,0))=Dataset!H9,1,0)</f>
        <v>1</v>
      </c>
      <c r="G324" s="4">
        <f>IF(INDEX(Dataset!$H$6:$H$15,MATCH(Neighbors!J114,Dataset!$A$6:$A$15,0))=Dataset!H9,1,0)</f>
        <v>1</v>
      </c>
      <c r="H324" s="4">
        <f>IF(INDEX(Dataset!$H$6:$H$15,MATCH(Neighbors!L114,Dataset!$A$6:$A$15,0))=Dataset!H9,1,0)</f>
        <v>0</v>
      </c>
      <c r="I324" s="4">
        <f>IF(INDEX(Dataset!$H$6:$H$15,MATCH(Neighbors!N114,Dataset!$A$6:$A$15,0))=Dataset!H9,1,0)</f>
        <v>0</v>
      </c>
      <c r="J324" s="4">
        <f>IF(INDEX(Dataset!$H$6:$H$15,MATCH(Neighbors!P114,Dataset!$A$6:$A$15,0))=Dataset!H9,1,0)</f>
        <v>0</v>
      </c>
      <c r="K324" s="4">
        <f>IF(INDEX(Dataset!$H$6:$H$15,MATCH(Neighbors!R114,Dataset!$A$6:$A$15,0))=Dataset!H9,1,0)</f>
        <v>0</v>
      </c>
      <c r="L324" s="27"/>
    </row>
    <row r="325" spans="1:12" ht="25.05" customHeight="1">
      <c r="A325" s="6" t="s">
        <v>21</v>
      </c>
      <c r="B325" s="3">
        <v>2</v>
      </c>
      <c r="C325" s="3">
        <f>IF(INDEX(Dataset!$H$6:$H$15,MATCH(Neighbors!B115,Dataset!$A$6:$A$15,0))=Dataset!H10,1,0)</f>
        <v>1</v>
      </c>
      <c r="D325" s="3">
        <f>IF(INDEX(Dataset!$H$6:$H$15,MATCH(Neighbors!D115,Dataset!$A$6:$A$15,0))=Dataset!H10,1,0)</f>
        <v>1</v>
      </c>
      <c r="E325" s="3">
        <f>IF(INDEX(Dataset!$H$6:$H$15,MATCH(Neighbors!F115,Dataset!$A$6:$A$15,0))=Dataset!H10,1,0)</f>
        <v>1</v>
      </c>
      <c r="F325" s="3">
        <f>IF(INDEX(Dataset!$H$6:$H$15,MATCH(Neighbors!H115,Dataset!$A$6:$A$15,0))=Dataset!H10,1,0)</f>
        <v>0</v>
      </c>
      <c r="G325" s="3">
        <f>IF(INDEX(Dataset!$H$6:$H$15,MATCH(Neighbors!J115,Dataset!$A$6:$A$15,0))=Dataset!H10,1,0)</f>
        <v>0</v>
      </c>
      <c r="H325" s="3">
        <f>IF(INDEX(Dataset!$H$6:$H$15,MATCH(Neighbors!L115,Dataset!$A$6:$A$15,0))=Dataset!H10,1,0)</f>
        <v>0</v>
      </c>
      <c r="I325" s="3">
        <f>IF(INDEX(Dataset!$H$6:$H$15,MATCH(Neighbors!N115,Dataset!$A$6:$A$15,0))=Dataset!H10,1,0)</f>
        <v>0</v>
      </c>
      <c r="J325" s="3">
        <f>IF(INDEX(Dataset!$H$6:$H$15,MATCH(Neighbors!P115,Dataset!$A$6:$A$15,0))=Dataset!H10,1,0)</f>
        <v>0</v>
      </c>
      <c r="K325" s="3">
        <f>IF(INDEX(Dataset!$H$6:$H$15,MATCH(Neighbors!R115,Dataset!$A$6:$A$15,0))=Dataset!H10,1,0)</f>
        <v>0</v>
      </c>
      <c r="L325" s="27"/>
    </row>
    <row r="326" spans="1:12" ht="25.05" customHeight="1">
      <c r="A326" s="7" t="s">
        <v>23</v>
      </c>
      <c r="B326" s="4">
        <v>1</v>
      </c>
      <c r="C326" s="4">
        <f>IF(INDEX(Dataset!$H$6:$H$15,MATCH(Neighbors!B116,Dataset!$A$6:$A$15,0))=Dataset!H11,1,0)</f>
        <v>1</v>
      </c>
      <c r="D326" s="4">
        <f>IF(INDEX(Dataset!$H$6:$H$15,MATCH(Neighbors!D116,Dataset!$A$6:$A$15,0))=Dataset!H11,1,0)</f>
        <v>1</v>
      </c>
      <c r="E326" s="4">
        <f>IF(INDEX(Dataset!$H$6:$H$15,MATCH(Neighbors!F116,Dataset!$A$6:$A$15,0))=Dataset!H11,1,0)</f>
        <v>1</v>
      </c>
      <c r="F326" s="4">
        <f>IF(INDEX(Dataset!$H$6:$H$15,MATCH(Neighbors!H116,Dataset!$A$6:$A$15,0))=Dataset!H11,1,0)</f>
        <v>1</v>
      </c>
      <c r="G326" s="4">
        <f>IF(INDEX(Dataset!$H$6:$H$15,MATCH(Neighbors!J116,Dataset!$A$6:$A$15,0))=Dataset!H11,1,0)</f>
        <v>0</v>
      </c>
      <c r="H326" s="4">
        <f>IF(INDEX(Dataset!$H$6:$H$15,MATCH(Neighbors!L116,Dataset!$A$6:$A$15,0))=Dataset!H11,1,0)</f>
        <v>1</v>
      </c>
      <c r="I326" s="4">
        <f>IF(INDEX(Dataset!$H$6:$H$15,MATCH(Neighbors!N116,Dataset!$A$6:$A$15,0))=Dataset!H11,1,0)</f>
        <v>0</v>
      </c>
      <c r="J326" s="4">
        <f>IF(INDEX(Dataset!$H$6:$H$15,MATCH(Neighbors!P116,Dataset!$A$6:$A$15,0))=Dataset!H11,1,0)</f>
        <v>0</v>
      </c>
      <c r="K326" s="4">
        <f>IF(INDEX(Dataset!$H$6:$H$15,MATCH(Neighbors!R116,Dataset!$A$6:$A$15,0))=Dataset!H11,1,0)</f>
        <v>0</v>
      </c>
      <c r="L326" s="27"/>
    </row>
    <row r="327" spans="1:12" ht="25.05" customHeight="1">
      <c r="A327" s="6" t="s">
        <v>26</v>
      </c>
      <c r="B327" s="3">
        <v>1</v>
      </c>
      <c r="C327" s="3">
        <f>IF(INDEX(Dataset!$H$6:$H$15,MATCH(Neighbors!B117,Dataset!$A$6:$A$15,0))=Dataset!H12,1,0)</f>
        <v>1</v>
      </c>
      <c r="D327" s="3">
        <f>IF(INDEX(Dataset!$H$6:$H$15,MATCH(Neighbors!D117,Dataset!$A$6:$A$15,0))=Dataset!H12,1,0)</f>
        <v>1</v>
      </c>
      <c r="E327" s="3">
        <f>IF(INDEX(Dataset!$H$6:$H$15,MATCH(Neighbors!F117,Dataset!$A$6:$A$15,0))=Dataset!H12,1,0)</f>
        <v>1</v>
      </c>
      <c r="F327" s="3">
        <f>IF(INDEX(Dataset!$H$6:$H$15,MATCH(Neighbors!H117,Dataset!$A$6:$A$15,0))=Dataset!H12,1,0)</f>
        <v>1</v>
      </c>
      <c r="G327" s="3">
        <f>IF(INDEX(Dataset!$H$6:$H$15,MATCH(Neighbors!J117,Dataset!$A$6:$A$15,0))=Dataset!H12,1,0)</f>
        <v>1</v>
      </c>
      <c r="H327" s="3">
        <f>IF(INDEX(Dataset!$H$6:$H$15,MATCH(Neighbors!L117,Dataset!$A$6:$A$15,0))=Dataset!H12,1,0)</f>
        <v>0</v>
      </c>
      <c r="I327" s="3">
        <f>IF(INDEX(Dataset!$H$6:$H$15,MATCH(Neighbors!N117,Dataset!$A$6:$A$15,0))=Dataset!H12,1,0)</f>
        <v>0</v>
      </c>
      <c r="J327" s="3">
        <f>IF(INDEX(Dataset!$H$6:$H$15,MATCH(Neighbors!P117,Dataset!$A$6:$A$15,0))=Dataset!H12,1,0)</f>
        <v>0</v>
      </c>
      <c r="K327" s="3">
        <f>IF(INDEX(Dataset!$H$6:$H$15,MATCH(Neighbors!R117,Dataset!$A$6:$A$15,0))=Dataset!H12,1,0)</f>
        <v>0</v>
      </c>
      <c r="L327" s="27"/>
    </row>
    <row r="328" spans="1:12" ht="25.05" customHeight="1">
      <c r="A328" s="7" t="s">
        <v>29</v>
      </c>
      <c r="B328" s="4">
        <v>1</v>
      </c>
      <c r="C328" s="4">
        <f>IF(INDEX(Dataset!$H$6:$H$15,MATCH(Neighbors!B118,Dataset!$A$6:$A$15,0))=Dataset!H13,1,0)</f>
        <v>1</v>
      </c>
      <c r="D328" s="4">
        <f>IF(INDEX(Dataset!$H$6:$H$15,MATCH(Neighbors!D118,Dataset!$A$6:$A$15,0))=Dataset!H13,1,0)</f>
        <v>1</v>
      </c>
      <c r="E328" s="4">
        <f>IF(INDEX(Dataset!$H$6:$H$15,MATCH(Neighbors!F118,Dataset!$A$6:$A$15,0))=Dataset!H13,1,0)</f>
        <v>1</v>
      </c>
      <c r="F328" s="4">
        <f>IF(INDEX(Dataset!$H$6:$H$15,MATCH(Neighbors!H118,Dataset!$A$6:$A$15,0))=Dataset!H13,1,0)</f>
        <v>1</v>
      </c>
      <c r="G328" s="4">
        <f>IF(INDEX(Dataset!$H$6:$H$15,MATCH(Neighbors!J118,Dataset!$A$6:$A$15,0))=Dataset!H13,1,0)</f>
        <v>1</v>
      </c>
      <c r="H328" s="4">
        <f>IF(INDEX(Dataset!$H$6:$H$15,MATCH(Neighbors!L118,Dataset!$A$6:$A$15,0))=Dataset!H13,1,0)</f>
        <v>0</v>
      </c>
      <c r="I328" s="4">
        <f>IF(INDEX(Dataset!$H$6:$H$15,MATCH(Neighbors!N118,Dataset!$A$6:$A$15,0))=Dataset!H13,1,0)</f>
        <v>0</v>
      </c>
      <c r="J328" s="4">
        <f>IF(INDEX(Dataset!$H$6:$H$15,MATCH(Neighbors!P118,Dataset!$A$6:$A$15,0))=Dataset!H13,1,0)</f>
        <v>0</v>
      </c>
      <c r="K328" s="4">
        <f>IF(INDEX(Dataset!$H$6:$H$15,MATCH(Neighbors!R118,Dataset!$A$6:$A$15,0))=Dataset!H13,1,0)</f>
        <v>0</v>
      </c>
      <c r="L328" s="27"/>
    </row>
    <row r="329" spans="1:12" ht="25.05" customHeight="1">
      <c r="A329" s="6" t="s">
        <v>32</v>
      </c>
      <c r="B329" s="3">
        <v>2</v>
      </c>
      <c r="C329" s="3">
        <f>IF(INDEX(Dataset!$H$6:$H$15,MATCH(Neighbors!B119,Dataset!$A$6:$A$15,0))=Dataset!H14,1,0)</f>
        <v>1</v>
      </c>
      <c r="D329" s="3">
        <f>IF(INDEX(Dataset!$H$6:$H$15,MATCH(Neighbors!D119,Dataset!$A$6:$A$15,0))=Dataset!H14,1,0)</f>
        <v>1</v>
      </c>
      <c r="E329" s="3">
        <f>IF(INDEX(Dataset!$H$6:$H$15,MATCH(Neighbors!F119,Dataset!$A$6:$A$15,0))=Dataset!H14,1,0)</f>
        <v>1</v>
      </c>
      <c r="F329" s="3">
        <f>IF(INDEX(Dataset!$H$6:$H$15,MATCH(Neighbors!H119,Dataset!$A$6:$A$15,0))=Dataset!H14,1,0)</f>
        <v>0</v>
      </c>
      <c r="G329" s="3">
        <f>IF(INDEX(Dataset!$H$6:$H$15,MATCH(Neighbors!J119,Dataset!$A$6:$A$15,0))=Dataset!H14,1,0)</f>
        <v>0</v>
      </c>
      <c r="H329" s="3">
        <f>IF(INDEX(Dataset!$H$6:$H$15,MATCH(Neighbors!L119,Dataset!$A$6:$A$15,0))=Dataset!H14,1,0)</f>
        <v>0</v>
      </c>
      <c r="I329" s="3">
        <f>IF(INDEX(Dataset!$H$6:$H$15,MATCH(Neighbors!N119,Dataset!$A$6:$A$15,0))=Dataset!H14,1,0)</f>
        <v>0</v>
      </c>
      <c r="J329" s="3">
        <f>IF(INDEX(Dataset!$H$6:$H$15,MATCH(Neighbors!P119,Dataset!$A$6:$A$15,0))=Dataset!H14,1,0)</f>
        <v>0</v>
      </c>
      <c r="K329" s="3">
        <f>IF(INDEX(Dataset!$H$6:$H$15,MATCH(Neighbors!R119,Dataset!$A$6:$A$15,0))=Dataset!H14,1,0)</f>
        <v>0</v>
      </c>
      <c r="L329" s="27"/>
    </row>
    <row r="330" spans="1:12" ht="25.05" customHeight="1">
      <c r="A330" s="8" t="s">
        <v>33</v>
      </c>
      <c r="B330" s="5">
        <v>2</v>
      </c>
      <c r="C330" s="5">
        <f>IF(INDEX(Dataset!$H$6:$H$15,MATCH(Neighbors!B120,Dataset!$A$6:$A$15,0))=Dataset!H15,1,0)</f>
        <v>1</v>
      </c>
      <c r="D330" s="5">
        <f>IF(INDEX(Dataset!$H$6:$H$15,MATCH(Neighbors!D120,Dataset!$A$6:$A$15,0))=Dataset!H15,1,0)</f>
        <v>1</v>
      </c>
      <c r="E330" s="5">
        <f>IF(INDEX(Dataset!$H$6:$H$15,MATCH(Neighbors!F120,Dataset!$A$6:$A$15,0))=Dataset!H15,1,0)</f>
        <v>1</v>
      </c>
      <c r="F330" s="5">
        <f>IF(INDEX(Dataset!$H$6:$H$15,MATCH(Neighbors!H120,Dataset!$A$6:$A$15,0))=Dataset!H15,1,0)</f>
        <v>0</v>
      </c>
      <c r="G330" s="5">
        <f>IF(INDEX(Dataset!$H$6:$H$15,MATCH(Neighbors!J120,Dataset!$A$6:$A$15,0))=Dataset!H15,1,0)</f>
        <v>0</v>
      </c>
      <c r="H330" s="5">
        <f>IF(INDEX(Dataset!$H$6:$H$15,MATCH(Neighbors!L120,Dataset!$A$6:$A$15,0))=Dataset!H15,1,0)</f>
        <v>0</v>
      </c>
      <c r="I330" s="5">
        <f>IF(INDEX(Dataset!$H$6:$H$15,MATCH(Neighbors!N120,Dataset!$A$6:$A$15,0))=Dataset!H15,1,0)</f>
        <v>0</v>
      </c>
      <c r="J330" s="5">
        <f>IF(INDEX(Dataset!$H$6:$H$15,MATCH(Neighbors!P120,Dataset!$A$6:$A$15,0))=Dataset!H15,1,0)</f>
        <v>0</v>
      </c>
      <c r="K330" s="5">
        <f>IF(INDEX(Dataset!$H$6:$H$15,MATCH(Neighbors!R120,Dataset!$A$6:$A$15,0))=Dataset!H15,1,0)</f>
        <v>0</v>
      </c>
      <c r="L330" s="27"/>
    </row>
    <row r="331" spans="1:12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</row>
    <row r="332" spans="1:1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</row>
    <row r="333" spans="1:12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</row>
    <row r="334" spans="1:12" ht="30" customHeight="1">
      <c r="A334" s="35" t="s">
        <v>78</v>
      </c>
      <c r="B334" s="35"/>
      <c r="C334" s="35"/>
      <c r="D334" s="35"/>
      <c r="E334" s="35"/>
      <c r="F334" s="35"/>
      <c r="G334" s="35"/>
      <c r="H334" s="27"/>
      <c r="I334" s="35" t="s">
        <v>79</v>
      </c>
      <c r="J334" s="35"/>
      <c r="K334" s="35"/>
      <c r="L334" s="35"/>
    </row>
    <row r="335" spans="1:12" ht="43.95" customHeight="1">
      <c r="A335" s="2" t="s">
        <v>3</v>
      </c>
      <c r="B335" s="2" t="s">
        <v>10</v>
      </c>
      <c r="C335" s="2" t="s">
        <v>80</v>
      </c>
      <c r="D335" s="2" t="s">
        <v>81</v>
      </c>
      <c r="E335" s="2" t="s">
        <v>82</v>
      </c>
      <c r="F335" s="2" t="s">
        <v>83</v>
      </c>
      <c r="G335" s="2" t="s">
        <v>84</v>
      </c>
      <c r="H335" s="27"/>
      <c r="I335" s="2" t="s">
        <v>3</v>
      </c>
      <c r="J335" s="2" t="s">
        <v>10</v>
      </c>
      <c r="K335" s="2" t="s">
        <v>82</v>
      </c>
      <c r="L335" s="2" t="s">
        <v>84</v>
      </c>
    </row>
    <row r="336" spans="1:12" ht="25.05" customHeight="1">
      <c r="A336" s="6" t="s">
        <v>13</v>
      </c>
      <c r="B336" s="3">
        <v>1</v>
      </c>
      <c r="C336" s="3">
        <f t="shared" ref="C336:C345" si="98">SUM(C321:C321)</f>
        <v>1</v>
      </c>
      <c r="D336" s="3">
        <f t="shared" ref="D336:D345" si="99">SUM(C321:D321)</f>
        <v>2</v>
      </c>
      <c r="E336" s="3">
        <f t="shared" ref="E336:E345" si="100">SUM(C321:E321)</f>
        <v>3</v>
      </c>
      <c r="F336" s="3">
        <f t="shared" ref="F336:F345" si="101">SUM(C321:F321)</f>
        <v>4</v>
      </c>
      <c r="G336" s="3">
        <f t="shared" ref="G336:G345" si="102">SUM(C321:G321)</f>
        <v>5</v>
      </c>
      <c r="H336" s="27"/>
      <c r="I336" s="6" t="s">
        <v>13</v>
      </c>
      <c r="J336" s="3">
        <v>1</v>
      </c>
      <c r="K336" s="3">
        <f t="shared" ref="K336:K345" si="103">E336</f>
        <v>3</v>
      </c>
      <c r="L336" s="3">
        <f t="shared" ref="L336:L345" si="104">G336</f>
        <v>5</v>
      </c>
    </row>
    <row r="337" spans="1:12" ht="25.05" customHeight="1">
      <c r="A337" s="7" t="s">
        <v>15</v>
      </c>
      <c r="B337" s="4">
        <v>1</v>
      </c>
      <c r="C337" s="4">
        <f t="shared" si="98"/>
        <v>1</v>
      </c>
      <c r="D337" s="4">
        <f t="shared" si="99"/>
        <v>2</v>
      </c>
      <c r="E337" s="4">
        <f t="shared" si="100"/>
        <v>3</v>
      </c>
      <c r="F337" s="4">
        <f t="shared" si="101"/>
        <v>4</v>
      </c>
      <c r="G337" s="4">
        <f t="shared" si="102"/>
        <v>4</v>
      </c>
      <c r="H337" s="27"/>
      <c r="I337" s="7" t="s">
        <v>15</v>
      </c>
      <c r="J337" s="4">
        <v>1</v>
      </c>
      <c r="K337" s="4">
        <f t="shared" si="103"/>
        <v>3</v>
      </c>
      <c r="L337" s="4">
        <f t="shared" si="104"/>
        <v>4</v>
      </c>
    </row>
    <row r="338" spans="1:12" ht="25.05" customHeight="1">
      <c r="A338" s="6" t="s">
        <v>17</v>
      </c>
      <c r="B338" s="3">
        <v>2</v>
      </c>
      <c r="C338" s="3">
        <f t="shared" si="98"/>
        <v>1</v>
      </c>
      <c r="D338" s="3">
        <f t="shared" si="99"/>
        <v>2</v>
      </c>
      <c r="E338" s="3">
        <f t="shared" si="100"/>
        <v>2</v>
      </c>
      <c r="F338" s="3">
        <f t="shared" si="101"/>
        <v>3</v>
      </c>
      <c r="G338" s="3">
        <f t="shared" si="102"/>
        <v>3</v>
      </c>
      <c r="H338" s="27"/>
      <c r="I338" s="6" t="s">
        <v>17</v>
      </c>
      <c r="J338" s="3">
        <v>2</v>
      </c>
      <c r="K338" s="3">
        <f t="shared" si="103"/>
        <v>2</v>
      </c>
      <c r="L338" s="3">
        <f t="shared" si="104"/>
        <v>3</v>
      </c>
    </row>
    <row r="339" spans="1:12" ht="25.05" customHeight="1">
      <c r="A339" s="7" t="s">
        <v>19</v>
      </c>
      <c r="B339" s="4">
        <v>1</v>
      </c>
      <c r="C339" s="4">
        <f t="shared" si="98"/>
        <v>1</v>
      </c>
      <c r="D339" s="4">
        <f t="shared" si="99"/>
        <v>2</v>
      </c>
      <c r="E339" s="4">
        <f t="shared" si="100"/>
        <v>3</v>
      </c>
      <c r="F339" s="4">
        <f t="shared" si="101"/>
        <v>4</v>
      </c>
      <c r="G339" s="4">
        <f t="shared" si="102"/>
        <v>5</v>
      </c>
      <c r="H339" s="27"/>
      <c r="I339" s="7" t="s">
        <v>19</v>
      </c>
      <c r="J339" s="4">
        <v>1</v>
      </c>
      <c r="K339" s="4">
        <f t="shared" si="103"/>
        <v>3</v>
      </c>
      <c r="L339" s="4">
        <f t="shared" si="104"/>
        <v>5</v>
      </c>
    </row>
    <row r="340" spans="1:12" ht="25.05" customHeight="1">
      <c r="A340" s="6" t="s">
        <v>21</v>
      </c>
      <c r="B340" s="3">
        <v>2</v>
      </c>
      <c r="C340" s="3">
        <f t="shared" si="98"/>
        <v>1</v>
      </c>
      <c r="D340" s="3">
        <f t="shared" si="99"/>
        <v>2</v>
      </c>
      <c r="E340" s="3">
        <f t="shared" si="100"/>
        <v>3</v>
      </c>
      <c r="F340" s="3">
        <f t="shared" si="101"/>
        <v>3</v>
      </c>
      <c r="G340" s="3">
        <f t="shared" si="102"/>
        <v>3</v>
      </c>
      <c r="H340" s="27"/>
      <c r="I340" s="6" t="s">
        <v>21</v>
      </c>
      <c r="J340" s="3">
        <v>2</v>
      </c>
      <c r="K340" s="3">
        <f t="shared" si="103"/>
        <v>3</v>
      </c>
      <c r="L340" s="3">
        <f t="shared" si="104"/>
        <v>3</v>
      </c>
    </row>
    <row r="341" spans="1:12" ht="25.05" customHeight="1">
      <c r="A341" s="7" t="s">
        <v>23</v>
      </c>
      <c r="B341" s="4">
        <v>1</v>
      </c>
      <c r="C341" s="4">
        <f t="shared" si="98"/>
        <v>1</v>
      </c>
      <c r="D341" s="4">
        <f t="shared" si="99"/>
        <v>2</v>
      </c>
      <c r="E341" s="4">
        <f t="shared" si="100"/>
        <v>3</v>
      </c>
      <c r="F341" s="4">
        <f t="shared" si="101"/>
        <v>4</v>
      </c>
      <c r="G341" s="4">
        <f t="shared" si="102"/>
        <v>4</v>
      </c>
      <c r="H341" s="27"/>
      <c r="I341" s="7" t="s">
        <v>23</v>
      </c>
      <c r="J341" s="4">
        <v>1</v>
      </c>
      <c r="K341" s="4">
        <f t="shared" si="103"/>
        <v>3</v>
      </c>
      <c r="L341" s="4">
        <f t="shared" si="104"/>
        <v>4</v>
      </c>
    </row>
    <row r="342" spans="1:12" ht="25.05" customHeight="1">
      <c r="A342" s="6" t="s">
        <v>26</v>
      </c>
      <c r="B342" s="3">
        <v>1</v>
      </c>
      <c r="C342" s="3">
        <f t="shared" si="98"/>
        <v>1</v>
      </c>
      <c r="D342" s="3">
        <f t="shared" si="99"/>
        <v>2</v>
      </c>
      <c r="E342" s="3">
        <f t="shared" si="100"/>
        <v>3</v>
      </c>
      <c r="F342" s="3">
        <f t="shared" si="101"/>
        <v>4</v>
      </c>
      <c r="G342" s="3">
        <f t="shared" si="102"/>
        <v>5</v>
      </c>
      <c r="H342" s="27"/>
      <c r="I342" s="6" t="s">
        <v>26</v>
      </c>
      <c r="J342" s="3">
        <v>1</v>
      </c>
      <c r="K342" s="3">
        <f t="shared" si="103"/>
        <v>3</v>
      </c>
      <c r="L342" s="3">
        <f t="shared" si="104"/>
        <v>5</v>
      </c>
    </row>
    <row r="343" spans="1:12" ht="25.05" customHeight="1">
      <c r="A343" s="7" t="s">
        <v>29</v>
      </c>
      <c r="B343" s="4">
        <v>1</v>
      </c>
      <c r="C343" s="4">
        <f t="shared" si="98"/>
        <v>1</v>
      </c>
      <c r="D343" s="4">
        <f t="shared" si="99"/>
        <v>2</v>
      </c>
      <c r="E343" s="4">
        <f t="shared" si="100"/>
        <v>3</v>
      </c>
      <c r="F343" s="4">
        <f t="shared" si="101"/>
        <v>4</v>
      </c>
      <c r="G343" s="4">
        <f t="shared" si="102"/>
        <v>5</v>
      </c>
      <c r="H343" s="27"/>
      <c r="I343" s="7" t="s">
        <v>29</v>
      </c>
      <c r="J343" s="4">
        <v>1</v>
      </c>
      <c r="K343" s="4">
        <f t="shared" si="103"/>
        <v>3</v>
      </c>
      <c r="L343" s="4">
        <f t="shared" si="104"/>
        <v>5</v>
      </c>
    </row>
    <row r="344" spans="1:12" ht="25.05" customHeight="1">
      <c r="A344" s="6" t="s">
        <v>32</v>
      </c>
      <c r="B344" s="3">
        <v>2</v>
      </c>
      <c r="C344" s="3">
        <f t="shared" si="98"/>
        <v>1</v>
      </c>
      <c r="D344" s="3">
        <f t="shared" si="99"/>
        <v>2</v>
      </c>
      <c r="E344" s="3">
        <f t="shared" si="100"/>
        <v>3</v>
      </c>
      <c r="F344" s="3">
        <f t="shared" si="101"/>
        <v>3</v>
      </c>
      <c r="G344" s="3">
        <f t="shared" si="102"/>
        <v>3</v>
      </c>
      <c r="H344" s="27"/>
      <c r="I344" s="6" t="s">
        <v>32</v>
      </c>
      <c r="J344" s="3">
        <v>2</v>
      </c>
      <c r="K344" s="3">
        <f t="shared" si="103"/>
        <v>3</v>
      </c>
      <c r="L344" s="3">
        <f t="shared" si="104"/>
        <v>3</v>
      </c>
    </row>
    <row r="345" spans="1:12" ht="25.05" customHeight="1">
      <c r="A345" s="8" t="s">
        <v>33</v>
      </c>
      <c r="B345" s="5">
        <v>2</v>
      </c>
      <c r="C345" s="5">
        <f t="shared" si="98"/>
        <v>1</v>
      </c>
      <c r="D345" s="5">
        <f t="shared" si="99"/>
        <v>2</v>
      </c>
      <c r="E345" s="5">
        <f t="shared" si="100"/>
        <v>3</v>
      </c>
      <c r="F345" s="5">
        <f t="shared" si="101"/>
        <v>3</v>
      </c>
      <c r="G345" s="5">
        <f t="shared" si="102"/>
        <v>3</v>
      </c>
      <c r="H345" s="27"/>
      <c r="I345" s="8" t="s">
        <v>33</v>
      </c>
      <c r="J345" s="5">
        <v>2</v>
      </c>
      <c r="K345" s="5">
        <f t="shared" si="103"/>
        <v>3</v>
      </c>
      <c r="L345" s="5">
        <f t="shared" si="104"/>
        <v>3</v>
      </c>
    </row>
    <row r="346" spans="1:12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</row>
    <row r="347" spans="1:12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</row>
    <row r="348" spans="1:12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</row>
    <row r="349" spans="1:12" ht="30" customHeight="1">
      <c r="A349" s="35" t="s">
        <v>85</v>
      </c>
      <c r="B349" s="35"/>
      <c r="C349" s="35"/>
      <c r="D349" s="35"/>
      <c r="E349" s="35"/>
      <c r="F349" s="35"/>
      <c r="G349" s="35"/>
      <c r="H349" s="27"/>
      <c r="I349" s="35" t="s">
        <v>86</v>
      </c>
      <c r="J349" s="35"/>
      <c r="K349" s="35"/>
      <c r="L349" s="35"/>
    </row>
    <row r="350" spans="1:12" ht="43.95" customHeight="1">
      <c r="A350" s="2" t="s">
        <v>3</v>
      </c>
      <c r="B350" s="2" t="s">
        <v>10</v>
      </c>
      <c r="C350" s="2" t="s">
        <v>87</v>
      </c>
      <c r="D350" s="2" t="s">
        <v>88</v>
      </c>
      <c r="E350" s="2" t="s">
        <v>89</v>
      </c>
      <c r="F350" s="2" t="s">
        <v>90</v>
      </c>
      <c r="G350" s="2" t="s">
        <v>91</v>
      </c>
      <c r="H350" s="27"/>
      <c r="I350" s="2" t="s">
        <v>3</v>
      </c>
      <c r="J350" s="2" t="s">
        <v>10</v>
      </c>
      <c r="K350" s="2" t="s">
        <v>89</v>
      </c>
      <c r="L350" s="2" t="s">
        <v>91</v>
      </c>
    </row>
    <row r="351" spans="1:12" ht="25.05" customHeight="1">
      <c r="A351" s="6" t="s">
        <v>13</v>
      </c>
      <c r="B351" s="3">
        <v>1</v>
      </c>
      <c r="C351" s="3">
        <f t="shared" ref="C351:C360" si="105">IF(C336/1&gt;0.5,1,0)</f>
        <v>1</v>
      </c>
      <c r="D351" s="3">
        <f t="shared" ref="D351:D360" si="106">IF(D336/2&gt;0.5,1,0)</f>
        <v>1</v>
      </c>
      <c r="E351" s="3">
        <f t="shared" ref="E351:E360" si="107">IF(E336/3&gt;0.5,1,0)</f>
        <v>1</v>
      </c>
      <c r="F351" s="3">
        <f t="shared" ref="F351:F360" si="108">IF(F336/4&gt;0.5,1,0)</f>
        <v>1</v>
      </c>
      <c r="G351" s="3">
        <f t="shared" ref="G351:G360" si="109">IF(G336/5&gt;0.5,1,0)</f>
        <v>1</v>
      </c>
      <c r="H351" s="27"/>
      <c r="I351" s="6" t="s">
        <v>13</v>
      </c>
      <c r="J351" s="3">
        <v>1</v>
      </c>
      <c r="K351" s="3">
        <f t="shared" ref="K351:K360" si="110">E351</f>
        <v>1</v>
      </c>
      <c r="L351" s="3">
        <f t="shared" ref="L351:L360" si="111">G351</f>
        <v>1</v>
      </c>
    </row>
    <row r="352" spans="1:12" ht="25.05" customHeight="1">
      <c r="A352" s="7" t="s">
        <v>15</v>
      </c>
      <c r="B352" s="4">
        <v>1</v>
      </c>
      <c r="C352" s="4">
        <f t="shared" si="105"/>
        <v>1</v>
      </c>
      <c r="D352" s="4">
        <f t="shared" si="106"/>
        <v>1</v>
      </c>
      <c r="E352" s="4">
        <f t="shared" si="107"/>
        <v>1</v>
      </c>
      <c r="F352" s="4">
        <f t="shared" si="108"/>
        <v>1</v>
      </c>
      <c r="G352" s="4">
        <f t="shared" si="109"/>
        <v>1</v>
      </c>
      <c r="H352" s="27"/>
      <c r="I352" s="7" t="s">
        <v>15</v>
      </c>
      <c r="J352" s="4">
        <v>1</v>
      </c>
      <c r="K352" s="4">
        <f t="shared" si="110"/>
        <v>1</v>
      </c>
      <c r="L352" s="4">
        <f t="shared" si="111"/>
        <v>1</v>
      </c>
    </row>
    <row r="353" spans="1:12" ht="25.05" customHeight="1">
      <c r="A353" s="6" t="s">
        <v>17</v>
      </c>
      <c r="B353" s="3">
        <v>2</v>
      </c>
      <c r="C353" s="3">
        <f t="shared" si="105"/>
        <v>1</v>
      </c>
      <c r="D353" s="3">
        <f t="shared" si="106"/>
        <v>1</v>
      </c>
      <c r="E353" s="3">
        <f t="shared" si="107"/>
        <v>1</v>
      </c>
      <c r="F353" s="3">
        <f t="shared" si="108"/>
        <v>1</v>
      </c>
      <c r="G353" s="3">
        <f t="shared" si="109"/>
        <v>1</v>
      </c>
      <c r="H353" s="27"/>
      <c r="I353" s="6" t="s">
        <v>17</v>
      </c>
      <c r="J353" s="3">
        <v>2</v>
      </c>
      <c r="K353" s="3">
        <f t="shared" si="110"/>
        <v>1</v>
      </c>
      <c r="L353" s="3">
        <f t="shared" si="111"/>
        <v>1</v>
      </c>
    </row>
    <row r="354" spans="1:12" ht="25.05" customHeight="1">
      <c r="A354" s="7" t="s">
        <v>19</v>
      </c>
      <c r="B354" s="4">
        <v>1</v>
      </c>
      <c r="C354" s="4">
        <f t="shared" si="105"/>
        <v>1</v>
      </c>
      <c r="D354" s="4">
        <f t="shared" si="106"/>
        <v>1</v>
      </c>
      <c r="E354" s="4">
        <f t="shared" si="107"/>
        <v>1</v>
      </c>
      <c r="F354" s="4">
        <f t="shared" si="108"/>
        <v>1</v>
      </c>
      <c r="G354" s="4">
        <f t="shared" si="109"/>
        <v>1</v>
      </c>
      <c r="H354" s="27"/>
      <c r="I354" s="7" t="s">
        <v>19</v>
      </c>
      <c r="J354" s="4">
        <v>1</v>
      </c>
      <c r="K354" s="4">
        <f t="shared" si="110"/>
        <v>1</v>
      </c>
      <c r="L354" s="4">
        <f t="shared" si="111"/>
        <v>1</v>
      </c>
    </row>
    <row r="355" spans="1:12" ht="25.05" customHeight="1">
      <c r="A355" s="6" t="s">
        <v>21</v>
      </c>
      <c r="B355" s="3">
        <v>2</v>
      </c>
      <c r="C355" s="3">
        <f t="shared" si="105"/>
        <v>1</v>
      </c>
      <c r="D355" s="3">
        <f t="shared" si="106"/>
        <v>1</v>
      </c>
      <c r="E355" s="3">
        <f t="shared" si="107"/>
        <v>1</v>
      </c>
      <c r="F355" s="3">
        <f t="shared" si="108"/>
        <v>1</v>
      </c>
      <c r="G355" s="3">
        <f t="shared" si="109"/>
        <v>1</v>
      </c>
      <c r="H355" s="27"/>
      <c r="I355" s="6" t="s">
        <v>21</v>
      </c>
      <c r="J355" s="3">
        <v>2</v>
      </c>
      <c r="K355" s="3">
        <f t="shared" si="110"/>
        <v>1</v>
      </c>
      <c r="L355" s="3">
        <f t="shared" si="111"/>
        <v>1</v>
      </c>
    </row>
    <row r="356" spans="1:12" ht="25.05" customHeight="1">
      <c r="A356" s="7" t="s">
        <v>23</v>
      </c>
      <c r="B356" s="4">
        <v>1</v>
      </c>
      <c r="C356" s="4">
        <f t="shared" si="105"/>
        <v>1</v>
      </c>
      <c r="D356" s="4">
        <f t="shared" si="106"/>
        <v>1</v>
      </c>
      <c r="E356" s="4">
        <f t="shared" si="107"/>
        <v>1</v>
      </c>
      <c r="F356" s="4">
        <f t="shared" si="108"/>
        <v>1</v>
      </c>
      <c r="G356" s="4">
        <f t="shared" si="109"/>
        <v>1</v>
      </c>
      <c r="H356" s="27"/>
      <c r="I356" s="7" t="s">
        <v>23</v>
      </c>
      <c r="J356" s="4">
        <v>1</v>
      </c>
      <c r="K356" s="4">
        <f t="shared" si="110"/>
        <v>1</v>
      </c>
      <c r="L356" s="4">
        <f t="shared" si="111"/>
        <v>1</v>
      </c>
    </row>
    <row r="357" spans="1:12" ht="25.05" customHeight="1">
      <c r="A357" s="6" t="s">
        <v>26</v>
      </c>
      <c r="B357" s="3">
        <v>1</v>
      </c>
      <c r="C357" s="3">
        <f t="shared" si="105"/>
        <v>1</v>
      </c>
      <c r="D357" s="3">
        <f t="shared" si="106"/>
        <v>1</v>
      </c>
      <c r="E357" s="3">
        <f t="shared" si="107"/>
        <v>1</v>
      </c>
      <c r="F357" s="3">
        <f t="shared" si="108"/>
        <v>1</v>
      </c>
      <c r="G357" s="3">
        <f t="shared" si="109"/>
        <v>1</v>
      </c>
      <c r="H357" s="27"/>
      <c r="I357" s="6" t="s">
        <v>26</v>
      </c>
      <c r="J357" s="3">
        <v>1</v>
      </c>
      <c r="K357" s="3">
        <f t="shared" si="110"/>
        <v>1</v>
      </c>
      <c r="L357" s="3">
        <f t="shared" si="111"/>
        <v>1</v>
      </c>
    </row>
    <row r="358" spans="1:12" ht="25.05" customHeight="1">
      <c r="A358" s="7" t="s">
        <v>29</v>
      </c>
      <c r="B358" s="4">
        <v>1</v>
      </c>
      <c r="C358" s="4">
        <f t="shared" si="105"/>
        <v>1</v>
      </c>
      <c r="D358" s="4">
        <f t="shared" si="106"/>
        <v>1</v>
      </c>
      <c r="E358" s="4">
        <f t="shared" si="107"/>
        <v>1</v>
      </c>
      <c r="F358" s="4">
        <f t="shared" si="108"/>
        <v>1</v>
      </c>
      <c r="G358" s="4">
        <f t="shared" si="109"/>
        <v>1</v>
      </c>
      <c r="H358" s="27"/>
      <c r="I358" s="7" t="s">
        <v>29</v>
      </c>
      <c r="J358" s="4">
        <v>1</v>
      </c>
      <c r="K358" s="4">
        <f t="shared" si="110"/>
        <v>1</v>
      </c>
      <c r="L358" s="4">
        <f t="shared" si="111"/>
        <v>1</v>
      </c>
    </row>
    <row r="359" spans="1:12" ht="25.05" customHeight="1">
      <c r="A359" s="6" t="s">
        <v>32</v>
      </c>
      <c r="B359" s="3">
        <v>2</v>
      </c>
      <c r="C359" s="3">
        <f t="shared" si="105"/>
        <v>1</v>
      </c>
      <c r="D359" s="3">
        <f t="shared" si="106"/>
        <v>1</v>
      </c>
      <c r="E359" s="3">
        <f t="shared" si="107"/>
        <v>1</v>
      </c>
      <c r="F359" s="3">
        <f t="shared" si="108"/>
        <v>1</v>
      </c>
      <c r="G359" s="3">
        <f t="shared" si="109"/>
        <v>1</v>
      </c>
      <c r="H359" s="27"/>
      <c r="I359" s="6" t="s">
        <v>32</v>
      </c>
      <c r="J359" s="3">
        <v>2</v>
      </c>
      <c r="K359" s="3">
        <f t="shared" si="110"/>
        <v>1</v>
      </c>
      <c r="L359" s="3">
        <f t="shared" si="111"/>
        <v>1</v>
      </c>
    </row>
    <row r="360" spans="1:12" ht="25.05" customHeight="1">
      <c r="A360" s="8" t="s">
        <v>33</v>
      </c>
      <c r="B360" s="5">
        <v>2</v>
      </c>
      <c r="C360" s="5">
        <f t="shared" si="105"/>
        <v>1</v>
      </c>
      <c r="D360" s="5">
        <f t="shared" si="106"/>
        <v>1</v>
      </c>
      <c r="E360" s="5">
        <f t="shared" si="107"/>
        <v>1</v>
      </c>
      <c r="F360" s="5">
        <f t="shared" si="108"/>
        <v>1</v>
      </c>
      <c r="G360" s="5">
        <f t="shared" si="109"/>
        <v>1</v>
      </c>
      <c r="H360" s="27"/>
      <c r="I360" s="8" t="s">
        <v>33</v>
      </c>
      <c r="J360" s="5">
        <v>2</v>
      </c>
      <c r="K360" s="5">
        <f t="shared" si="110"/>
        <v>1</v>
      </c>
      <c r="L360" s="5">
        <f t="shared" si="111"/>
        <v>1</v>
      </c>
    </row>
  </sheetData>
  <mergeCells count="41">
    <mergeCell ref="A319:K319"/>
    <mergeCell ref="A334:G334"/>
    <mergeCell ref="I334:L334"/>
    <mergeCell ref="A349:G349"/>
    <mergeCell ref="I349:L349"/>
    <mergeCell ref="A274:K274"/>
    <mergeCell ref="A289:G289"/>
    <mergeCell ref="I289:L289"/>
    <mergeCell ref="A304:G304"/>
    <mergeCell ref="I304:L304"/>
    <mergeCell ref="A229:K229"/>
    <mergeCell ref="A244:G244"/>
    <mergeCell ref="I244:L244"/>
    <mergeCell ref="A259:G259"/>
    <mergeCell ref="I259:L259"/>
    <mergeCell ref="A184:K184"/>
    <mergeCell ref="A199:G199"/>
    <mergeCell ref="I199:L199"/>
    <mergeCell ref="A214:G214"/>
    <mergeCell ref="I214:L214"/>
    <mergeCell ref="A139:K139"/>
    <mergeCell ref="A154:G154"/>
    <mergeCell ref="I154:L154"/>
    <mergeCell ref="A169:G169"/>
    <mergeCell ref="I169:L169"/>
    <mergeCell ref="A94:K94"/>
    <mergeCell ref="A109:G109"/>
    <mergeCell ref="I109:L109"/>
    <mergeCell ref="A124:G124"/>
    <mergeCell ref="I124:L124"/>
    <mergeCell ref="A49:K49"/>
    <mergeCell ref="A64:G64"/>
    <mergeCell ref="I64:L64"/>
    <mergeCell ref="A79:G79"/>
    <mergeCell ref="I79:L79"/>
    <mergeCell ref="A2:K2"/>
    <mergeCell ref="A4:K4"/>
    <mergeCell ref="A19:G19"/>
    <mergeCell ref="I19:L19"/>
    <mergeCell ref="A34:G34"/>
    <mergeCell ref="I34:L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46A98"/>
  </sheetPr>
  <dimension ref="A2:K43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6" customWidth="1"/>
    <col min="2" max="2" width="20" customWidth="1"/>
    <col min="3" max="11" width="16" customWidth="1"/>
  </cols>
  <sheetData>
    <row r="2" spans="1:11" ht="36" customHeight="1">
      <c r="A2" s="34" t="s">
        <v>99</v>
      </c>
      <c r="B2" s="34"/>
      <c r="C2" s="34"/>
      <c r="D2" s="34"/>
      <c r="E2" s="34"/>
      <c r="F2" s="34"/>
      <c r="G2" s="34"/>
      <c r="H2" s="34"/>
      <c r="I2" s="34"/>
      <c r="J2" s="34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40</v>
      </c>
      <c r="B4" s="35"/>
      <c r="C4" s="35"/>
      <c r="D4" s="35"/>
      <c r="E4" s="35"/>
      <c r="F4" s="35"/>
      <c r="G4" s="35"/>
      <c r="H4" s="35"/>
      <c r="I4" s="35"/>
      <c r="J4" s="35"/>
      <c r="K4" s="27"/>
    </row>
    <row r="5" spans="1:11" ht="43.95" customHeight="1">
      <c r="A5" s="2" t="s">
        <v>100</v>
      </c>
      <c r="B5" s="2" t="s">
        <v>101</v>
      </c>
      <c r="C5" s="2" t="s">
        <v>102</v>
      </c>
      <c r="D5" s="2" t="s">
        <v>103</v>
      </c>
      <c r="E5" s="2" t="s">
        <v>104</v>
      </c>
      <c r="F5" s="2" t="s">
        <v>105</v>
      </c>
      <c r="G5" s="2" t="s">
        <v>106</v>
      </c>
      <c r="H5" s="2" t="s">
        <v>107</v>
      </c>
      <c r="I5" s="2" t="s">
        <v>108</v>
      </c>
      <c r="J5" s="2" t="s">
        <v>109</v>
      </c>
      <c r="K5" s="27"/>
    </row>
    <row r="6" spans="1:11" ht="25.05" customHeight="1">
      <c r="A6" s="15" t="s">
        <v>110</v>
      </c>
      <c r="B6" s="28" t="str">
        <f>IF(C6&lt;2,"0","1")&amp;MOD(C6,2)</f>
        <v>11</v>
      </c>
      <c r="C6" s="14">
        <v>3</v>
      </c>
      <c r="D6" s="14">
        <f>COUNTIFS('Synthetic Features Space'!$H$6:$H$15,C6,'Synthetic Features Space'!$I$6:$I$15,1)</f>
        <v>6</v>
      </c>
      <c r="E6" s="14">
        <f>COUNTIFS('Synthetic Features Space'!$H$6:$H$15,C6,'Synthetic Features Space'!$I$6:$I$15,2)</f>
        <v>4</v>
      </c>
      <c r="F6" s="14">
        <f>SUM(D6:E6)</f>
        <v>10</v>
      </c>
      <c r="G6" s="14">
        <f>IF(D6&gt;=E6,1,2)</f>
        <v>1</v>
      </c>
      <c r="H6" s="16">
        <f>MAX(D6:E6)/F6</f>
        <v>0.6</v>
      </c>
      <c r="I6" s="15" t="str">
        <f>IF(AND(D6&gt;0,E6&gt;0),"Mixed","Pure")</f>
        <v>Mixed</v>
      </c>
      <c r="J6" s="14">
        <f>1+COUNTIFS($H$6:$H$6,"&gt;"&amp;H6)+COUNTIFS($H$6:$H$6,H6,$F$6:$F$6,"&gt;"&amp;F6)+COUNTIFS($H$6:$H$6,H6,$F$6:$F$6,F6,$C$6:$C$6,"&lt;"&amp;C6)</f>
        <v>1</v>
      </c>
      <c r="K6" s="27"/>
    </row>
    <row r="7" spans="1:1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ht="30" customHeight="1">
      <c r="A9" s="35" t="s">
        <v>41</v>
      </c>
      <c r="B9" s="35"/>
      <c r="C9" s="35"/>
      <c r="D9" s="35"/>
      <c r="E9" s="35"/>
      <c r="F9" s="35"/>
      <c r="G9" s="35"/>
      <c r="H9" s="35"/>
      <c r="I9" s="35"/>
      <c r="J9" s="35"/>
      <c r="K9" s="27"/>
    </row>
    <row r="10" spans="1:11" ht="43.95" customHeight="1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106</v>
      </c>
      <c r="H10" s="2" t="s">
        <v>107</v>
      </c>
      <c r="I10" s="2" t="s">
        <v>108</v>
      </c>
      <c r="J10" s="2" t="s">
        <v>109</v>
      </c>
      <c r="K10" s="27"/>
    </row>
    <row r="11" spans="1:11" ht="25.05" customHeight="1">
      <c r="A11" s="6" t="s">
        <v>111</v>
      </c>
      <c r="B11" s="29" t="str">
        <f>IF(C11&lt;2,"0","1")&amp;MOD(C11,2)</f>
        <v>01</v>
      </c>
      <c r="C11" s="3">
        <v>1</v>
      </c>
      <c r="D11" s="3">
        <f>COUNTIFS('Synthetic Features Space'!$H$21:$H$30,C11,'Synthetic Features Space'!$I$21:$I$30,1)</f>
        <v>0</v>
      </c>
      <c r="E11" s="3">
        <f>COUNTIFS('Synthetic Features Space'!$H$21:$H$30,C11,'Synthetic Features Space'!$I$21:$I$30,2)</f>
        <v>1</v>
      </c>
      <c r="F11" s="3">
        <f>SUM(D11:E11)</f>
        <v>1</v>
      </c>
      <c r="G11" s="3">
        <f>IF(D11&gt;=E11,1,2)</f>
        <v>2</v>
      </c>
      <c r="H11" s="17">
        <f>MAX(D11:E11)/F11</f>
        <v>1</v>
      </c>
      <c r="I11" s="6" t="str">
        <f>IF(AND(D11&gt;0,E11&gt;0),"Mixed","Pure")</f>
        <v>Pure</v>
      </c>
      <c r="J11" s="3">
        <f>1+COUNTIFS($H$11:$H$12,"&gt;"&amp;H11)+COUNTIFS($H$11:$H$12,H11,$F$11:$F$12,"&gt;"&amp;F11)+COUNTIFS($H$11:$H$12,H11,$F$11:$F$12,F11,$C$11:$C$12,"&lt;"&amp;C11)</f>
        <v>1</v>
      </c>
      <c r="K11" s="27"/>
    </row>
    <row r="12" spans="1:11" ht="25.05" customHeight="1">
      <c r="A12" s="8" t="s">
        <v>111</v>
      </c>
      <c r="B12" s="31" t="str">
        <f>IF(C12&lt;2,"0","1")&amp;MOD(C12,2)</f>
        <v>11</v>
      </c>
      <c r="C12" s="5">
        <v>3</v>
      </c>
      <c r="D12" s="5">
        <f>COUNTIFS('Synthetic Features Space'!$H$21:$H$30,C12,'Synthetic Features Space'!$I$21:$I$30,1)</f>
        <v>6</v>
      </c>
      <c r="E12" s="5">
        <f>COUNTIFS('Synthetic Features Space'!$H$21:$H$30,C12,'Synthetic Features Space'!$I$21:$I$30,2)</f>
        <v>3</v>
      </c>
      <c r="F12" s="5">
        <f>SUM(D12:E12)</f>
        <v>9</v>
      </c>
      <c r="G12" s="5">
        <f>IF(D12&gt;=E12,1,2)</f>
        <v>1</v>
      </c>
      <c r="H12" s="18">
        <f>MAX(D12:E12)/F12</f>
        <v>0.66666666666666663</v>
      </c>
      <c r="I12" s="8" t="str">
        <f>IF(AND(D12&gt;0,E12&gt;0),"Mixed","Pure")</f>
        <v>Mixed</v>
      </c>
      <c r="J12" s="5">
        <f>1+COUNTIFS($H$11:$H$12,"&gt;"&amp;H12)+COUNTIFS($H$11:$H$12,H12,$F$11:$F$12,"&gt;"&amp;F12)+COUNTIFS($H$11:$H$12,H12,$F$11:$F$12,F12,$C$11:$C$12,"&lt;"&amp;C12)</f>
        <v>2</v>
      </c>
      <c r="K12" s="27"/>
    </row>
    <row r="13" spans="1:1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 ht="30" customHeight="1">
      <c r="A15" s="35" t="s">
        <v>42</v>
      </c>
      <c r="B15" s="35"/>
      <c r="C15" s="35"/>
      <c r="D15" s="35"/>
      <c r="E15" s="35"/>
      <c r="F15" s="35"/>
      <c r="G15" s="35"/>
      <c r="H15" s="35"/>
      <c r="I15" s="35"/>
      <c r="J15" s="35"/>
      <c r="K15" s="27"/>
    </row>
    <row r="16" spans="1:11" ht="43.95" customHeight="1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107</v>
      </c>
      <c r="I16" s="2" t="s">
        <v>108</v>
      </c>
      <c r="J16" s="2" t="s">
        <v>109</v>
      </c>
      <c r="K16" s="27"/>
    </row>
    <row r="17" spans="1:11" ht="25.05" customHeight="1">
      <c r="A17" s="15" t="s">
        <v>112</v>
      </c>
      <c r="B17" s="28" t="str">
        <f>IF(C17&lt;2,"0","1")&amp;MOD(C17,2)</f>
        <v>11</v>
      </c>
      <c r="C17" s="14">
        <v>3</v>
      </c>
      <c r="D17" s="14">
        <f>COUNTIFS('Synthetic Features Space'!$H$36:$H$45,C17,'Synthetic Features Space'!$I$36:$I$45,1)</f>
        <v>6</v>
      </c>
      <c r="E17" s="14">
        <f>COUNTIFS('Synthetic Features Space'!$H$36:$H$45,C17,'Synthetic Features Space'!$I$36:$I$45,2)</f>
        <v>4</v>
      </c>
      <c r="F17" s="14">
        <f>SUM(D17:E17)</f>
        <v>10</v>
      </c>
      <c r="G17" s="14">
        <f>IF(D17&gt;=E17,1,2)</f>
        <v>1</v>
      </c>
      <c r="H17" s="16">
        <f>MAX(D17:E17)/F17</f>
        <v>0.6</v>
      </c>
      <c r="I17" s="15" t="str">
        <f>IF(AND(D17&gt;0,E17&gt;0),"Mixed","Pure")</f>
        <v>Mixed</v>
      </c>
      <c r="J17" s="14">
        <f>1+COUNTIFS($H$17:$H$17,"&gt;"&amp;H17)+COUNTIFS($H$17:$H$17,H17,$F$17:$F$17,"&gt;"&amp;F17)+COUNTIFS($H$17:$H$17,H17,$F$17:$F$17,F17,$C$17:$C$17,"&lt;"&amp;C17)</f>
        <v>1</v>
      </c>
      <c r="K17" s="27"/>
    </row>
    <row r="18" spans="1:1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30" customHeight="1">
      <c r="A20" s="35" t="s">
        <v>43</v>
      </c>
      <c r="B20" s="35"/>
      <c r="C20" s="35"/>
      <c r="D20" s="35"/>
      <c r="E20" s="35"/>
      <c r="F20" s="35"/>
      <c r="G20" s="35"/>
      <c r="H20" s="35"/>
      <c r="I20" s="35"/>
      <c r="J20" s="35"/>
      <c r="K20" s="27"/>
    </row>
    <row r="21" spans="1:11" ht="43.95" customHeight="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105</v>
      </c>
      <c r="G21" s="2" t="s">
        <v>106</v>
      </c>
      <c r="H21" s="2" t="s">
        <v>107</v>
      </c>
      <c r="I21" s="2" t="s">
        <v>108</v>
      </c>
      <c r="J21" s="2" t="s">
        <v>109</v>
      </c>
      <c r="K21" s="27"/>
    </row>
    <row r="22" spans="1:11" ht="25.05" customHeight="1">
      <c r="A22" s="15" t="s">
        <v>113</v>
      </c>
      <c r="B22" s="28" t="str">
        <f>IF(C22&lt;2,"0","1")&amp;MOD(C22,2)</f>
        <v>11</v>
      </c>
      <c r="C22" s="14">
        <v>3</v>
      </c>
      <c r="D22" s="14">
        <f>COUNTIFS('Synthetic Features Space'!$H$51:$H$60,C22,'Synthetic Features Space'!$I$51:$I$60,1)</f>
        <v>6</v>
      </c>
      <c r="E22" s="14">
        <f>COUNTIFS('Synthetic Features Space'!$H$51:$H$60,C22,'Synthetic Features Space'!$I$51:$I$60,2)</f>
        <v>4</v>
      </c>
      <c r="F22" s="14">
        <f>SUM(D22:E22)</f>
        <v>10</v>
      </c>
      <c r="G22" s="14">
        <f>IF(D22&gt;=E22,1,2)</f>
        <v>1</v>
      </c>
      <c r="H22" s="16">
        <f>MAX(D22:E22)/F22</f>
        <v>0.6</v>
      </c>
      <c r="I22" s="15" t="str">
        <f>IF(AND(D22&gt;0,E22&gt;0),"Mixed","Pure")</f>
        <v>Mixed</v>
      </c>
      <c r="J22" s="14">
        <f>1+COUNTIFS($H$22:$H$22,"&gt;"&amp;H22)+COUNTIFS($H$22:$H$22,H22,$F$22:$F$22,"&gt;"&amp;F22)+COUNTIFS($H$22:$H$22,H22,$F$22:$F$22,F22,$C$22:$C$22,"&lt;"&amp;C22)</f>
        <v>1</v>
      </c>
      <c r="K22" s="27"/>
    </row>
    <row r="23" spans="1:1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30" customHeight="1">
      <c r="A25" s="35" t="s">
        <v>44</v>
      </c>
      <c r="B25" s="35"/>
      <c r="C25" s="35"/>
      <c r="D25" s="35"/>
      <c r="E25" s="35"/>
      <c r="F25" s="35"/>
      <c r="G25" s="35"/>
      <c r="H25" s="35"/>
      <c r="I25" s="35"/>
      <c r="J25" s="35"/>
      <c r="K25" s="27"/>
    </row>
    <row r="26" spans="1:11" ht="43.95" customHeight="1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  <c r="F26" s="2" t="s">
        <v>105</v>
      </c>
      <c r="G26" s="2" t="s">
        <v>106</v>
      </c>
      <c r="H26" s="2" t="s">
        <v>107</v>
      </c>
      <c r="I26" s="2" t="s">
        <v>108</v>
      </c>
      <c r="J26" s="2" t="s">
        <v>109</v>
      </c>
      <c r="K26" s="27"/>
    </row>
    <row r="27" spans="1:11" ht="25.05" customHeight="1">
      <c r="A27" s="15" t="s">
        <v>110</v>
      </c>
      <c r="B27" s="28" t="str">
        <f>IF(C27&lt;2,"0","1")&amp;MOD(C27,2)</f>
        <v>11</v>
      </c>
      <c r="C27" s="14">
        <v>3</v>
      </c>
      <c r="D27" s="14">
        <f>COUNTIFS('Synthetic Features Space'!$H$66:$H$75,C27,'Synthetic Features Space'!$I$66:$I$75,1)</f>
        <v>6</v>
      </c>
      <c r="E27" s="14">
        <f>COUNTIFS('Synthetic Features Space'!$H$66:$H$75,C27,'Synthetic Features Space'!$I$66:$I$75,2)</f>
        <v>4</v>
      </c>
      <c r="F27" s="14">
        <f>SUM(D27:E27)</f>
        <v>10</v>
      </c>
      <c r="G27" s="14">
        <f>IF(D27&gt;=E27,1,2)</f>
        <v>1</v>
      </c>
      <c r="H27" s="16">
        <f>MAX(D27:E27)/F27</f>
        <v>0.6</v>
      </c>
      <c r="I27" s="15" t="str">
        <f>IF(AND(D27&gt;0,E27&gt;0),"Mixed","Pure")</f>
        <v>Mixed</v>
      </c>
      <c r="J27" s="14">
        <f>1+COUNTIFS($H$27:$H$27,"&gt;"&amp;H27)+COUNTIFS($H$27:$H$27,H27,$F$27:$F$27,"&gt;"&amp;F27)+COUNTIFS($H$27:$H$27,H27,$F$27:$F$27,F27,$C$27:$C$27,"&lt;"&amp;C27)</f>
        <v>1</v>
      </c>
      <c r="K27" s="27"/>
    </row>
    <row r="28" spans="1:1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30" customHeight="1">
      <c r="A30" s="35" t="s">
        <v>45</v>
      </c>
      <c r="B30" s="35"/>
      <c r="C30" s="35"/>
      <c r="D30" s="35"/>
      <c r="E30" s="35"/>
      <c r="F30" s="35"/>
      <c r="G30" s="35"/>
      <c r="H30" s="35"/>
      <c r="I30" s="35"/>
      <c r="J30" s="35"/>
      <c r="K30" s="27"/>
    </row>
    <row r="31" spans="1:11" ht="43.95" customHeight="1">
      <c r="A31" s="2" t="s">
        <v>100</v>
      </c>
      <c r="B31" s="2" t="s">
        <v>101</v>
      </c>
      <c r="C31" s="2" t="s">
        <v>102</v>
      </c>
      <c r="D31" s="2" t="s">
        <v>103</v>
      </c>
      <c r="E31" s="2" t="s">
        <v>104</v>
      </c>
      <c r="F31" s="2" t="s">
        <v>105</v>
      </c>
      <c r="G31" s="2" t="s">
        <v>106</v>
      </c>
      <c r="H31" s="2" t="s">
        <v>107</v>
      </c>
      <c r="I31" s="2" t="s">
        <v>108</v>
      </c>
      <c r="J31" s="2" t="s">
        <v>109</v>
      </c>
      <c r="K31" s="27"/>
    </row>
    <row r="32" spans="1:11" ht="25.05" customHeight="1">
      <c r="A32" s="15" t="s">
        <v>111</v>
      </c>
      <c r="B32" s="28" t="str">
        <f>IF(C32&lt;2,"0","1")&amp;MOD(C32,2)</f>
        <v>11</v>
      </c>
      <c r="C32" s="14">
        <v>3</v>
      </c>
      <c r="D32" s="14">
        <f>COUNTIFS('Synthetic Features Space'!$H$81:$H$90,C32,'Synthetic Features Space'!$I$81:$I$90,1)</f>
        <v>6</v>
      </c>
      <c r="E32" s="14">
        <f>COUNTIFS('Synthetic Features Space'!$H$81:$H$90,C32,'Synthetic Features Space'!$I$81:$I$90,2)</f>
        <v>4</v>
      </c>
      <c r="F32" s="14">
        <f>SUM(D32:E32)</f>
        <v>10</v>
      </c>
      <c r="G32" s="14">
        <f>IF(D32&gt;=E32,1,2)</f>
        <v>1</v>
      </c>
      <c r="H32" s="16">
        <f>MAX(D32:E32)/F32</f>
        <v>0.6</v>
      </c>
      <c r="I32" s="15" t="str">
        <f>IF(AND(D32&gt;0,E32&gt;0),"Mixed","Pure")</f>
        <v>Mixed</v>
      </c>
      <c r="J32" s="14">
        <f>1+COUNTIFS($H$32:$H$32,"&gt;"&amp;H32)+COUNTIFS($H$32:$H$32,H32,$F$32:$F$32,"&gt;"&amp;F32)+COUNTIFS($H$32:$H$32,H32,$F$32:$F$32,F32,$C$32:$C$32,"&lt;"&amp;C32)</f>
        <v>1</v>
      </c>
      <c r="K32" s="27"/>
    </row>
    <row r="33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ht="30" customHeight="1">
      <c r="A35" s="35" t="s">
        <v>46</v>
      </c>
      <c r="B35" s="35"/>
      <c r="C35" s="35"/>
      <c r="D35" s="35"/>
      <c r="E35" s="35"/>
      <c r="F35" s="35"/>
      <c r="G35" s="35"/>
      <c r="H35" s="35"/>
      <c r="I35" s="35"/>
      <c r="J35" s="35"/>
      <c r="K35" s="27"/>
    </row>
    <row r="36" spans="1:11" ht="43.95" customHeight="1">
      <c r="A36" s="2" t="s">
        <v>100</v>
      </c>
      <c r="B36" s="2" t="s">
        <v>101</v>
      </c>
      <c r="C36" s="2" t="s">
        <v>102</v>
      </c>
      <c r="D36" s="2" t="s">
        <v>103</v>
      </c>
      <c r="E36" s="2" t="s">
        <v>104</v>
      </c>
      <c r="F36" s="2" t="s">
        <v>105</v>
      </c>
      <c r="G36" s="2" t="s">
        <v>106</v>
      </c>
      <c r="H36" s="2" t="s">
        <v>107</v>
      </c>
      <c r="I36" s="2" t="s">
        <v>108</v>
      </c>
      <c r="J36" s="2" t="s">
        <v>109</v>
      </c>
      <c r="K36" s="27"/>
    </row>
    <row r="37" spans="1:11" ht="25.05" customHeight="1">
      <c r="A37" s="6" t="s">
        <v>112</v>
      </c>
      <c r="B37" s="29" t="str">
        <f>IF(C37&lt;2,"0","1")&amp;MOD(C37,2)</f>
        <v>10</v>
      </c>
      <c r="C37" s="3">
        <v>2</v>
      </c>
      <c r="D37" s="3">
        <f>COUNTIFS('Synthetic Features Space'!$H$96:$H$105,C37,'Synthetic Features Space'!$I$96:$I$105,1)</f>
        <v>1</v>
      </c>
      <c r="E37" s="3">
        <f>COUNTIFS('Synthetic Features Space'!$H$96:$H$105,C37,'Synthetic Features Space'!$I$96:$I$105,2)</f>
        <v>0</v>
      </c>
      <c r="F37" s="3">
        <f>SUM(D37:E37)</f>
        <v>1</v>
      </c>
      <c r="G37" s="3">
        <f>IF(D37&gt;=E37,1,2)</f>
        <v>1</v>
      </c>
      <c r="H37" s="17">
        <f>MAX(D37:E37)/F37</f>
        <v>1</v>
      </c>
      <c r="I37" s="6" t="str">
        <f>IF(AND(D37&gt;0,E37&gt;0),"Mixed","Pure")</f>
        <v>Pure</v>
      </c>
      <c r="J37" s="3">
        <f>1+COUNTIFS($H$37:$H$38,"&gt;"&amp;H37)+COUNTIFS($H$37:$H$38,H37,$F$37:$F$38,"&gt;"&amp;F37)+COUNTIFS($H$37:$H$38,H37,$F$37:$F$38,F37,$C$37:$C$38,"&lt;"&amp;C37)</f>
        <v>1</v>
      </c>
      <c r="K37" s="27"/>
    </row>
    <row r="38" spans="1:11" ht="25.05" customHeight="1">
      <c r="A38" s="8" t="s">
        <v>112</v>
      </c>
      <c r="B38" s="31" t="str">
        <f>IF(C38&lt;2,"0","1")&amp;MOD(C38,2)</f>
        <v>11</v>
      </c>
      <c r="C38" s="5">
        <v>3</v>
      </c>
      <c r="D38" s="5">
        <f>COUNTIFS('Synthetic Features Space'!$H$96:$H$105,C38,'Synthetic Features Space'!$I$96:$I$105,1)</f>
        <v>5</v>
      </c>
      <c r="E38" s="5">
        <f>COUNTIFS('Synthetic Features Space'!$H$96:$H$105,C38,'Synthetic Features Space'!$I$96:$I$105,2)</f>
        <v>4</v>
      </c>
      <c r="F38" s="5">
        <f>SUM(D38:E38)</f>
        <v>9</v>
      </c>
      <c r="G38" s="5">
        <f>IF(D38&gt;=E38,1,2)</f>
        <v>1</v>
      </c>
      <c r="H38" s="18">
        <f>MAX(D38:E38)/F38</f>
        <v>0.55555555555555558</v>
      </c>
      <c r="I38" s="8" t="str">
        <f>IF(AND(D38&gt;0,E38&gt;0),"Mixed","Pure")</f>
        <v>Mixed</v>
      </c>
      <c r="J38" s="5">
        <f>1+COUNTIFS($H$37:$H$38,"&gt;"&amp;H38)+COUNTIFS($H$37:$H$38,H38,$F$37:$F$38,"&gt;"&amp;F38)+COUNTIFS($H$37:$H$38,H38,$F$37:$F$38,F38,$C$37:$C$38,"&lt;"&amp;C38)</f>
        <v>2</v>
      </c>
      <c r="K38" s="27"/>
    </row>
    <row r="39" spans="1:1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ht="30" customHeight="1">
      <c r="A41" s="35" t="s">
        <v>47</v>
      </c>
      <c r="B41" s="35"/>
      <c r="C41" s="35"/>
      <c r="D41" s="35"/>
      <c r="E41" s="35"/>
      <c r="F41" s="35"/>
      <c r="G41" s="35"/>
      <c r="H41" s="35"/>
      <c r="I41" s="35"/>
      <c r="J41" s="35"/>
      <c r="K41" s="27"/>
    </row>
    <row r="42" spans="1:11" ht="43.95" customHeight="1">
      <c r="A42" s="2" t="s">
        <v>100</v>
      </c>
      <c r="B42" s="2" t="s">
        <v>101</v>
      </c>
      <c r="C42" s="2" t="s">
        <v>102</v>
      </c>
      <c r="D42" s="2" t="s">
        <v>103</v>
      </c>
      <c r="E42" s="2" t="s">
        <v>104</v>
      </c>
      <c r="F42" s="2" t="s">
        <v>105</v>
      </c>
      <c r="G42" s="2" t="s">
        <v>106</v>
      </c>
      <c r="H42" s="2" t="s">
        <v>107</v>
      </c>
      <c r="I42" s="2" t="s">
        <v>108</v>
      </c>
      <c r="J42" s="2" t="s">
        <v>109</v>
      </c>
      <c r="K42" s="27"/>
    </row>
    <row r="43" spans="1:11" ht="25.05" customHeight="1">
      <c r="A43" s="15" t="s">
        <v>113</v>
      </c>
      <c r="B43" s="28" t="str">
        <f>IF(C43&lt;2,"0","1")&amp;MOD(C43,2)</f>
        <v>11</v>
      </c>
      <c r="C43" s="14">
        <v>3</v>
      </c>
      <c r="D43" s="14">
        <f>COUNTIFS('Synthetic Features Space'!$H$111:$H$120,C43,'Synthetic Features Space'!$I$111:$I$120,1)</f>
        <v>6</v>
      </c>
      <c r="E43" s="14">
        <f>COUNTIFS('Synthetic Features Space'!$H$111:$H$120,C43,'Synthetic Features Space'!$I$111:$I$120,2)</f>
        <v>4</v>
      </c>
      <c r="F43" s="14">
        <f>SUM(D43:E43)</f>
        <v>10</v>
      </c>
      <c r="G43" s="14">
        <f>IF(D43&gt;=E43,1,2)</f>
        <v>1</v>
      </c>
      <c r="H43" s="16">
        <f>MAX(D43:E43)/F43</f>
        <v>0.6</v>
      </c>
      <c r="I43" s="15" t="str">
        <f>IF(AND(D43&gt;0,E43&gt;0),"Mixed","Pure")</f>
        <v>Mixed</v>
      </c>
      <c r="J43" s="14">
        <f>1+COUNTIFS($H$43:$H$43,"&gt;"&amp;H43)+COUNTIFS($H$43:$H$43,H43,$F$43:$F$43,"&gt;"&amp;F43)+COUNTIFS($H$43:$H$43,H43,$F$43:$F$43,F43,$C$43:$C$43,"&lt;"&amp;C43)</f>
        <v>1</v>
      </c>
      <c r="K43" s="27"/>
    </row>
  </sheetData>
  <mergeCells count="9">
    <mergeCell ref="A30:J30"/>
    <mergeCell ref="A35:J35"/>
    <mergeCell ref="A41:J41"/>
    <mergeCell ref="A2:J2"/>
    <mergeCell ref="A4:J4"/>
    <mergeCell ref="A9:J9"/>
    <mergeCell ref="A15:J15"/>
    <mergeCell ref="A20:J20"/>
    <mergeCell ref="A25:J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46A98"/>
  </sheetPr>
  <dimension ref="A2:K52"/>
  <sheetViews>
    <sheetView showGridLines="0" workbookViewId="0">
      <pane ySplit="5" topLeftCell="A6" activePane="bottomLeft" state="frozen"/>
      <selection pane="bottomLeft" activeCell="A4" sqref="A4:I4"/>
    </sheetView>
  </sheetViews>
  <sheetFormatPr defaultRowHeight="13.8"/>
  <cols>
    <col min="1" max="1" width="16" customWidth="1"/>
    <col min="2" max="4" width="19" customWidth="1"/>
    <col min="5" max="11" width="16" customWidth="1"/>
  </cols>
  <sheetData>
    <row r="2" spans="1:11" ht="36" customHeight="1">
      <c r="A2" s="34" t="s">
        <v>114</v>
      </c>
      <c r="B2" s="34"/>
      <c r="C2" s="34"/>
      <c r="D2" s="34"/>
      <c r="E2" s="34"/>
      <c r="F2" s="34"/>
      <c r="G2" s="34"/>
      <c r="H2" s="34"/>
      <c r="I2" s="34"/>
      <c r="J2" s="1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40</v>
      </c>
      <c r="B4" s="35"/>
      <c r="C4" s="35"/>
      <c r="D4" s="35"/>
      <c r="E4" s="35"/>
      <c r="F4" s="35"/>
      <c r="G4" s="35"/>
      <c r="H4" s="35"/>
      <c r="I4" s="35"/>
      <c r="J4" s="27"/>
      <c r="K4" s="27"/>
    </row>
    <row r="5" spans="1:11" ht="43.95" customHeight="1">
      <c r="A5" s="2" t="s">
        <v>100</v>
      </c>
      <c r="B5" s="2" t="s">
        <v>115</v>
      </c>
      <c r="C5" s="2" t="s">
        <v>116</v>
      </c>
      <c r="D5" s="2" t="s">
        <v>101</v>
      </c>
      <c r="E5" s="2" t="s">
        <v>102</v>
      </c>
      <c r="F5" s="2" t="s">
        <v>103</v>
      </c>
      <c r="G5" s="2" t="s">
        <v>104</v>
      </c>
      <c r="H5" s="2" t="s">
        <v>105</v>
      </c>
      <c r="I5" s="2" t="s">
        <v>117</v>
      </c>
      <c r="J5" s="27"/>
      <c r="K5" s="27"/>
    </row>
    <row r="6" spans="1:11" ht="25.05" customHeight="1">
      <c r="A6" s="6" t="s">
        <v>110</v>
      </c>
      <c r="B6" s="6" t="s">
        <v>89</v>
      </c>
      <c r="C6" s="6" t="str">
        <f>"3"</f>
        <v>3</v>
      </c>
      <c r="D6" s="32" t="str">
        <f>"1"</f>
        <v>1</v>
      </c>
      <c r="E6" s="3">
        <v>1</v>
      </c>
      <c r="F6" s="3">
        <f>COUNTIFS('Synthetic Features Space'!$G$6:$G$15,E6,'Synthetic Features Space'!$I$6:$I$15,1)</f>
        <v>6</v>
      </c>
      <c r="G6" s="3">
        <f>COUNTIFS('Synthetic Features Space'!$G$6:$G$15,E6,'Synthetic Features Space'!$I$6:$I$15,2)</f>
        <v>4</v>
      </c>
      <c r="H6" s="3">
        <f>SUM(F6:G6)</f>
        <v>10</v>
      </c>
      <c r="I6" s="11">
        <f>(F6/Dataset!K8)/(F6/Dataset!K8+G6/Dataset!K9)</f>
        <v>0.5</v>
      </c>
      <c r="J6" s="27"/>
      <c r="K6" s="27"/>
    </row>
    <row r="7" spans="1:11" ht="25.05" customHeight="1">
      <c r="A7" s="8" t="s">
        <v>110</v>
      </c>
      <c r="B7" s="8" t="s">
        <v>118</v>
      </c>
      <c r="C7" s="8" t="s">
        <v>28</v>
      </c>
      <c r="D7" s="31" t="str">
        <f>"11"</f>
        <v>11</v>
      </c>
      <c r="E7" s="5">
        <v>3</v>
      </c>
      <c r="F7" s="5">
        <f>COUNTIFS('Synthetic Features Space'!$H$6:$H$15,E7,'Synthetic Features Space'!$I$6:$I$15,1)</f>
        <v>6</v>
      </c>
      <c r="G7" s="5">
        <f>COUNTIFS('Synthetic Features Space'!$H$6:$H$15,E7,'Synthetic Features Space'!$I$6:$I$15,2)</f>
        <v>4</v>
      </c>
      <c r="H7" s="5">
        <f>SUM(F7:G7)</f>
        <v>10</v>
      </c>
      <c r="I7" s="13">
        <f>(F7/Dataset!K8)/(F7/Dataset!K8+G7/Dataset!K9)</f>
        <v>0.5</v>
      </c>
      <c r="J7" s="27"/>
      <c r="K7" s="27"/>
    </row>
    <row r="8" spans="1:1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30" customHeight="1">
      <c r="A10" s="35" t="s">
        <v>41</v>
      </c>
      <c r="B10" s="35"/>
      <c r="C10" s="35"/>
      <c r="D10" s="35"/>
      <c r="E10" s="35"/>
      <c r="F10" s="35"/>
      <c r="G10" s="35"/>
      <c r="H10" s="35"/>
      <c r="I10" s="35"/>
      <c r="J10" s="27"/>
      <c r="K10" s="27"/>
    </row>
    <row r="11" spans="1:11" ht="43.95" customHeight="1">
      <c r="A11" s="2" t="s">
        <v>100</v>
      </c>
      <c r="B11" s="2" t="s">
        <v>115</v>
      </c>
      <c r="C11" s="2" t="s">
        <v>116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 t="s">
        <v>117</v>
      </c>
      <c r="J11" s="27"/>
      <c r="K11" s="27"/>
    </row>
    <row r="12" spans="1:11" ht="25.05" customHeight="1">
      <c r="A12" s="6" t="s">
        <v>111</v>
      </c>
      <c r="B12" s="6" t="s">
        <v>89</v>
      </c>
      <c r="C12" s="6" t="str">
        <f>"3"</f>
        <v>3</v>
      </c>
      <c r="D12" s="32" t="str">
        <f>"0"</f>
        <v>0</v>
      </c>
      <c r="E12" s="3">
        <v>0</v>
      </c>
      <c r="F12" s="3">
        <f>COUNTIFS('Synthetic Features Space'!$G$21:$G$30,E12,'Synthetic Features Space'!$I$21:$I$30,1)</f>
        <v>0</v>
      </c>
      <c r="G12" s="3">
        <f>COUNTIFS('Synthetic Features Space'!$G$21:$G$30,E12,'Synthetic Features Space'!$I$21:$I$30,2)</f>
        <v>1</v>
      </c>
      <c r="H12" s="3">
        <f>SUM(F12:G12)</f>
        <v>1</v>
      </c>
      <c r="I12" s="11">
        <f>(F12/Dataset!K8)/(F12/Dataset!K8+G12/Dataset!K9)</f>
        <v>0</v>
      </c>
      <c r="J12" s="27"/>
      <c r="K12" s="27"/>
    </row>
    <row r="13" spans="1:11" ht="25.05" customHeight="1">
      <c r="A13" s="7" t="s">
        <v>111</v>
      </c>
      <c r="B13" s="7" t="s">
        <v>89</v>
      </c>
      <c r="C13" s="7" t="str">
        <f>"3"</f>
        <v>3</v>
      </c>
      <c r="D13" s="33" t="str">
        <f>"1"</f>
        <v>1</v>
      </c>
      <c r="E13" s="4">
        <v>1</v>
      </c>
      <c r="F13" s="4">
        <f>COUNTIFS('Synthetic Features Space'!$G$21:$G$30,E13,'Synthetic Features Space'!$I$21:$I$30,1)</f>
        <v>6</v>
      </c>
      <c r="G13" s="4">
        <f>COUNTIFS('Synthetic Features Space'!$G$21:$G$30,E13,'Synthetic Features Space'!$I$21:$I$30,2)</f>
        <v>3</v>
      </c>
      <c r="H13" s="4">
        <f>SUM(F13:G13)</f>
        <v>9</v>
      </c>
      <c r="I13" s="12">
        <f>(F13/Dataset!K8)/(F13/Dataset!K8+G13/Dataset!K9)</f>
        <v>0.5714285714285714</v>
      </c>
      <c r="J13" s="27"/>
      <c r="K13" s="27"/>
    </row>
    <row r="14" spans="1:11" ht="25.05" customHeight="1">
      <c r="A14" s="6" t="s">
        <v>111</v>
      </c>
      <c r="B14" s="6" t="s">
        <v>118</v>
      </c>
      <c r="C14" s="6" t="s">
        <v>28</v>
      </c>
      <c r="D14" s="29" t="str">
        <f>"01"</f>
        <v>01</v>
      </c>
      <c r="E14" s="3">
        <v>1</v>
      </c>
      <c r="F14" s="3">
        <f>COUNTIFS('Synthetic Features Space'!$H$21:$H$30,E14,'Synthetic Features Space'!$I$21:$I$30,1)</f>
        <v>0</v>
      </c>
      <c r="G14" s="3">
        <f>COUNTIFS('Synthetic Features Space'!$H$21:$H$30,E14,'Synthetic Features Space'!$I$21:$I$30,2)</f>
        <v>1</v>
      </c>
      <c r="H14" s="3">
        <f>SUM(F14:G14)</f>
        <v>1</v>
      </c>
      <c r="I14" s="11">
        <f>(F14/Dataset!K8)/(F14/Dataset!K8+G14/Dataset!K9)</f>
        <v>0</v>
      </c>
      <c r="J14" s="27"/>
      <c r="K14" s="27"/>
    </row>
    <row r="15" spans="1:11" ht="25.05" customHeight="1">
      <c r="A15" s="8" t="s">
        <v>111</v>
      </c>
      <c r="B15" s="8" t="s">
        <v>118</v>
      </c>
      <c r="C15" s="8" t="s">
        <v>28</v>
      </c>
      <c r="D15" s="31" t="str">
        <f>"11"</f>
        <v>11</v>
      </c>
      <c r="E15" s="5">
        <v>3</v>
      </c>
      <c r="F15" s="5">
        <f>COUNTIFS('Synthetic Features Space'!$H$21:$H$30,E15,'Synthetic Features Space'!$I$21:$I$30,1)</f>
        <v>6</v>
      </c>
      <c r="G15" s="5">
        <f>COUNTIFS('Synthetic Features Space'!$H$21:$H$30,E15,'Synthetic Features Space'!$I$21:$I$30,2)</f>
        <v>3</v>
      </c>
      <c r="H15" s="5">
        <f>SUM(F15:G15)</f>
        <v>9</v>
      </c>
      <c r="I15" s="13">
        <f>(F15/Dataset!K8)/(F15/Dataset!K8+G15/Dataset!K9)</f>
        <v>0.5714285714285714</v>
      </c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30" customHeight="1">
      <c r="A18" s="35" t="s">
        <v>42</v>
      </c>
      <c r="B18" s="35"/>
      <c r="C18" s="35"/>
      <c r="D18" s="35"/>
      <c r="E18" s="35"/>
      <c r="F18" s="35"/>
      <c r="G18" s="35"/>
      <c r="H18" s="35"/>
      <c r="I18" s="35"/>
      <c r="J18" s="27"/>
      <c r="K18" s="27"/>
    </row>
    <row r="19" spans="1:11" ht="43.95" customHeight="1">
      <c r="A19" s="2" t="s">
        <v>100</v>
      </c>
      <c r="B19" s="2" t="s">
        <v>115</v>
      </c>
      <c r="C19" s="2" t="s">
        <v>116</v>
      </c>
      <c r="D19" s="2" t="s">
        <v>101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117</v>
      </c>
      <c r="J19" s="27"/>
      <c r="K19" s="27"/>
    </row>
    <row r="20" spans="1:11" ht="25.05" customHeight="1">
      <c r="A20" s="6" t="s">
        <v>112</v>
      </c>
      <c r="B20" s="6" t="s">
        <v>89</v>
      </c>
      <c r="C20" s="6" t="str">
        <f>"3"</f>
        <v>3</v>
      </c>
      <c r="D20" s="32" t="str">
        <f>"1"</f>
        <v>1</v>
      </c>
      <c r="E20" s="3">
        <v>1</v>
      </c>
      <c r="F20" s="3">
        <f>COUNTIFS('Synthetic Features Space'!$G$36:$G$45,E20,'Synthetic Features Space'!$I$36:$I$45,1)</f>
        <v>6</v>
      </c>
      <c r="G20" s="3">
        <f>COUNTIFS('Synthetic Features Space'!$G$36:$G$45,E20,'Synthetic Features Space'!$I$36:$I$45,2)</f>
        <v>4</v>
      </c>
      <c r="H20" s="3">
        <f>SUM(F20:G20)</f>
        <v>10</v>
      </c>
      <c r="I20" s="11">
        <f>(F20/Dataset!K8)/(F20/Dataset!K8+G20/Dataset!K9)</f>
        <v>0.5</v>
      </c>
      <c r="J20" s="27"/>
      <c r="K20" s="27"/>
    </row>
    <row r="21" spans="1:11" ht="25.05" customHeight="1">
      <c r="A21" s="8" t="s">
        <v>112</v>
      </c>
      <c r="B21" s="8" t="s">
        <v>118</v>
      </c>
      <c r="C21" s="8" t="s">
        <v>28</v>
      </c>
      <c r="D21" s="31" t="str">
        <f>"11"</f>
        <v>11</v>
      </c>
      <c r="E21" s="5">
        <v>3</v>
      </c>
      <c r="F21" s="5">
        <f>COUNTIFS('Synthetic Features Space'!$H$36:$H$45,E21,'Synthetic Features Space'!$I$36:$I$45,1)</f>
        <v>6</v>
      </c>
      <c r="G21" s="5">
        <f>COUNTIFS('Synthetic Features Space'!$H$36:$H$45,E21,'Synthetic Features Space'!$I$36:$I$45,2)</f>
        <v>4</v>
      </c>
      <c r="H21" s="5">
        <f>SUM(F21:G21)</f>
        <v>10</v>
      </c>
      <c r="I21" s="13">
        <f>(F21/Dataset!K8)/(F21/Dataset!K8+G21/Dataset!K9)</f>
        <v>0.5</v>
      </c>
      <c r="J21" s="27"/>
      <c r="K21" s="27"/>
    </row>
    <row r="22" spans="1:1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1:1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30" customHeight="1">
      <c r="A24" s="35" t="s">
        <v>43</v>
      </c>
      <c r="B24" s="35"/>
      <c r="C24" s="35"/>
      <c r="D24" s="35"/>
      <c r="E24" s="35"/>
      <c r="F24" s="35"/>
      <c r="G24" s="35"/>
      <c r="H24" s="35"/>
      <c r="I24" s="35"/>
      <c r="J24" s="27"/>
      <c r="K24" s="27"/>
    </row>
    <row r="25" spans="1:11" ht="43.95" customHeight="1">
      <c r="A25" s="2" t="s">
        <v>100</v>
      </c>
      <c r="B25" s="2" t="s">
        <v>115</v>
      </c>
      <c r="C25" s="2" t="s">
        <v>116</v>
      </c>
      <c r="D25" s="2" t="s">
        <v>101</v>
      </c>
      <c r="E25" s="2" t="s">
        <v>102</v>
      </c>
      <c r="F25" s="2" t="s">
        <v>103</v>
      </c>
      <c r="G25" s="2" t="s">
        <v>104</v>
      </c>
      <c r="H25" s="2" t="s">
        <v>105</v>
      </c>
      <c r="I25" s="2" t="s">
        <v>117</v>
      </c>
      <c r="J25" s="27"/>
      <c r="K25" s="27"/>
    </row>
    <row r="26" spans="1:11" ht="25.05" customHeight="1">
      <c r="A26" s="6" t="s">
        <v>113</v>
      </c>
      <c r="B26" s="6" t="s">
        <v>89</v>
      </c>
      <c r="C26" s="6" t="str">
        <f>"3"</f>
        <v>3</v>
      </c>
      <c r="D26" s="32" t="str">
        <f>"1"</f>
        <v>1</v>
      </c>
      <c r="E26" s="3">
        <v>1</v>
      </c>
      <c r="F26" s="3">
        <f>COUNTIFS('Synthetic Features Space'!$G$51:$G$60,E26,'Synthetic Features Space'!$I$51:$I$60,1)</f>
        <v>6</v>
      </c>
      <c r="G26" s="3">
        <f>COUNTIFS('Synthetic Features Space'!$G$51:$G$60,E26,'Synthetic Features Space'!$I$51:$I$60,2)</f>
        <v>4</v>
      </c>
      <c r="H26" s="3">
        <f>SUM(F26:G26)</f>
        <v>10</v>
      </c>
      <c r="I26" s="11">
        <f>(F26/Dataset!K8)/(F26/Dataset!K8+G26/Dataset!K9)</f>
        <v>0.5</v>
      </c>
      <c r="J26" s="27"/>
      <c r="K26" s="27"/>
    </row>
    <row r="27" spans="1:11" ht="25.05" customHeight="1">
      <c r="A27" s="8" t="s">
        <v>113</v>
      </c>
      <c r="B27" s="8" t="s">
        <v>118</v>
      </c>
      <c r="C27" s="8" t="s">
        <v>28</v>
      </c>
      <c r="D27" s="31" t="str">
        <f>"11"</f>
        <v>11</v>
      </c>
      <c r="E27" s="5">
        <v>3</v>
      </c>
      <c r="F27" s="5">
        <f>COUNTIFS('Synthetic Features Space'!$H$51:$H$60,E27,'Synthetic Features Space'!$I$51:$I$60,1)</f>
        <v>6</v>
      </c>
      <c r="G27" s="5">
        <f>COUNTIFS('Synthetic Features Space'!$H$51:$H$60,E27,'Synthetic Features Space'!$I$51:$I$60,2)</f>
        <v>4</v>
      </c>
      <c r="H27" s="5">
        <f>SUM(F27:G27)</f>
        <v>10</v>
      </c>
      <c r="I27" s="13">
        <f>(F27/Dataset!K8)/(F27/Dataset!K8+G27/Dataset!K9)</f>
        <v>0.5</v>
      </c>
      <c r="J27" s="27"/>
      <c r="K27" s="27"/>
    </row>
    <row r="28" spans="1:1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30" customHeight="1">
      <c r="A30" s="35" t="s">
        <v>44</v>
      </c>
      <c r="B30" s="35"/>
      <c r="C30" s="35"/>
      <c r="D30" s="35"/>
      <c r="E30" s="35"/>
      <c r="F30" s="35"/>
      <c r="G30" s="35"/>
      <c r="H30" s="35"/>
      <c r="I30" s="35"/>
      <c r="J30" s="27"/>
      <c r="K30" s="27"/>
    </row>
    <row r="31" spans="1:11" ht="43.95" customHeight="1">
      <c r="A31" s="2" t="s">
        <v>100</v>
      </c>
      <c r="B31" s="2" t="s">
        <v>115</v>
      </c>
      <c r="C31" s="2" t="s">
        <v>116</v>
      </c>
      <c r="D31" s="2" t="s">
        <v>101</v>
      </c>
      <c r="E31" s="2" t="s">
        <v>102</v>
      </c>
      <c r="F31" s="2" t="s">
        <v>103</v>
      </c>
      <c r="G31" s="2" t="s">
        <v>104</v>
      </c>
      <c r="H31" s="2" t="s">
        <v>105</v>
      </c>
      <c r="I31" s="2" t="s">
        <v>117</v>
      </c>
      <c r="J31" s="27"/>
      <c r="K31" s="27"/>
    </row>
    <row r="32" spans="1:11" ht="25.05" customHeight="1">
      <c r="A32" s="6" t="s">
        <v>110</v>
      </c>
      <c r="B32" s="6" t="s">
        <v>89</v>
      </c>
      <c r="C32" s="6" t="str">
        <f>"3"</f>
        <v>3</v>
      </c>
      <c r="D32" s="32" t="str">
        <f>"1"</f>
        <v>1</v>
      </c>
      <c r="E32" s="3">
        <v>1</v>
      </c>
      <c r="F32" s="3">
        <f>COUNTIFS('Synthetic Features Space'!$G$66:$G$75,E32,'Synthetic Features Space'!$I$66:$I$75,1)</f>
        <v>6</v>
      </c>
      <c r="G32" s="3">
        <f>COUNTIFS('Synthetic Features Space'!$G$66:$G$75,E32,'Synthetic Features Space'!$I$66:$I$75,2)</f>
        <v>4</v>
      </c>
      <c r="H32" s="3">
        <f>SUM(F32:G32)</f>
        <v>10</v>
      </c>
      <c r="I32" s="11">
        <f>(F32/Dataset!K8)/(F32/Dataset!K8+G32/Dataset!K9)</f>
        <v>0.5</v>
      </c>
      <c r="J32" s="27"/>
      <c r="K32" s="27"/>
    </row>
    <row r="33" spans="1:11" ht="25.05" customHeight="1">
      <c r="A33" s="8" t="s">
        <v>110</v>
      </c>
      <c r="B33" s="8" t="s">
        <v>118</v>
      </c>
      <c r="C33" s="8" t="s">
        <v>28</v>
      </c>
      <c r="D33" s="31" t="str">
        <f>"11"</f>
        <v>11</v>
      </c>
      <c r="E33" s="5">
        <v>3</v>
      </c>
      <c r="F33" s="5">
        <f>COUNTIFS('Synthetic Features Space'!$H$66:$H$75,E33,'Synthetic Features Space'!$I$66:$I$75,1)</f>
        <v>6</v>
      </c>
      <c r="G33" s="5">
        <f>COUNTIFS('Synthetic Features Space'!$H$66:$H$75,E33,'Synthetic Features Space'!$I$66:$I$75,2)</f>
        <v>4</v>
      </c>
      <c r="H33" s="5">
        <f>SUM(F33:G33)</f>
        <v>10</v>
      </c>
      <c r="I33" s="13">
        <f>(F33/Dataset!K8)/(F33/Dataset!K8+G33/Dataset!K9)</f>
        <v>0.5</v>
      </c>
      <c r="J33" s="27"/>
      <c r="K33" s="27"/>
    </row>
    <row r="34" spans="1:1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30" customHeight="1">
      <c r="A36" s="35" t="s">
        <v>45</v>
      </c>
      <c r="B36" s="35"/>
      <c r="C36" s="35"/>
      <c r="D36" s="35"/>
      <c r="E36" s="35"/>
      <c r="F36" s="35"/>
      <c r="G36" s="35"/>
      <c r="H36" s="35"/>
      <c r="I36" s="35"/>
      <c r="J36" s="27"/>
      <c r="K36" s="27"/>
    </row>
    <row r="37" spans="1:11" ht="43.95" customHeight="1">
      <c r="A37" s="2" t="s">
        <v>100</v>
      </c>
      <c r="B37" s="2" t="s">
        <v>115</v>
      </c>
      <c r="C37" s="2" t="s">
        <v>116</v>
      </c>
      <c r="D37" s="2" t="s">
        <v>101</v>
      </c>
      <c r="E37" s="2" t="s">
        <v>102</v>
      </c>
      <c r="F37" s="2" t="s">
        <v>103</v>
      </c>
      <c r="G37" s="2" t="s">
        <v>104</v>
      </c>
      <c r="H37" s="2" t="s">
        <v>105</v>
      </c>
      <c r="I37" s="2" t="s">
        <v>117</v>
      </c>
      <c r="J37" s="27"/>
      <c r="K37" s="27"/>
    </row>
    <row r="38" spans="1:11" ht="25.05" customHeight="1">
      <c r="A38" s="6" t="s">
        <v>111</v>
      </c>
      <c r="B38" s="6" t="s">
        <v>89</v>
      </c>
      <c r="C38" s="6" t="str">
        <f>"3"</f>
        <v>3</v>
      </c>
      <c r="D38" s="32" t="str">
        <f>"1"</f>
        <v>1</v>
      </c>
      <c r="E38" s="3">
        <v>1</v>
      </c>
      <c r="F38" s="3">
        <f>COUNTIFS('Synthetic Features Space'!$G$81:$G$90,E38,'Synthetic Features Space'!$I$81:$I$90,1)</f>
        <v>6</v>
      </c>
      <c r="G38" s="3">
        <f>COUNTIFS('Synthetic Features Space'!$G$81:$G$90,E38,'Synthetic Features Space'!$I$81:$I$90,2)</f>
        <v>4</v>
      </c>
      <c r="H38" s="3">
        <f>SUM(F38:G38)</f>
        <v>10</v>
      </c>
      <c r="I38" s="11">
        <f>(F38/Dataset!K8)/(F38/Dataset!K8+G38/Dataset!K9)</f>
        <v>0.5</v>
      </c>
      <c r="J38" s="27"/>
      <c r="K38" s="27"/>
    </row>
    <row r="39" spans="1:11" ht="25.05" customHeight="1">
      <c r="A39" s="8" t="s">
        <v>111</v>
      </c>
      <c r="B39" s="8" t="s">
        <v>118</v>
      </c>
      <c r="C39" s="8" t="s">
        <v>28</v>
      </c>
      <c r="D39" s="31" t="str">
        <f>"11"</f>
        <v>11</v>
      </c>
      <c r="E39" s="5">
        <v>3</v>
      </c>
      <c r="F39" s="5">
        <f>COUNTIFS('Synthetic Features Space'!$H$81:$H$90,E39,'Synthetic Features Space'!$I$81:$I$90,1)</f>
        <v>6</v>
      </c>
      <c r="G39" s="5">
        <f>COUNTIFS('Synthetic Features Space'!$H$81:$H$90,E39,'Synthetic Features Space'!$I$81:$I$90,2)</f>
        <v>4</v>
      </c>
      <c r="H39" s="5">
        <f>SUM(F39:G39)</f>
        <v>10</v>
      </c>
      <c r="I39" s="13">
        <f>(F39/Dataset!K8)/(F39/Dataset!K8+G39/Dataset!K9)</f>
        <v>0.5</v>
      </c>
      <c r="J39" s="27"/>
      <c r="K39" s="27"/>
    </row>
    <row r="40" spans="1:1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 ht="30" customHeight="1">
      <c r="A42" s="35" t="s">
        <v>46</v>
      </c>
      <c r="B42" s="35"/>
      <c r="C42" s="35"/>
      <c r="D42" s="35"/>
      <c r="E42" s="35"/>
      <c r="F42" s="35"/>
      <c r="G42" s="35"/>
      <c r="H42" s="35"/>
      <c r="I42" s="35"/>
      <c r="J42" s="27"/>
      <c r="K42" s="27"/>
    </row>
    <row r="43" spans="1:11" ht="43.95" customHeight="1">
      <c r="A43" s="2" t="s">
        <v>100</v>
      </c>
      <c r="B43" s="2" t="s">
        <v>115</v>
      </c>
      <c r="C43" s="2" t="s">
        <v>116</v>
      </c>
      <c r="D43" s="2" t="s">
        <v>101</v>
      </c>
      <c r="E43" s="2" t="s">
        <v>102</v>
      </c>
      <c r="F43" s="2" t="s">
        <v>103</v>
      </c>
      <c r="G43" s="2" t="s">
        <v>104</v>
      </c>
      <c r="H43" s="2" t="s">
        <v>105</v>
      </c>
      <c r="I43" s="2" t="s">
        <v>117</v>
      </c>
      <c r="J43" s="27"/>
      <c r="K43" s="27"/>
    </row>
    <row r="44" spans="1:11" ht="25.05" customHeight="1">
      <c r="A44" s="6" t="s">
        <v>112</v>
      </c>
      <c r="B44" s="6" t="s">
        <v>89</v>
      </c>
      <c r="C44" s="6" t="str">
        <f>"3"</f>
        <v>3</v>
      </c>
      <c r="D44" s="32" t="str">
        <f>"1"</f>
        <v>1</v>
      </c>
      <c r="E44" s="3">
        <v>1</v>
      </c>
      <c r="F44" s="3">
        <f>COUNTIFS('Synthetic Features Space'!$G$96:$G$105,E44,'Synthetic Features Space'!$I$96:$I$105,1)</f>
        <v>6</v>
      </c>
      <c r="G44" s="3">
        <f>COUNTIFS('Synthetic Features Space'!$G$96:$G$105,E44,'Synthetic Features Space'!$I$96:$I$105,2)</f>
        <v>4</v>
      </c>
      <c r="H44" s="3">
        <f>SUM(F44:G44)</f>
        <v>10</v>
      </c>
      <c r="I44" s="11">
        <f>(F44/Dataset!K8)/(F44/Dataset!K8+G44/Dataset!K9)</f>
        <v>0.5</v>
      </c>
      <c r="J44" s="27"/>
      <c r="K44" s="27"/>
    </row>
    <row r="45" spans="1:11" ht="25.05" customHeight="1">
      <c r="A45" s="7" t="s">
        <v>112</v>
      </c>
      <c r="B45" s="7" t="s">
        <v>118</v>
      </c>
      <c r="C45" s="7" t="s">
        <v>28</v>
      </c>
      <c r="D45" s="30" t="str">
        <f>"10"</f>
        <v>10</v>
      </c>
      <c r="E45" s="4">
        <v>2</v>
      </c>
      <c r="F45" s="4">
        <f>COUNTIFS('Synthetic Features Space'!$H$96:$H$105,E45,'Synthetic Features Space'!$I$96:$I$105,1)</f>
        <v>1</v>
      </c>
      <c r="G45" s="4">
        <f>COUNTIFS('Synthetic Features Space'!$H$96:$H$105,E45,'Synthetic Features Space'!$I$96:$I$105,2)</f>
        <v>0</v>
      </c>
      <c r="H45" s="4">
        <f>SUM(F45:G45)</f>
        <v>1</v>
      </c>
      <c r="I45" s="12">
        <f>(F45/Dataset!K8)/(F45/Dataset!K8+G45/Dataset!K9)</f>
        <v>1</v>
      </c>
      <c r="J45" s="27"/>
      <c r="K45" s="27"/>
    </row>
    <row r="46" spans="1:11" ht="25.05" customHeight="1">
      <c r="A46" s="15" t="s">
        <v>112</v>
      </c>
      <c r="B46" s="15" t="s">
        <v>118</v>
      </c>
      <c r="C46" s="15" t="s">
        <v>28</v>
      </c>
      <c r="D46" s="28" t="str">
        <f>"11"</f>
        <v>11</v>
      </c>
      <c r="E46" s="14">
        <v>3</v>
      </c>
      <c r="F46" s="14">
        <f>COUNTIFS('Synthetic Features Space'!$H$96:$H$105,E46,'Synthetic Features Space'!$I$96:$I$105,1)</f>
        <v>5</v>
      </c>
      <c r="G46" s="14">
        <f>COUNTIFS('Synthetic Features Space'!$H$96:$H$105,E46,'Synthetic Features Space'!$I$96:$I$105,2)</f>
        <v>4</v>
      </c>
      <c r="H46" s="14">
        <f>SUM(F46:G46)</f>
        <v>9</v>
      </c>
      <c r="I46" s="19">
        <f>(F46/Dataset!K8)/(F46/Dataset!K8+G46/Dataset!K9)</f>
        <v>0.45454545454545453</v>
      </c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30" customHeight="1">
      <c r="A49" s="35" t="s">
        <v>47</v>
      </c>
      <c r="B49" s="35"/>
      <c r="C49" s="35"/>
      <c r="D49" s="35"/>
      <c r="E49" s="35"/>
      <c r="F49" s="35"/>
      <c r="G49" s="35"/>
      <c r="H49" s="35"/>
      <c r="I49" s="35"/>
      <c r="J49" s="27"/>
      <c r="K49" s="27"/>
    </row>
    <row r="50" spans="1:11" ht="43.95" customHeight="1">
      <c r="A50" s="2" t="s">
        <v>100</v>
      </c>
      <c r="B50" s="2" t="s">
        <v>115</v>
      </c>
      <c r="C50" s="2" t="s">
        <v>116</v>
      </c>
      <c r="D50" s="2" t="s">
        <v>101</v>
      </c>
      <c r="E50" s="2" t="s">
        <v>102</v>
      </c>
      <c r="F50" s="2" t="s">
        <v>103</v>
      </c>
      <c r="G50" s="2" t="s">
        <v>104</v>
      </c>
      <c r="H50" s="2" t="s">
        <v>105</v>
      </c>
      <c r="I50" s="2" t="s">
        <v>117</v>
      </c>
      <c r="J50" s="27"/>
      <c r="K50" s="27"/>
    </row>
    <row r="51" spans="1:11" ht="25.05" customHeight="1">
      <c r="A51" s="6" t="s">
        <v>113</v>
      </c>
      <c r="B51" s="6" t="s">
        <v>89</v>
      </c>
      <c r="C51" s="6" t="str">
        <f>"3"</f>
        <v>3</v>
      </c>
      <c r="D51" s="32" t="str">
        <f>"1"</f>
        <v>1</v>
      </c>
      <c r="E51" s="3">
        <v>1</v>
      </c>
      <c r="F51" s="3">
        <f>COUNTIFS('Synthetic Features Space'!$G$111:$G$120,E51,'Synthetic Features Space'!$I$111:$I$120,1)</f>
        <v>6</v>
      </c>
      <c r="G51" s="3">
        <f>COUNTIFS('Synthetic Features Space'!$G$111:$G$120,E51,'Synthetic Features Space'!$I$111:$I$120,2)</f>
        <v>4</v>
      </c>
      <c r="H51" s="3">
        <f>SUM(F51:G51)</f>
        <v>10</v>
      </c>
      <c r="I51" s="11">
        <f>(F51/Dataset!K8)/(F51/Dataset!K8+G51/Dataset!K9)</f>
        <v>0.5</v>
      </c>
      <c r="J51" s="27"/>
      <c r="K51" s="27"/>
    </row>
    <row r="52" spans="1:11" ht="25.05" customHeight="1">
      <c r="A52" s="8" t="s">
        <v>113</v>
      </c>
      <c r="B52" s="8" t="s">
        <v>118</v>
      </c>
      <c r="C52" s="8" t="s">
        <v>28</v>
      </c>
      <c r="D52" s="31" t="str">
        <f>"11"</f>
        <v>11</v>
      </c>
      <c r="E52" s="5">
        <v>3</v>
      </c>
      <c r="F52" s="5">
        <f>COUNTIFS('Synthetic Features Space'!$H$111:$H$120,E52,'Synthetic Features Space'!$I$111:$I$120,1)</f>
        <v>6</v>
      </c>
      <c r="G52" s="5">
        <f>COUNTIFS('Synthetic Features Space'!$H$111:$H$120,E52,'Synthetic Features Space'!$I$111:$I$120,2)</f>
        <v>4</v>
      </c>
      <c r="H52" s="5">
        <f>SUM(F52:G52)</f>
        <v>10</v>
      </c>
      <c r="I52" s="13">
        <f>(F52/Dataset!K8)/(F52/Dataset!K8+G52/Dataset!K9)</f>
        <v>0.5</v>
      </c>
      <c r="J52" s="27"/>
      <c r="K52" s="27"/>
    </row>
  </sheetData>
  <mergeCells count="9">
    <mergeCell ref="A36:I36"/>
    <mergeCell ref="A42:I42"/>
    <mergeCell ref="A49:I49"/>
    <mergeCell ref="A2:I2"/>
    <mergeCell ref="A4:I4"/>
    <mergeCell ref="A10:I10"/>
    <mergeCell ref="A18:I18"/>
    <mergeCell ref="A24:I24"/>
    <mergeCell ref="A30:I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46A98"/>
  </sheetPr>
  <dimension ref="A2:K49"/>
  <sheetViews>
    <sheetView showGridLines="0" workbookViewId="0">
      <pane ySplit="5" topLeftCell="A39" activePane="bottomLeft" state="frozen"/>
      <selection pane="bottomLeft"/>
    </sheetView>
  </sheetViews>
  <sheetFormatPr defaultRowHeight="13.8"/>
  <cols>
    <col min="1" max="1" width="16" customWidth="1"/>
    <col min="2" max="3" width="19" customWidth="1"/>
    <col min="4" max="6" width="16" customWidth="1"/>
    <col min="7" max="7" width="25" customWidth="1"/>
    <col min="8" max="11" width="16" customWidth="1"/>
  </cols>
  <sheetData>
    <row r="2" spans="1:11" ht="36" customHeight="1">
      <c r="A2" s="34" t="s">
        <v>119</v>
      </c>
      <c r="B2" s="34"/>
      <c r="C2" s="34"/>
      <c r="D2" s="34"/>
      <c r="E2" s="34"/>
      <c r="F2" s="34"/>
      <c r="G2" s="34"/>
      <c r="H2" s="1"/>
      <c r="I2" s="1"/>
      <c r="J2" s="1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40</v>
      </c>
      <c r="B4" s="35"/>
      <c r="C4" s="35"/>
      <c r="D4" s="35"/>
      <c r="E4" s="35"/>
      <c r="F4" s="35"/>
      <c r="G4" s="35"/>
      <c r="H4" s="27"/>
      <c r="I4" s="27"/>
      <c r="J4" s="27"/>
      <c r="K4" s="27"/>
    </row>
    <row r="5" spans="1:11" ht="43.95" customHeight="1">
      <c r="A5" s="2" t="s">
        <v>100</v>
      </c>
      <c r="B5" s="2" t="s">
        <v>115</v>
      </c>
      <c r="C5" s="2" t="s">
        <v>116</v>
      </c>
      <c r="D5" s="2" t="s">
        <v>120</v>
      </c>
      <c r="E5" s="2" t="s">
        <v>121</v>
      </c>
      <c r="F5" s="2" t="s">
        <v>122</v>
      </c>
      <c r="G5" s="2" t="s">
        <v>123</v>
      </c>
      <c r="H5" s="27"/>
      <c r="I5" s="27"/>
      <c r="J5" s="27"/>
      <c r="K5" s="27"/>
    </row>
    <row r="6" spans="1:11" ht="25.05" customHeight="1">
      <c r="A6" s="6" t="s">
        <v>110</v>
      </c>
      <c r="B6" s="6" t="s">
        <v>89</v>
      </c>
      <c r="C6" s="6" t="str">
        <f>"3"</f>
        <v>3</v>
      </c>
      <c r="D6" s="3">
        <f>COUNTIFS(Membership!$B$6:$B$7,B6)</f>
        <v>1</v>
      </c>
      <c r="E6" s="3">
        <f>Dataset!K6</f>
        <v>10</v>
      </c>
      <c r="F6" s="11">
        <f>SUM(Membership!H6*MAX(Membership!I6,1-Membership!I6))/E6</f>
        <v>0.5</v>
      </c>
      <c r="G6" s="6" t="str">
        <f>IF(F6&lt;=0.5,"Not distinguishable",IF(F6&lt;=0.6,"Poor stability",IF(F6&lt;=0.8,"Satisfactory","High")))</f>
        <v>Not distinguishable</v>
      </c>
      <c r="H6" s="27"/>
      <c r="I6" s="27"/>
      <c r="J6" s="27"/>
      <c r="K6" s="27"/>
    </row>
    <row r="7" spans="1:11" ht="25.05" customHeight="1">
      <c r="A7" s="8" t="s">
        <v>110</v>
      </c>
      <c r="B7" s="8" t="s">
        <v>118</v>
      </c>
      <c r="C7" s="8" t="s">
        <v>28</v>
      </c>
      <c r="D7" s="5">
        <f>COUNTIFS(Membership!$B$6:$B$7,B7)</f>
        <v>1</v>
      </c>
      <c r="E7" s="5">
        <f>Dataset!K6</f>
        <v>10</v>
      </c>
      <c r="F7" s="13">
        <f>SUM(Membership!H7*MAX(Membership!I7,1-Membership!I7))/E7</f>
        <v>0.5</v>
      </c>
      <c r="G7" s="8" t="str">
        <f>IF(F7&lt;=0.5,"Not distinguishable",IF(F7&lt;=0.6,"Poor stability",IF(F7&lt;=0.8,"Satisfactory","High")))</f>
        <v>Not distinguishable</v>
      </c>
      <c r="H7" s="27"/>
      <c r="I7" s="27"/>
      <c r="J7" s="27"/>
      <c r="K7" s="27"/>
    </row>
    <row r="8" spans="1:1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ht="30" customHeight="1">
      <c r="A10" s="35" t="s">
        <v>41</v>
      </c>
      <c r="B10" s="35"/>
      <c r="C10" s="35"/>
      <c r="D10" s="35"/>
      <c r="E10" s="35"/>
      <c r="F10" s="35"/>
      <c r="G10" s="35"/>
      <c r="H10" s="27"/>
      <c r="I10" s="27"/>
      <c r="J10" s="27"/>
      <c r="K10" s="27"/>
    </row>
    <row r="11" spans="1:11" ht="43.95" customHeight="1">
      <c r="A11" s="2" t="s">
        <v>100</v>
      </c>
      <c r="B11" s="2" t="s">
        <v>115</v>
      </c>
      <c r="C11" s="2" t="s">
        <v>116</v>
      </c>
      <c r="D11" s="2" t="s">
        <v>120</v>
      </c>
      <c r="E11" s="2" t="s">
        <v>121</v>
      </c>
      <c r="F11" s="2" t="s">
        <v>122</v>
      </c>
      <c r="G11" s="2" t="s">
        <v>123</v>
      </c>
      <c r="H11" s="27"/>
      <c r="I11" s="27"/>
      <c r="J11" s="27"/>
      <c r="K11" s="27"/>
    </row>
    <row r="12" spans="1:11" ht="25.05" customHeight="1">
      <c r="A12" s="6" t="s">
        <v>111</v>
      </c>
      <c r="B12" s="6" t="s">
        <v>89</v>
      </c>
      <c r="C12" s="6" t="str">
        <f>"3"</f>
        <v>3</v>
      </c>
      <c r="D12" s="3">
        <f>COUNTIFS(Membership!$B$12:$B$15,B12)</f>
        <v>2</v>
      </c>
      <c r="E12" s="3">
        <f>Dataset!K6</f>
        <v>10</v>
      </c>
      <c r="F12" s="11">
        <f>SUM(Membership!H12*MAX(Membership!I12,1-Membership!I12),Membership!H13*MAX(Membership!I13,1-Membership!I13))/E12</f>
        <v>0.61428571428571421</v>
      </c>
      <c r="G12" s="6" t="str">
        <f>IF(F12&lt;=0.5,"Not distinguishable",IF(F12&lt;=0.6,"Poor stability",IF(F12&lt;=0.8,"Satisfactory","High")))</f>
        <v>Satisfactory</v>
      </c>
      <c r="H12" s="27"/>
      <c r="I12" s="27"/>
      <c r="J12" s="27"/>
      <c r="K12" s="27"/>
    </row>
    <row r="13" spans="1:11" ht="25.05" customHeight="1">
      <c r="A13" s="8" t="s">
        <v>111</v>
      </c>
      <c r="B13" s="8" t="s">
        <v>118</v>
      </c>
      <c r="C13" s="8" t="s">
        <v>28</v>
      </c>
      <c r="D13" s="5">
        <f>COUNTIFS(Membership!$B$12:$B$15,B13)</f>
        <v>2</v>
      </c>
      <c r="E13" s="5">
        <f>Dataset!K6</f>
        <v>10</v>
      </c>
      <c r="F13" s="13">
        <f>SUM(Membership!H14*MAX(Membership!I14,1-Membership!I14),Membership!H15*MAX(Membership!I15,1-Membership!I15))/E13</f>
        <v>0.61428571428571421</v>
      </c>
      <c r="G13" s="8" t="str">
        <f>IF(F13&lt;=0.5,"Not distinguishable",IF(F13&lt;=0.6,"Poor stability",IF(F13&lt;=0.8,"Satisfactory","High")))</f>
        <v>Satisfactory</v>
      </c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30" customHeight="1">
      <c r="A16" s="35" t="s">
        <v>42</v>
      </c>
      <c r="B16" s="35"/>
      <c r="C16" s="35"/>
      <c r="D16" s="35"/>
      <c r="E16" s="35"/>
      <c r="F16" s="35"/>
      <c r="G16" s="35"/>
      <c r="H16" s="27"/>
      <c r="I16" s="27"/>
      <c r="J16" s="27"/>
      <c r="K16" s="27"/>
    </row>
    <row r="17" spans="1:11" ht="43.95" customHeight="1">
      <c r="A17" s="2" t="s">
        <v>100</v>
      </c>
      <c r="B17" s="2" t="s">
        <v>115</v>
      </c>
      <c r="C17" s="2" t="s">
        <v>116</v>
      </c>
      <c r="D17" s="2" t="s">
        <v>120</v>
      </c>
      <c r="E17" s="2" t="s">
        <v>121</v>
      </c>
      <c r="F17" s="2" t="s">
        <v>122</v>
      </c>
      <c r="G17" s="2" t="s">
        <v>123</v>
      </c>
      <c r="H17" s="27"/>
      <c r="I17" s="27"/>
      <c r="J17" s="27"/>
      <c r="K17" s="27"/>
    </row>
    <row r="18" spans="1:11" ht="25.05" customHeight="1">
      <c r="A18" s="6" t="s">
        <v>112</v>
      </c>
      <c r="B18" s="6" t="s">
        <v>89</v>
      </c>
      <c r="C18" s="6" t="str">
        <f>"3"</f>
        <v>3</v>
      </c>
      <c r="D18" s="3">
        <f>COUNTIFS(Membership!$B$20:$B$21,B18)</f>
        <v>1</v>
      </c>
      <c r="E18" s="3">
        <f>Dataset!K6</f>
        <v>10</v>
      </c>
      <c r="F18" s="11">
        <f>SUM(Membership!H20*MAX(Membership!I20,1-Membership!I20))/E18</f>
        <v>0.5</v>
      </c>
      <c r="G18" s="6" t="str">
        <f>IF(F18&lt;=0.5,"Not distinguishable",IF(F18&lt;=0.6,"Poor stability",IF(F18&lt;=0.8,"Satisfactory","High")))</f>
        <v>Not distinguishable</v>
      </c>
      <c r="H18" s="27"/>
      <c r="I18" s="27"/>
      <c r="J18" s="27"/>
      <c r="K18" s="27"/>
    </row>
    <row r="19" spans="1:11" ht="25.05" customHeight="1">
      <c r="A19" s="8" t="s">
        <v>112</v>
      </c>
      <c r="B19" s="8" t="s">
        <v>118</v>
      </c>
      <c r="C19" s="8" t="s">
        <v>28</v>
      </c>
      <c r="D19" s="5">
        <f>COUNTIFS(Membership!$B$20:$B$21,B19)</f>
        <v>1</v>
      </c>
      <c r="E19" s="5">
        <f>Dataset!K6</f>
        <v>10</v>
      </c>
      <c r="F19" s="13">
        <f>SUM(Membership!H21*MAX(Membership!I21,1-Membership!I21))/E19</f>
        <v>0.5</v>
      </c>
      <c r="G19" s="8" t="str">
        <f>IF(F19&lt;=0.5,"Not distinguishable",IF(F19&lt;=0.6,"Poor stability",IF(F19&lt;=0.8,"Satisfactory","High")))</f>
        <v>Not distinguishable</v>
      </c>
      <c r="H19" s="27"/>
      <c r="I19" s="27"/>
      <c r="J19" s="27"/>
      <c r="K19" s="27"/>
    </row>
    <row r="20" spans="1:1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30" customHeight="1">
      <c r="A22" s="35" t="s">
        <v>43</v>
      </c>
      <c r="B22" s="35"/>
      <c r="C22" s="35"/>
      <c r="D22" s="35"/>
      <c r="E22" s="35"/>
      <c r="F22" s="35"/>
      <c r="G22" s="35"/>
      <c r="H22" s="27"/>
      <c r="I22" s="27"/>
      <c r="J22" s="27"/>
      <c r="K22" s="27"/>
    </row>
    <row r="23" spans="1:11" ht="43.95" customHeight="1">
      <c r="A23" s="2" t="s">
        <v>100</v>
      </c>
      <c r="B23" s="2" t="s">
        <v>115</v>
      </c>
      <c r="C23" s="2" t="s">
        <v>116</v>
      </c>
      <c r="D23" s="2" t="s">
        <v>120</v>
      </c>
      <c r="E23" s="2" t="s">
        <v>121</v>
      </c>
      <c r="F23" s="2" t="s">
        <v>122</v>
      </c>
      <c r="G23" s="2" t="s">
        <v>123</v>
      </c>
      <c r="H23" s="27"/>
      <c r="I23" s="27"/>
      <c r="J23" s="27"/>
      <c r="K23" s="27"/>
    </row>
    <row r="24" spans="1:11" ht="25.05" customHeight="1">
      <c r="A24" s="6" t="s">
        <v>113</v>
      </c>
      <c r="B24" s="6" t="s">
        <v>89</v>
      </c>
      <c r="C24" s="6" t="str">
        <f>"3"</f>
        <v>3</v>
      </c>
      <c r="D24" s="3">
        <f>COUNTIFS(Membership!$B$26:$B$27,B24)</f>
        <v>1</v>
      </c>
      <c r="E24" s="3">
        <f>Dataset!K6</f>
        <v>10</v>
      </c>
      <c r="F24" s="11">
        <f>SUM(Membership!H26*MAX(Membership!I26,1-Membership!I26))/E24</f>
        <v>0.5</v>
      </c>
      <c r="G24" s="6" t="str">
        <f>IF(F24&lt;=0.5,"Not distinguishable",IF(F24&lt;=0.6,"Poor stability",IF(F24&lt;=0.8,"Satisfactory","High")))</f>
        <v>Not distinguishable</v>
      </c>
      <c r="H24" s="27"/>
      <c r="I24" s="27"/>
      <c r="J24" s="27"/>
      <c r="K24" s="27"/>
    </row>
    <row r="25" spans="1:11" ht="25.05" customHeight="1">
      <c r="A25" s="8" t="s">
        <v>113</v>
      </c>
      <c r="B25" s="8" t="s">
        <v>118</v>
      </c>
      <c r="C25" s="8" t="s">
        <v>28</v>
      </c>
      <c r="D25" s="5">
        <f>COUNTIFS(Membership!$B$26:$B$27,B25)</f>
        <v>1</v>
      </c>
      <c r="E25" s="5">
        <f>Dataset!K6</f>
        <v>10</v>
      </c>
      <c r="F25" s="13">
        <f>SUM(Membership!H27*MAX(Membership!I27,1-Membership!I27))/E25</f>
        <v>0.5</v>
      </c>
      <c r="G25" s="8" t="str">
        <f>IF(F25&lt;=0.5,"Not distinguishable",IF(F25&lt;=0.6,"Poor stability",IF(F25&lt;=0.8,"Satisfactory","High")))</f>
        <v>Not distinguishable</v>
      </c>
      <c r="H25" s="27"/>
      <c r="I25" s="27"/>
      <c r="J25" s="27"/>
      <c r="K25" s="27"/>
    </row>
    <row r="26" spans="1:1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 ht="30" customHeight="1">
      <c r="A28" s="35" t="s">
        <v>44</v>
      </c>
      <c r="B28" s="35"/>
      <c r="C28" s="35"/>
      <c r="D28" s="35"/>
      <c r="E28" s="35"/>
      <c r="F28" s="35"/>
      <c r="G28" s="35"/>
      <c r="H28" s="27"/>
      <c r="I28" s="27"/>
      <c r="J28" s="27"/>
      <c r="K28" s="27"/>
    </row>
    <row r="29" spans="1:11" ht="43.95" customHeight="1">
      <c r="A29" s="2" t="s">
        <v>100</v>
      </c>
      <c r="B29" s="2" t="s">
        <v>115</v>
      </c>
      <c r="C29" s="2" t="s">
        <v>116</v>
      </c>
      <c r="D29" s="2" t="s">
        <v>120</v>
      </c>
      <c r="E29" s="2" t="s">
        <v>121</v>
      </c>
      <c r="F29" s="2" t="s">
        <v>122</v>
      </c>
      <c r="G29" s="2" t="s">
        <v>123</v>
      </c>
      <c r="H29" s="27"/>
      <c r="I29" s="27"/>
      <c r="J29" s="27"/>
      <c r="K29" s="27"/>
    </row>
    <row r="30" spans="1:11" ht="25.05" customHeight="1">
      <c r="A30" s="6" t="s">
        <v>110</v>
      </c>
      <c r="B30" s="6" t="s">
        <v>89</v>
      </c>
      <c r="C30" s="6" t="str">
        <f>"3"</f>
        <v>3</v>
      </c>
      <c r="D30" s="3">
        <f>COUNTIFS(Membership!$B$32:$B$33,B30)</f>
        <v>1</v>
      </c>
      <c r="E30" s="3">
        <f>Dataset!K6</f>
        <v>10</v>
      </c>
      <c r="F30" s="11">
        <f>SUM(Membership!H32*MAX(Membership!I32,1-Membership!I32))/E30</f>
        <v>0.5</v>
      </c>
      <c r="G30" s="6" t="str">
        <f>IF(F30&lt;=0.5,"Not distinguishable",IF(F30&lt;=0.6,"Poor stability",IF(F30&lt;=0.8,"Satisfactory","High")))</f>
        <v>Not distinguishable</v>
      </c>
      <c r="H30" s="27"/>
      <c r="I30" s="27"/>
      <c r="J30" s="27"/>
      <c r="K30" s="27"/>
    </row>
    <row r="31" spans="1:11" ht="25.05" customHeight="1">
      <c r="A31" s="8" t="s">
        <v>110</v>
      </c>
      <c r="B31" s="8" t="s">
        <v>118</v>
      </c>
      <c r="C31" s="8" t="s">
        <v>28</v>
      </c>
      <c r="D31" s="5">
        <f>COUNTIFS(Membership!$B$32:$B$33,B31)</f>
        <v>1</v>
      </c>
      <c r="E31" s="5">
        <f>Dataset!K6</f>
        <v>10</v>
      </c>
      <c r="F31" s="13">
        <f>SUM(Membership!H33*MAX(Membership!I33,1-Membership!I33))/E31</f>
        <v>0.5</v>
      </c>
      <c r="G31" s="8" t="str">
        <f>IF(F31&lt;=0.5,"Not distinguishable",IF(F31&lt;=0.6,"Poor stability",IF(F31&lt;=0.8,"Satisfactory","High")))</f>
        <v>Not distinguishable</v>
      </c>
      <c r="H31" s="27"/>
      <c r="I31" s="27"/>
      <c r="J31" s="27"/>
      <c r="K31" s="27"/>
    </row>
    <row r="32" spans="1:1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30" customHeight="1">
      <c r="A34" s="35" t="s">
        <v>45</v>
      </c>
      <c r="B34" s="35"/>
      <c r="C34" s="35"/>
      <c r="D34" s="35"/>
      <c r="E34" s="35"/>
      <c r="F34" s="35"/>
      <c r="G34" s="35"/>
      <c r="H34" s="27"/>
      <c r="I34" s="27"/>
      <c r="J34" s="27"/>
      <c r="K34" s="27"/>
    </row>
    <row r="35" spans="1:11" ht="43.95" customHeight="1">
      <c r="A35" s="2" t="s">
        <v>100</v>
      </c>
      <c r="B35" s="2" t="s">
        <v>115</v>
      </c>
      <c r="C35" s="2" t="s">
        <v>116</v>
      </c>
      <c r="D35" s="2" t="s">
        <v>120</v>
      </c>
      <c r="E35" s="2" t="s">
        <v>121</v>
      </c>
      <c r="F35" s="2" t="s">
        <v>122</v>
      </c>
      <c r="G35" s="2" t="s">
        <v>123</v>
      </c>
      <c r="H35" s="27"/>
      <c r="I35" s="27"/>
      <c r="J35" s="27"/>
      <c r="K35" s="27"/>
    </row>
    <row r="36" spans="1:11" ht="25.05" customHeight="1">
      <c r="A36" s="6" t="s">
        <v>111</v>
      </c>
      <c r="B36" s="6" t="s">
        <v>89</v>
      </c>
      <c r="C36" s="6" t="str">
        <f>"3"</f>
        <v>3</v>
      </c>
      <c r="D36" s="3">
        <f>COUNTIFS(Membership!$B$38:$B$39,B36)</f>
        <v>1</v>
      </c>
      <c r="E36" s="3">
        <f>Dataset!K6</f>
        <v>10</v>
      </c>
      <c r="F36" s="11">
        <f>SUM(Membership!H38*MAX(Membership!I38,1-Membership!I38))/E36</f>
        <v>0.5</v>
      </c>
      <c r="G36" s="6" t="str">
        <f>IF(F36&lt;=0.5,"Not distinguishable",IF(F36&lt;=0.6,"Poor stability",IF(F36&lt;=0.8,"Satisfactory","High")))</f>
        <v>Not distinguishable</v>
      </c>
      <c r="H36" s="27"/>
      <c r="I36" s="27"/>
      <c r="J36" s="27"/>
      <c r="K36" s="27"/>
    </row>
    <row r="37" spans="1:11" ht="25.05" customHeight="1">
      <c r="A37" s="8" t="s">
        <v>111</v>
      </c>
      <c r="B37" s="8" t="s">
        <v>118</v>
      </c>
      <c r="C37" s="8" t="s">
        <v>28</v>
      </c>
      <c r="D37" s="5">
        <f>COUNTIFS(Membership!$B$38:$B$39,B37)</f>
        <v>1</v>
      </c>
      <c r="E37" s="5">
        <f>Dataset!K6</f>
        <v>10</v>
      </c>
      <c r="F37" s="13">
        <f>SUM(Membership!H39*MAX(Membership!I39,1-Membership!I39))/E37</f>
        <v>0.5</v>
      </c>
      <c r="G37" s="8" t="str">
        <f>IF(F37&lt;=0.5,"Not distinguishable",IF(F37&lt;=0.6,"Poor stability",IF(F37&lt;=0.8,"Satisfactory","High")))</f>
        <v>Not distinguishable</v>
      </c>
      <c r="H37" s="27"/>
      <c r="I37" s="27"/>
      <c r="J37" s="27"/>
      <c r="K37" s="27"/>
    </row>
    <row r="38" spans="1:1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 ht="30" customHeight="1">
      <c r="A40" s="35" t="s">
        <v>46</v>
      </c>
      <c r="B40" s="35"/>
      <c r="C40" s="35"/>
      <c r="D40" s="35"/>
      <c r="E40" s="35"/>
      <c r="F40" s="35"/>
      <c r="G40" s="35"/>
      <c r="H40" s="27"/>
      <c r="I40" s="27"/>
      <c r="J40" s="27"/>
      <c r="K40" s="27"/>
    </row>
    <row r="41" spans="1:11" ht="43.95" customHeight="1">
      <c r="A41" s="2" t="s">
        <v>100</v>
      </c>
      <c r="B41" s="2" t="s">
        <v>115</v>
      </c>
      <c r="C41" s="2" t="s">
        <v>116</v>
      </c>
      <c r="D41" s="2" t="s">
        <v>120</v>
      </c>
      <c r="E41" s="2" t="s">
        <v>121</v>
      </c>
      <c r="F41" s="2" t="s">
        <v>122</v>
      </c>
      <c r="G41" s="2" t="s">
        <v>123</v>
      </c>
      <c r="H41" s="27"/>
      <c r="I41" s="27"/>
      <c r="J41" s="27"/>
      <c r="K41" s="27"/>
    </row>
    <row r="42" spans="1:11" ht="25.05" customHeight="1">
      <c r="A42" s="6" t="s">
        <v>112</v>
      </c>
      <c r="B42" s="6" t="s">
        <v>89</v>
      </c>
      <c r="C42" s="6" t="str">
        <f>"3"</f>
        <v>3</v>
      </c>
      <c r="D42" s="3">
        <f>COUNTIFS(Membership!$B$44:$B$46,B42)</f>
        <v>1</v>
      </c>
      <c r="E42" s="3">
        <f>Dataset!K6</f>
        <v>10</v>
      </c>
      <c r="F42" s="11">
        <f>SUM(Membership!H44*MAX(Membership!I44,1-Membership!I44))/E42</f>
        <v>0.5</v>
      </c>
      <c r="G42" s="6" t="str">
        <f>IF(F42&lt;=0.5,"Not distinguishable",IF(F42&lt;=0.6,"Poor stability",IF(F42&lt;=0.8,"Satisfactory","High")))</f>
        <v>Not distinguishable</v>
      </c>
      <c r="H42" s="27"/>
      <c r="I42" s="27"/>
      <c r="J42" s="27"/>
      <c r="K42" s="27"/>
    </row>
    <row r="43" spans="1:11" ht="25.05" customHeight="1">
      <c r="A43" s="8" t="s">
        <v>112</v>
      </c>
      <c r="B43" s="8" t="s">
        <v>118</v>
      </c>
      <c r="C43" s="8" t="s">
        <v>28</v>
      </c>
      <c r="D43" s="5">
        <f>COUNTIFS(Membership!$B$44:$B$46,B43)</f>
        <v>2</v>
      </c>
      <c r="E43" s="5">
        <f>Dataset!K6</f>
        <v>10</v>
      </c>
      <c r="F43" s="13">
        <f>SUM(Membership!H45*MAX(Membership!I45,1-Membership!I45),Membership!H46*MAX(Membership!I46,1-Membership!I46))/E43</f>
        <v>0.59090909090909083</v>
      </c>
      <c r="G43" s="8" t="str">
        <f>IF(F43&lt;=0.5,"Not distinguishable",IF(F43&lt;=0.6,"Poor stability",IF(F43&lt;=0.8,"Satisfactory","High")))</f>
        <v>Poor stability</v>
      </c>
      <c r="H43" s="27"/>
      <c r="I43" s="27"/>
      <c r="J43" s="27"/>
      <c r="K43" s="27"/>
    </row>
    <row r="44" spans="1:1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 ht="30" customHeight="1">
      <c r="A46" s="35" t="s">
        <v>47</v>
      </c>
      <c r="B46" s="35"/>
      <c r="C46" s="35"/>
      <c r="D46" s="35"/>
      <c r="E46" s="35"/>
      <c r="F46" s="35"/>
      <c r="G46" s="35"/>
      <c r="H46" s="27"/>
      <c r="I46" s="27"/>
      <c r="J46" s="27"/>
      <c r="K46" s="27"/>
    </row>
    <row r="47" spans="1:11" ht="43.95" customHeight="1">
      <c r="A47" s="2" t="s">
        <v>100</v>
      </c>
      <c r="B47" s="2" t="s">
        <v>115</v>
      </c>
      <c r="C47" s="2" t="s">
        <v>116</v>
      </c>
      <c r="D47" s="2" t="s">
        <v>120</v>
      </c>
      <c r="E47" s="2" t="s">
        <v>121</v>
      </c>
      <c r="F47" s="2" t="s">
        <v>122</v>
      </c>
      <c r="G47" s="2" t="s">
        <v>123</v>
      </c>
      <c r="H47" s="27"/>
      <c r="I47" s="27"/>
      <c r="J47" s="27"/>
      <c r="K47" s="27"/>
    </row>
    <row r="48" spans="1:11" ht="25.05" customHeight="1">
      <c r="A48" s="6" t="s">
        <v>113</v>
      </c>
      <c r="B48" s="6" t="s">
        <v>89</v>
      </c>
      <c r="C48" s="6" t="str">
        <f>"3"</f>
        <v>3</v>
      </c>
      <c r="D48" s="3">
        <f>COUNTIFS(Membership!$B$51:$B$52,B48)</f>
        <v>1</v>
      </c>
      <c r="E48" s="3">
        <f>Dataset!K6</f>
        <v>10</v>
      </c>
      <c r="F48" s="11">
        <f>SUM(Membership!H51*MAX(Membership!I51,1-Membership!I51))/E48</f>
        <v>0.5</v>
      </c>
      <c r="G48" s="6" t="str">
        <f>IF(F48&lt;=0.5,"Not distinguishable",IF(F48&lt;=0.6,"Poor stability",IF(F48&lt;=0.8,"Satisfactory","High")))</f>
        <v>Not distinguishable</v>
      </c>
      <c r="H48" s="27"/>
      <c r="I48" s="27"/>
      <c r="J48" s="27"/>
      <c r="K48" s="27"/>
    </row>
    <row r="49" spans="1:11" ht="25.05" customHeight="1">
      <c r="A49" s="8" t="s">
        <v>113</v>
      </c>
      <c r="B49" s="8" t="s">
        <v>118</v>
      </c>
      <c r="C49" s="8" t="s">
        <v>28</v>
      </c>
      <c r="D49" s="5">
        <f>COUNTIFS(Membership!$B$51:$B$52,B49)</f>
        <v>1</v>
      </c>
      <c r="E49" s="5">
        <f>Dataset!K6</f>
        <v>10</v>
      </c>
      <c r="F49" s="13">
        <f>SUM(Membership!H52*MAX(Membership!I52,1-Membership!I52))/E49</f>
        <v>0.5</v>
      </c>
      <c r="G49" s="8" t="str">
        <f>IF(F49&lt;=0.5,"Not distinguishable",IF(F49&lt;=0.6,"Poor stability",IF(F49&lt;=0.8,"Satisfactory","High")))</f>
        <v>Not distinguishable</v>
      </c>
      <c r="H49" s="27"/>
      <c r="I49" s="27"/>
      <c r="J49" s="27"/>
      <c r="K49" s="27"/>
    </row>
  </sheetData>
  <mergeCells count="9">
    <mergeCell ref="A34:G34"/>
    <mergeCell ref="A40:G40"/>
    <mergeCell ref="A46:G46"/>
    <mergeCell ref="A2:G2"/>
    <mergeCell ref="A4:G4"/>
    <mergeCell ref="A10:G10"/>
    <mergeCell ref="A16:G16"/>
    <mergeCell ref="A22:G22"/>
    <mergeCell ref="A28:G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46A98"/>
  </sheetPr>
  <dimension ref="A2:K57"/>
  <sheetViews>
    <sheetView showGridLines="0" workbookViewId="0"/>
  </sheetViews>
  <sheetFormatPr defaultRowHeight="13.8"/>
  <cols>
    <col min="1" max="11" width="16" customWidth="1"/>
  </cols>
  <sheetData>
    <row r="2" spans="1:11" ht="36" customHeight="1">
      <c r="A2" s="34" t="s">
        <v>124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125</v>
      </c>
      <c r="B4" s="35"/>
      <c r="C4" s="35"/>
      <c r="D4" s="35"/>
      <c r="E4" s="35"/>
      <c r="F4" s="27"/>
      <c r="G4" s="27"/>
      <c r="H4" s="27"/>
      <c r="I4" s="27"/>
      <c r="J4" s="27"/>
      <c r="K4" s="27"/>
    </row>
    <row r="5" spans="1:11" ht="43.95" customHeight="1">
      <c r="A5" s="2" t="s">
        <v>115</v>
      </c>
      <c r="B5" s="2" t="s">
        <v>126</v>
      </c>
      <c r="C5" s="2" t="s">
        <v>127</v>
      </c>
      <c r="D5" s="2" t="s">
        <v>128</v>
      </c>
      <c r="E5" s="2" t="s">
        <v>129</v>
      </c>
      <c r="F5" s="27"/>
      <c r="G5" s="27"/>
      <c r="H5" s="27"/>
      <c r="I5" s="27"/>
      <c r="J5" s="27"/>
      <c r="K5" s="27"/>
    </row>
    <row r="6" spans="1:11" ht="25.05" customHeight="1">
      <c r="A6" s="6" t="s">
        <v>89</v>
      </c>
      <c r="B6" s="11">
        <f>Stability!F6</f>
        <v>0.5</v>
      </c>
      <c r="C6" s="11">
        <f>Stability!F12</f>
        <v>0.61428571428571421</v>
      </c>
      <c r="D6" s="11">
        <f>Stability!F18</f>
        <v>0.5</v>
      </c>
      <c r="E6" s="11">
        <f>Stability!F24</f>
        <v>0.5</v>
      </c>
      <c r="F6" s="27"/>
      <c r="G6" s="27"/>
      <c r="H6" s="27"/>
      <c r="I6" s="27"/>
      <c r="J6" s="27"/>
      <c r="K6" s="27"/>
    </row>
    <row r="7" spans="1:11" ht="25.05" customHeight="1">
      <c r="A7" s="8" t="s">
        <v>118</v>
      </c>
      <c r="B7" s="13">
        <f>Stability!F7</f>
        <v>0.5</v>
      </c>
      <c r="C7" s="13">
        <f>Stability!F13</f>
        <v>0.61428571428571421</v>
      </c>
      <c r="D7" s="13">
        <f>Stability!F19</f>
        <v>0.5</v>
      </c>
      <c r="E7" s="13">
        <f>Stability!F25</f>
        <v>0.5</v>
      </c>
      <c r="F7" s="27"/>
      <c r="G7" s="27"/>
      <c r="H7" s="27"/>
      <c r="I7" s="27"/>
      <c r="J7" s="27"/>
      <c r="K7" s="27"/>
    </row>
    <row r="8" spans="1:1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1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1:1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1:1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30" customHeight="1">
      <c r="A31" s="35" t="s">
        <v>130</v>
      </c>
      <c r="B31" s="35"/>
      <c r="C31" s="35"/>
      <c r="D31" s="35"/>
      <c r="E31" s="35"/>
      <c r="F31" s="27"/>
      <c r="G31" s="27"/>
      <c r="H31" s="27"/>
      <c r="I31" s="27"/>
      <c r="J31" s="27"/>
      <c r="K31" s="27"/>
    </row>
    <row r="32" spans="1:11" ht="43.95" customHeight="1">
      <c r="A32" s="2" t="s">
        <v>115</v>
      </c>
      <c r="B32" s="2" t="s">
        <v>126</v>
      </c>
      <c r="C32" s="2" t="s">
        <v>127</v>
      </c>
      <c r="D32" s="2" t="s">
        <v>128</v>
      </c>
      <c r="E32" s="2" t="s">
        <v>129</v>
      </c>
      <c r="F32" s="27"/>
      <c r="G32" s="27"/>
      <c r="H32" s="27"/>
      <c r="I32" s="27"/>
      <c r="J32" s="27"/>
      <c r="K32" s="27"/>
    </row>
    <row r="33" spans="1:11" ht="25.05" customHeight="1">
      <c r="A33" s="6" t="s">
        <v>89</v>
      </c>
      <c r="B33" s="11">
        <f>Stability!F30</f>
        <v>0.5</v>
      </c>
      <c r="C33" s="11">
        <f>Stability!F36</f>
        <v>0.5</v>
      </c>
      <c r="D33" s="11">
        <f>Stability!F42</f>
        <v>0.5</v>
      </c>
      <c r="E33" s="11">
        <f>Stability!F48</f>
        <v>0.5</v>
      </c>
      <c r="F33" s="27"/>
      <c r="G33" s="27"/>
      <c r="H33" s="27"/>
      <c r="I33" s="27"/>
      <c r="J33" s="27"/>
      <c r="K33" s="27"/>
    </row>
    <row r="34" spans="1:11" ht="25.05" customHeight="1">
      <c r="A34" s="8" t="s">
        <v>118</v>
      </c>
      <c r="B34" s="13">
        <f>Stability!F31</f>
        <v>0.5</v>
      </c>
      <c r="C34" s="13">
        <f>Stability!F37</f>
        <v>0.5</v>
      </c>
      <c r="D34" s="13">
        <f>Stability!F43</f>
        <v>0.59090909090909083</v>
      </c>
      <c r="E34" s="13">
        <f>Stability!F49</f>
        <v>0.5</v>
      </c>
      <c r="F34" s="27"/>
      <c r="G34" s="27"/>
      <c r="H34" s="27"/>
      <c r="I34" s="27"/>
      <c r="J34" s="27"/>
      <c r="K34" s="27"/>
    </row>
    <row r="35" spans="1:1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1:1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1:1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1:1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1:1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1:1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spans="1:1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spans="1:1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spans="1:1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spans="1:1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1:1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spans="1:1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spans="1:1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1:11" ht="31.95" customHeight="1">
      <c r="A57" s="36" t="s">
        <v>131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</row>
  </sheetData>
  <mergeCells count="4">
    <mergeCell ref="A2:K2"/>
    <mergeCell ref="A4:E4"/>
    <mergeCell ref="A31:E31"/>
    <mergeCell ref="A57:K5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46A98"/>
  </sheetPr>
  <dimension ref="A2:K120"/>
  <sheetViews>
    <sheetView showGridLines="0" workbookViewId="0">
      <pane ySplit="5" topLeftCell="A40" activePane="bottomLeft" state="frozen"/>
      <selection pane="bottomLeft"/>
    </sheetView>
  </sheetViews>
  <sheetFormatPr defaultRowHeight="13.8"/>
  <cols>
    <col min="1" max="4" width="18" customWidth="1"/>
    <col min="5" max="5" width="3" customWidth="1"/>
    <col min="6" max="9" width="18" customWidth="1"/>
    <col min="10" max="11" width="16" customWidth="1"/>
  </cols>
  <sheetData>
    <row r="2" spans="1:11" ht="36" customHeight="1">
      <c r="A2" s="34" t="s">
        <v>132</v>
      </c>
      <c r="B2" s="34"/>
      <c r="C2" s="34"/>
      <c r="D2" s="34"/>
      <c r="E2" s="34"/>
      <c r="F2" s="34"/>
      <c r="G2" s="34"/>
      <c r="H2" s="34"/>
      <c r="I2" s="34"/>
      <c r="J2" s="1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133</v>
      </c>
      <c r="B4" s="35"/>
      <c r="C4" s="35"/>
      <c r="D4" s="35"/>
      <c r="E4" s="27"/>
      <c r="F4" s="35" t="s">
        <v>134</v>
      </c>
      <c r="G4" s="35"/>
      <c r="H4" s="35"/>
      <c r="I4" s="35"/>
      <c r="J4" s="27"/>
      <c r="K4" s="27"/>
    </row>
    <row r="5" spans="1:11" ht="43.95" customHeight="1">
      <c r="A5" s="2" t="s">
        <v>3</v>
      </c>
      <c r="B5" s="2" t="s">
        <v>89</v>
      </c>
      <c r="C5" s="2" t="s">
        <v>118</v>
      </c>
      <c r="D5" s="2" t="s">
        <v>10</v>
      </c>
      <c r="E5" s="27"/>
      <c r="F5" s="2" t="s">
        <v>3</v>
      </c>
      <c r="G5" s="2" t="s">
        <v>89</v>
      </c>
      <c r="H5" s="2" t="s">
        <v>118</v>
      </c>
      <c r="I5" s="2" t="s">
        <v>10</v>
      </c>
      <c r="J5" s="27"/>
      <c r="K5" s="27"/>
    </row>
    <row r="6" spans="1:11" ht="25.05" customHeight="1">
      <c r="A6" s="6" t="s">
        <v>13</v>
      </c>
      <c r="B6" s="6" t="str">
        <f>'Majority A-B'!K36&amp;""</f>
        <v>1</v>
      </c>
      <c r="C6" s="29" t="str">
        <f>'Majority A-B'!K36&amp;'Majority A-B'!L36</f>
        <v>11</v>
      </c>
      <c r="D6" s="3">
        <v>1</v>
      </c>
      <c r="E6" s="27"/>
      <c r="F6" s="6" t="s">
        <v>13</v>
      </c>
      <c r="G6" s="3">
        <f>'Majority A-B'!K36</f>
        <v>1</v>
      </c>
      <c r="H6" s="3">
        <f>'Majority A-B'!K36*2+'Majority A-B'!L36</f>
        <v>3</v>
      </c>
      <c r="I6" s="3">
        <v>1</v>
      </c>
      <c r="J6" s="27"/>
      <c r="K6" s="27"/>
    </row>
    <row r="7" spans="1:11" ht="25.05" customHeight="1">
      <c r="A7" s="7" t="s">
        <v>15</v>
      </c>
      <c r="B7" s="7" t="str">
        <f>'Majority A-B'!K37&amp;""</f>
        <v>1</v>
      </c>
      <c r="C7" s="30" t="str">
        <f>'Majority A-B'!K37&amp;'Majority A-B'!L37</f>
        <v>11</v>
      </c>
      <c r="D7" s="4">
        <v>1</v>
      </c>
      <c r="E7" s="27"/>
      <c r="F7" s="7" t="s">
        <v>15</v>
      </c>
      <c r="G7" s="4">
        <f>'Majority A-B'!K37</f>
        <v>1</v>
      </c>
      <c r="H7" s="4">
        <f>'Majority A-B'!K37*2+'Majority A-B'!L37</f>
        <v>3</v>
      </c>
      <c r="I7" s="4">
        <v>1</v>
      </c>
      <c r="J7" s="27"/>
      <c r="K7" s="27"/>
    </row>
    <row r="8" spans="1:11" ht="25.05" customHeight="1">
      <c r="A8" s="6" t="s">
        <v>17</v>
      </c>
      <c r="B8" s="6" t="str">
        <f>'Majority A-B'!K38&amp;""</f>
        <v>1</v>
      </c>
      <c r="C8" s="29" t="str">
        <f>'Majority A-B'!K38&amp;'Majority A-B'!L38</f>
        <v>11</v>
      </c>
      <c r="D8" s="3">
        <v>2</v>
      </c>
      <c r="E8" s="27"/>
      <c r="F8" s="6" t="s">
        <v>17</v>
      </c>
      <c r="G8" s="3">
        <f>'Majority A-B'!K38</f>
        <v>1</v>
      </c>
      <c r="H8" s="3">
        <f>'Majority A-B'!K38*2+'Majority A-B'!L38</f>
        <v>3</v>
      </c>
      <c r="I8" s="3">
        <v>2</v>
      </c>
      <c r="J8" s="27"/>
      <c r="K8" s="27"/>
    </row>
    <row r="9" spans="1:11" ht="25.05" customHeight="1">
      <c r="A9" s="7" t="s">
        <v>19</v>
      </c>
      <c r="B9" s="7" t="str">
        <f>'Majority A-B'!K39&amp;""</f>
        <v>1</v>
      </c>
      <c r="C9" s="30" t="str">
        <f>'Majority A-B'!K39&amp;'Majority A-B'!L39</f>
        <v>11</v>
      </c>
      <c r="D9" s="4">
        <v>1</v>
      </c>
      <c r="E9" s="27"/>
      <c r="F9" s="7" t="s">
        <v>19</v>
      </c>
      <c r="G9" s="4">
        <f>'Majority A-B'!K39</f>
        <v>1</v>
      </c>
      <c r="H9" s="4">
        <f>'Majority A-B'!K39*2+'Majority A-B'!L39</f>
        <v>3</v>
      </c>
      <c r="I9" s="4">
        <v>1</v>
      </c>
      <c r="J9" s="27"/>
      <c r="K9" s="27"/>
    </row>
    <row r="10" spans="1:11" ht="25.05" customHeight="1">
      <c r="A10" s="6" t="s">
        <v>21</v>
      </c>
      <c r="B10" s="6" t="str">
        <f>'Majority A-B'!K40&amp;""</f>
        <v>1</v>
      </c>
      <c r="C10" s="29" t="str">
        <f>'Majority A-B'!K40&amp;'Majority A-B'!L40</f>
        <v>11</v>
      </c>
      <c r="D10" s="3">
        <v>2</v>
      </c>
      <c r="E10" s="27"/>
      <c r="F10" s="6" t="s">
        <v>21</v>
      </c>
      <c r="G10" s="3">
        <f>'Majority A-B'!K40</f>
        <v>1</v>
      </c>
      <c r="H10" s="3">
        <f>'Majority A-B'!K40*2+'Majority A-B'!L40</f>
        <v>3</v>
      </c>
      <c r="I10" s="3">
        <v>2</v>
      </c>
      <c r="J10" s="27"/>
      <c r="K10" s="27"/>
    </row>
    <row r="11" spans="1:11" ht="25.05" customHeight="1">
      <c r="A11" s="7" t="s">
        <v>23</v>
      </c>
      <c r="B11" s="7" t="str">
        <f>'Majority A-B'!K41&amp;""</f>
        <v>1</v>
      </c>
      <c r="C11" s="30" t="str">
        <f>'Majority A-B'!K41&amp;'Majority A-B'!L41</f>
        <v>11</v>
      </c>
      <c r="D11" s="4">
        <v>1</v>
      </c>
      <c r="E11" s="27"/>
      <c r="F11" s="7" t="s">
        <v>23</v>
      </c>
      <c r="G11" s="4">
        <f>'Majority A-B'!K41</f>
        <v>1</v>
      </c>
      <c r="H11" s="4">
        <f>'Majority A-B'!K41*2+'Majority A-B'!L41</f>
        <v>3</v>
      </c>
      <c r="I11" s="4">
        <v>1</v>
      </c>
      <c r="J11" s="27"/>
      <c r="K11" s="27"/>
    </row>
    <row r="12" spans="1:11" ht="25.05" customHeight="1">
      <c r="A12" s="6" t="s">
        <v>26</v>
      </c>
      <c r="B12" s="6" t="str">
        <f>'Majority A-B'!K42&amp;""</f>
        <v>1</v>
      </c>
      <c r="C12" s="29" t="str">
        <f>'Majority A-B'!K42&amp;'Majority A-B'!L42</f>
        <v>11</v>
      </c>
      <c r="D12" s="3">
        <v>1</v>
      </c>
      <c r="E12" s="27"/>
      <c r="F12" s="6" t="s">
        <v>26</v>
      </c>
      <c r="G12" s="3">
        <f>'Majority A-B'!K42</f>
        <v>1</v>
      </c>
      <c r="H12" s="3">
        <f>'Majority A-B'!K42*2+'Majority A-B'!L42</f>
        <v>3</v>
      </c>
      <c r="I12" s="3">
        <v>1</v>
      </c>
      <c r="J12" s="27"/>
      <c r="K12" s="27"/>
    </row>
    <row r="13" spans="1:11" ht="25.05" customHeight="1">
      <c r="A13" s="7" t="s">
        <v>29</v>
      </c>
      <c r="B13" s="7" t="str">
        <f>'Majority A-B'!K43&amp;""</f>
        <v>1</v>
      </c>
      <c r="C13" s="30" t="str">
        <f>'Majority A-B'!K43&amp;'Majority A-B'!L43</f>
        <v>11</v>
      </c>
      <c r="D13" s="4">
        <v>1</v>
      </c>
      <c r="E13" s="27"/>
      <c r="F13" s="7" t="s">
        <v>29</v>
      </c>
      <c r="G13" s="4">
        <f>'Majority A-B'!K43</f>
        <v>1</v>
      </c>
      <c r="H13" s="4">
        <f>'Majority A-B'!K43*2+'Majority A-B'!L43</f>
        <v>3</v>
      </c>
      <c r="I13" s="4">
        <v>1</v>
      </c>
      <c r="J13" s="27"/>
      <c r="K13" s="27"/>
    </row>
    <row r="14" spans="1:11" ht="25.05" customHeight="1">
      <c r="A14" s="6" t="s">
        <v>32</v>
      </c>
      <c r="B14" s="6" t="str">
        <f>'Majority A-B'!K44&amp;""</f>
        <v>1</v>
      </c>
      <c r="C14" s="29" t="str">
        <f>'Majority A-B'!K44&amp;'Majority A-B'!L44</f>
        <v>11</v>
      </c>
      <c r="D14" s="3">
        <v>2</v>
      </c>
      <c r="E14" s="27"/>
      <c r="F14" s="6" t="s">
        <v>32</v>
      </c>
      <c r="G14" s="3">
        <f>'Majority A-B'!K44</f>
        <v>1</v>
      </c>
      <c r="H14" s="3">
        <f>'Majority A-B'!K44*2+'Majority A-B'!L44</f>
        <v>3</v>
      </c>
      <c r="I14" s="3">
        <v>2</v>
      </c>
      <c r="J14" s="27"/>
      <c r="K14" s="27"/>
    </row>
    <row r="15" spans="1:11" ht="25.05" customHeight="1">
      <c r="A15" s="8" t="s">
        <v>33</v>
      </c>
      <c r="B15" s="8" t="str">
        <f>'Majority A-B'!K45&amp;""</f>
        <v>1</v>
      </c>
      <c r="C15" s="31" t="str">
        <f>'Majority A-B'!K45&amp;'Majority A-B'!L45</f>
        <v>11</v>
      </c>
      <c r="D15" s="5">
        <v>2</v>
      </c>
      <c r="E15" s="27"/>
      <c r="F15" s="8" t="s">
        <v>33</v>
      </c>
      <c r="G15" s="5">
        <f>'Majority A-B'!K45</f>
        <v>1</v>
      </c>
      <c r="H15" s="5">
        <f>'Majority A-B'!K45*2+'Majority A-B'!L45</f>
        <v>3</v>
      </c>
      <c r="I15" s="5">
        <v>2</v>
      </c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30" customHeight="1">
      <c r="A19" s="35" t="s">
        <v>135</v>
      </c>
      <c r="B19" s="35"/>
      <c r="C19" s="35"/>
      <c r="D19" s="35"/>
      <c r="E19" s="27"/>
      <c r="F19" s="35" t="s">
        <v>136</v>
      </c>
      <c r="G19" s="35"/>
      <c r="H19" s="35"/>
      <c r="I19" s="35"/>
      <c r="J19" s="27"/>
      <c r="K19" s="27"/>
    </row>
    <row r="20" spans="1:11" ht="43.95" customHeight="1">
      <c r="A20" s="2" t="s">
        <v>3</v>
      </c>
      <c r="B20" s="2" t="s">
        <v>89</v>
      </c>
      <c r="C20" s="2" t="s">
        <v>118</v>
      </c>
      <c r="D20" s="2" t="s">
        <v>10</v>
      </c>
      <c r="E20" s="27"/>
      <c r="F20" s="2" t="s">
        <v>3</v>
      </c>
      <c r="G20" s="2" t="s">
        <v>89</v>
      </c>
      <c r="H20" s="2" t="s">
        <v>118</v>
      </c>
      <c r="I20" s="2" t="s">
        <v>10</v>
      </c>
      <c r="J20" s="27"/>
      <c r="K20" s="27"/>
    </row>
    <row r="21" spans="1:11" ht="25.05" customHeight="1">
      <c r="A21" s="6" t="s">
        <v>13</v>
      </c>
      <c r="B21" s="6" t="str">
        <f>'Majority A-B'!K81&amp;""</f>
        <v>1</v>
      </c>
      <c r="C21" s="29" t="str">
        <f>'Majority A-B'!K81&amp;'Majority A-B'!L81</f>
        <v>11</v>
      </c>
      <c r="D21" s="3">
        <v>1</v>
      </c>
      <c r="E21" s="27"/>
      <c r="F21" s="6" t="s">
        <v>13</v>
      </c>
      <c r="G21" s="3">
        <f>'Majority A-B'!K81</f>
        <v>1</v>
      </c>
      <c r="H21" s="3">
        <f>'Majority A-B'!K81*2+'Majority A-B'!L81</f>
        <v>3</v>
      </c>
      <c r="I21" s="3">
        <v>1</v>
      </c>
      <c r="J21" s="27"/>
      <c r="K21" s="27"/>
    </row>
    <row r="22" spans="1:11" ht="25.05" customHeight="1">
      <c r="A22" s="7" t="s">
        <v>15</v>
      </c>
      <c r="B22" s="7" t="str">
        <f>'Majority A-B'!K82&amp;""</f>
        <v>1</v>
      </c>
      <c r="C22" s="30" t="str">
        <f>'Majority A-B'!K82&amp;'Majority A-B'!L82</f>
        <v>11</v>
      </c>
      <c r="D22" s="4">
        <v>1</v>
      </c>
      <c r="E22" s="27"/>
      <c r="F22" s="7" t="s">
        <v>15</v>
      </c>
      <c r="G22" s="4">
        <f>'Majority A-B'!K82</f>
        <v>1</v>
      </c>
      <c r="H22" s="4">
        <f>'Majority A-B'!K82*2+'Majority A-B'!L82</f>
        <v>3</v>
      </c>
      <c r="I22" s="4">
        <v>1</v>
      </c>
      <c r="J22" s="27"/>
      <c r="K22" s="27"/>
    </row>
    <row r="23" spans="1:11" ht="25.05" customHeight="1">
      <c r="A23" s="6" t="s">
        <v>17</v>
      </c>
      <c r="B23" s="6" t="str">
        <f>'Majority A-B'!K83&amp;""</f>
        <v>0</v>
      </c>
      <c r="C23" s="29" t="str">
        <f>'Majority A-B'!K83&amp;'Majority A-B'!L83</f>
        <v>01</v>
      </c>
      <c r="D23" s="3">
        <v>2</v>
      </c>
      <c r="E23" s="27"/>
      <c r="F23" s="6" t="s">
        <v>17</v>
      </c>
      <c r="G23" s="3">
        <f>'Majority A-B'!K83</f>
        <v>0</v>
      </c>
      <c r="H23" s="3">
        <f>'Majority A-B'!K83*2+'Majority A-B'!L83</f>
        <v>1</v>
      </c>
      <c r="I23" s="3">
        <v>2</v>
      </c>
      <c r="J23" s="27"/>
      <c r="K23" s="27"/>
    </row>
    <row r="24" spans="1:11" ht="25.05" customHeight="1">
      <c r="A24" s="7" t="s">
        <v>19</v>
      </c>
      <c r="B24" s="7" t="str">
        <f>'Majority A-B'!K84&amp;""</f>
        <v>1</v>
      </c>
      <c r="C24" s="30" t="str">
        <f>'Majority A-B'!K84&amp;'Majority A-B'!L84</f>
        <v>11</v>
      </c>
      <c r="D24" s="4">
        <v>1</v>
      </c>
      <c r="E24" s="27"/>
      <c r="F24" s="7" t="s">
        <v>19</v>
      </c>
      <c r="G24" s="4">
        <f>'Majority A-B'!K84</f>
        <v>1</v>
      </c>
      <c r="H24" s="4">
        <f>'Majority A-B'!K84*2+'Majority A-B'!L84</f>
        <v>3</v>
      </c>
      <c r="I24" s="4">
        <v>1</v>
      </c>
      <c r="J24" s="27"/>
      <c r="K24" s="27"/>
    </row>
    <row r="25" spans="1:11" ht="25.05" customHeight="1">
      <c r="A25" s="6" t="s">
        <v>21</v>
      </c>
      <c r="B25" s="6" t="str">
        <f>'Majority A-B'!K85&amp;""</f>
        <v>1</v>
      </c>
      <c r="C25" s="29" t="str">
        <f>'Majority A-B'!K85&amp;'Majority A-B'!L85</f>
        <v>11</v>
      </c>
      <c r="D25" s="3">
        <v>2</v>
      </c>
      <c r="E25" s="27"/>
      <c r="F25" s="6" t="s">
        <v>21</v>
      </c>
      <c r="G25" s="3">
        <f>'Majority A-B'!K85</f>
        <v>1</v>
      </c>
      <c r="H25" s="3">
        <f>'Majority A-B'!K85*2+'Majority A-B'!L85</f>
        <v>3</v>
      </c>
      <c r="I25" s="3">
        <v>2</v>
      </c>
      <c r="J25" s="27"/>
      <c r="K25" s="27"/>
    </row>
    <row r="26" spans="1:11" ht="25.05" customHeight="1">
      <c r="A26" s="7" t="s">
        <v>23</v>
      </c>
      <c r="B26" s="7" t="str">
        <f>'Majority A-B'!K86&amp;""</f>
        <v>1</v>
      </c>
      <c r="C26" s="30" t="str">
        <f>'Majority A-B'!K86&amp;'Majority A-B'!L86</f>
        <v>11</v>
      </c>
      <c r="D26" s="4">
        <v>1</v>
      </c>
      <c r="E26" s="27"/>
      <c r="F26" s="7" t="s">
        <v>23</v>
      </c>
      <c r="G26" s="4">
        <f>'Majority A-B'!K86</f>
        <v>1</v>
      </c>
      <c r="H26" s="4">
        <f>'Majority A-B'!K86*2+'Majority A-B'!L86</f>
        <v>3</v>
      </c>
      <c r="I26" s="4">
        <v>1</v>
      </c>
      <c r="J26" s="27"/>
      <c r="K26" s="27"/>
    </row>
    <row r="27" spans="1:11" ht="25.05" customHeight="1">
      <c r="A27" s="6" t="s">
        <v>26</v>
      </c>
      <c r="B27" s="6" t="str">
        <f>'Majority A-B'!K87&amp;""</f>
        <v>1</v>
      </c>
      <c r="C27" s="29" t="str">
        <f>'Majority A-B'!K87&amp;'Majority A-B'!L87</f>
        <v>11</v>
      </c>
      <c r="D27" s="3">
        <v>1</v>
      </c>
      <c r="E27" s="27"/>
      <c r="F27" s="6" t="s">
        <v>26</v>
      </c>
      <c r="G27" s="3">
        <f>'Majority A-B'!K87</f>
        <v>1</v>
      </c>
      <c r="H27" s="3">
        <f>'Majority A-B'!K87*2+'Majority A-B'!L87</f>
        <v>3</v>
      </c>
      <c r="I27" s="3">
        <v>1</v>
      </c>
      <c r="J27" s="27"/>
      <c r="K27" s="27"/>
    </row>
    <row r="28" spans="1:11" ht="25.05" customHeight="1">
      <c r="A28" s="7" t="s">
        <v>29</v>
      </c>
      <c r="B28" s="7" t="str">
        <f>'Majority A-B'!K88&amp;""</f>
        <v>1</v>
      </c>
      <c r="C28" s="30" t="str">
        <f>'Majority A-B'!K88&amp;'Majority A-B'!L88</f>
        <v>11</v>
      </c>
      <c r="D28" s="4">
        <v>1</v>
      </c>
      <c r="E28" s="27"/>
      <c r="F28" s="7" t="s">
        <v>29</v>
      </c>
      <c r="G28" s="4">
        <f>'Majority A-B'!K88</f>
        <v>1</v>
      </c>
      <c r="H28" s="4">
        <f>'Majority A-B'!K88*2+'Majority A-B'!L88</f>
        <v>3</v>
      </c>
      <c r="I28" s="4">
        <v>1</v>
      </c>
      <c r="J28" s="27"/>
      <c r="K28" s="27"/>
    </row>
    <row r="29" spans="1:11" ht="25.05" customHeight="1">
      <c r="A29" s="6" t="s">
        <v>32</v>
      </c>
      <c r="B29" s="6" t="str">
        <f>'Majority A-B'!K89&amp;""</f>
        <v>1</v>
      </c>
      <c r="C29" s="29" t="str">
        <f>'Majority A-B'!K89&amp;'Majority A-B'!L89</f>
        <v>11</v>
      </c>
      <c r="D29" s="3">
        <v>2</v>
      </c>
      <c r="E29" s="27"/>
      <c r="F29" s="6" t="s">
        <v>32</v>
      </c>
      <c r="G29" s="3">
        <f>'Majority A-B'!K89</f>
        <v>1</v>
      </c>
      <c r="H29" s="3">
        <f>'Majority A-B'!K89*2+'Majority A-B'!L89</f>
        <v>3</v>
      </c>
      <c r="I29" s="3">
        <v>2</v>
      </c>
      <c r="J29" s="27"/>
      <c r="K29" s="27"/>
    </row>
    <row r="30" spans="1:11" ht="25.05" customHeight="1">
      <c r="A30" s="8" t="s">
        <v>33</v>
      </c>
      <c r="B30" s="8" t="str">
        <f>'Majority A-B'!K90&amp;""</f>
        <v>1</v>
      </c>
      <c r="C30" s="31" t="str">
        <f>'Majority A-B'!K90&amp;'Majority A-B'!L90</f>
        <v>11</v>
      </c>
      <c r="D30" s="5">
        <v>2</v>
      </c>
      <c r="E30" s="27"/>
      <c r="F30" s="8" t="s">
        <v>33</v>
      </c>
      <c r="G30" s="5">
        <f>'Majority A-B'!K90</f>
        <v>1</v>
      </c>
      <c r="H30" s="5">
        <f>'Majority A-B'!K90*2+'Majority A-B'!L90</f>
        <v>3</v>
      </c>
      <c r="I30" s="5">
        <v>2</v>
      </c>
      <c r="J30" s="27"/>
      <c r="K30" s="27"/>
    </row>
    <row r="31" spans="1:1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30" customHeight="1">
      <c r="A34" s="35" t="s">
        <v>137</v>
      </c>
      <c r="B34" s="35"/>
      <c r="C34" s="35"/>
      <c r="D34" s="35"/>
      <c r="E34" s="27"/>
      <c r="F34" s="35" t="s">
        <v>138</v>
      </c>
      <c r="G34" s="35"/>
      <c r="H34" s="35"/>
      <c r="I34" s="35"/>
      <c r="J34" s="27"/>
      <c r="K34" s="27"/>
    </row>
    <row r="35" spans="1:11" ht="43.95" customHeight="1">
      <c r="A35" s="2" t="s">
        <v>3</v>
      </c>
      <c r="B35" s="2" t="s">
        <v>89</v>
      </c>
      <c r="C35" s="2" t="s">
        <v>118</v>
      </c>
      <c r="D35" s="2" t="s">
        <v>10</v>
      </c>
      <c r="E35" s="27"/>
      <c r="F35" s="2" t="s">
        <v>3</v>
      </c>
      <c r="G35" s="2" t="s">
        <v>89</v>
      </c>
      <c r="H35" s="2" t="s">
        <v>118</v>
      </c>
      <c r="I35" s="2" t="s">
        <v>10</v>
      </c>
      <c r="J35" s="27"/>
      <c r="K35" s="27"/>
    </row>
    <row r="36" spans="1:11" ht="25.05" customHeight="1">
      <c r="A36" s="6" t="s">
        <v>13</v>
      </c>
      <c r="B36" s="6" t="str">
        <f>'Majority A-B'!K126&amp;""</f>
        <v>1</v>
      </c>
      <c r="C36" s="29" t="str">
        <f>'Majority A-B'!K126&amp;'Majority A-B'!L126</f>
        <v>11</v>
      </c>
      <c r="D36" s="3">
        <v>1</v>
      </c>
      <c r="E36" s="27"/>
      <c r="F36" s="6" t="s">
        <v>13</v>
      </c>
      <c r="G36" s="3">
        <f>'Majority A-B'!K126</f>
        <v>1</v>
      </c>
      <c r="H36" s="3">
        <f>'Majority A-B'!K126*2+'Majority A-B'!L126</f>
        <v>3</v>
      </c>
      <c r="I36" s="3">
        <v>1</v>
      </c>
      <c r="J36" s="27"/>
      <c r="K36" s="27"/>
    </row>
    <row r="37" spans="1:11" ht="25.05" customHeight="1">
      <c r="A37" s="7" t="s">
        <v>15</v>
      </c>
      <c r="B37" s="7" t="str">
        <f>'Majority A-B'!K127&amp;""</f>
        <v>1</v>
      </c>
      <c r="C37" s="30" t="str">
        <f>'Majority A-B'!K127&amp;'Majority A-B'!L127</f>
        <v>11</v>
      </c>
      <c r="D37" s="4">
        <v>1</v>
      </c>
      <c r="E37" s="27"/>
      <c r="F37" s="7" t="s">
        <v>15</v>
      </c>
      <c r="G37" s="4">
        <f>'Majority A-B'!K127</f>
        <v>1</v>
      </c>
      <c r="H37" s="4">
        <f>'Majority A-B'!K127*2+'Majority A-B'!L127</f>
        <v>3</v>
      </c>
      <c r="I37" s="4">
        <v>1</v>
      </c>
      <c r="J37" s="27"/>
      <c r="K37" s="27"/>
    </row>
    <row r="38" spans="1:11" ht="25.05" customHeight="1">
      <c r="A38" s="6" t="s">
        <v>17</v>
      </c>
      <c r="B38" s="6" t="str">
        <f>'Majority A-B'!K128&amp;""</f>
        <v>1</v>
      </c>
      <c r="C38" s="29" t="str">
        <f>'Majority A-B'!K128&amp;'Majority A-B'!L128</f>
        <v>11</v>
      </c>
      <c r="D38" s="3">
        <v>2</v>
      </c>
      <c r="E38" s="27"/>
      <c r="F38" s="6" t="s">
        <v>17</v>
      </c>
      <c r="G38" s="3">
        <f>'Majority A-B'!K128</f>
        <v>1</v>
      </c>
      <c r="H38" s="3">
        <f>'Majority A-B'!K128*2+'Majority A-B'!L128</f>
        <v>3</v>
      </c>
      <c r="I38" s="3">
        <v>2</v>
      </c>
      <c r="J38" s="27"/>
      <c r="K38" s="27"/>
    </row>
    <row r="39" spans="1:11" ht="25.05" customHeight="1">
      <c r="A39" s="7" t="s">
        <v>19</v>
      </c>
      <c r="B39" s="7" t="str">
        <f>'Majority A-B'!K129&amp;""</f>
        <v>1</v>
      </c>
      <c r="C39" s="30" t="str">
        <f>'Majority A-B'!K129&amp;'Majority A-B'!L129</f>
        <v>11</v>
      </c>
      <c r="D39" s="4">
        <v>1</v>
      </c>
      <c r="E39" s="27"/>
      <c r="F39" s="7" t="s">
        <v>19</v>
      </c>
      <c r="G39" s="4">
        <f>'Majority A-B'!K129</f>
        <v>1</v>
      </c>
      <c r="H39" s="4">
        <f>'Majority A-B'!K129*2+'Majority A-B'!L129</f>
        <v>3</v>
      </c>
      <c r="I39" s="4">
        <v>1</v>
      </c>
      <c r="J39" s="27"/>
      <c r="K39" s="27"/>
    </row>
    <row r="40" spans="1:11" ht="25.05" customHeight="1">
      <c r="A40" s="6" t="s">
        <v>21</v>
      </c>
      <c r="B40" s="6" t="str">
        <f>'Majority A-B'!K130&amp;""</f>
        <v>1</v>
      </c>
      <c r="C40" s="29" t="str">
        <f>'Majority A-B'!K130&amp;'Majority A-B'!L130</f>
        <v>11</v>
      </c>
      <c r="D40" s="3">
        <v>2</v>
      </c>
      <c r="E40" s="27"/>
      <c r="F40" s="6" t="s">
        <v>21</v>
      </c>
      <c r="G40" s="3">
        <f>'Majority A-B'!K130</f>
        <v>1</v>
      </c>
      <c r="H40" s="3">
        <f>'Majority A-B'!K130*2+'Majority A-B'!L130</f>
        <v>3</v>
      </c>
      <c r="I40" s="3">
        <v>2</v>
      </c>
      <c r="J40" s="27"/>
      <c r="K40" s="27"/>
    </row>
    <row r="41" spans="1:11" ht="25.05" customHeight="1">
      <c r="A41" s="7" t="s">
        <v>23</v>
      </c>
      <c r="B41" s="7" t="str">
        <f>'Majority A-B'!K131&amp;""</f>
        <v>1</v>
      </c>
      <c r="C41" s="30" t="str">
        <f>'Majority A-B'!K131&amp;'Majority A-B'!L131</f>
        <v>11</v>
      </c>
      <c r="D41" s="4">
        <v>1</v>
      </c>
      <c r="E41" s="27"/>
      <c r="F41" s="7" t="s">
        <v>23</v>
      </c>
      <c r="G41" s="4">
        <f>'Majority A-B'!K131</f>
        <v>1</v>
      </c>
      <c r="H41" s="4">
        <f>'Majority A-B'!K131*2+'Majority A-B'!L131</f>
        <v>3</v>
      </c>
      <c r="I41" s="4">
        <v>1</v>
      </c>
      <c r="J41" s="27"/>
      <c r="K41" s="27"/>
    </row>
    <row r="42" spans="1:11" ht="25.05" customHeight="1">
      <c r="A42" s="6" t="s">
        <v>26</v>
      </c>
      <c r="B42" s="6" t="str">
        <f>'Majority A-B'!K132&amp;""</f>
        <v>1</v>
      </c>
      <c r="C42" s="29" t="str">
        <f>'Majority A-B'!K132&amp;'Majority A-B'!L132</f>
        <v>11</v>
      </c>
      <c r="D42" s="3">
        <v>1</v>
      </c>
      <c r="E42" s="27"/>
      <c r="F42" s="6" t="s">
        <v>26</v>
      </c>
      <c r="G42" s="3">
        <f>'Majority A-B'!K132</f>
        <v>1</v>
      </c>
      <c r="H42" s="3">
        <f>'Majority A-B'!K132*2+'Majority A-B'!L132</f>
        <v>3</v>
      </c>
      <c r="I42" s="3">
        <v>1</v>
      </c>
      <c r="J42" s="27"/>
      <c r="K42" s="27"/>
    </row>
    <row r="43" spans="1:11" ht="25.05" customHeight="1">
      <c r="A43" s="7" t="s">
        <v>29</v>
      </c>
      <c r="B43" s="7" t="str">
        <f>'Majority A-B'!K133&amp;""</f>
        <v>1</v>
      </c>
      <c r="C43" s="30" t="str">
        <f>'Majority A-B'!K133&amp;'Majority A-B'!L133</f>
        <v>11</v>
      </c>
      <c r="D43" s="4">
        <v>1</v>
      </c>
      <c r="E43" s="27"/>
      <c r="F43" s="7" t="s">
        <v>29</v>
      </c>
      <c r="G43" s="4">
        <f>'Majority A-B'!K133</f>
        <v>1</v>
      </c>
      <c r="H43" s="4">
        <f>'Majority A-B'!K133*2+'Majority A-B'!L133</f>
        <v>3</v>
      </c>
      <c r="I43" s="4">
        <v>1</v>
      </c>
      <c r="J43" s="27"/>
      <c r="K43" s="27"/>
    </row>
    <row r="44" spans="1:11" ht="25.05" customHeight="1">
      <c r="A44" s="6" t="s">
        <v>32</v>
      </c>
      <c r="B44" s="6" t="str">
        <f>'Majority A-B'!K134&amp;""</f>
        <v>1</v>
      </c>
      <c r="C44" s="29" t="str">
        <f>'Majority A-B'!K134&amp;'Majority A-B'!L134</f>
        <v>11</v>
      </c>
      <c r="D44" s="3">
        <v>2</v>
      </c>
      <c r="E44" s="27"/>
      <c r="F44" s="6" t="s">
        <v>32</v>
      </c>
      <c r="G44" s="3">
        <f>'Majority A-B'!K134</f>
        <v>1</v>
      </c>
      <c r="H44" s="3">
        <f>'Majority A-B'!K134*2+'Majority A-B'!L134</f>
        <v>3</v>
      </c>
      <c r="I44" s="3">
        <v>2</v>
      </c>
      <c r="J44" s="27"/>
      <c r="K44" s="27"/>
    </row>
    <row r="45" spans="1:11" ht="25.05" customHeight="1">
      <c r="A45" s="8" t="s">
        <v>33</v>
      </c>
      <c r="B45" s="8" t="str">
        <f>'Majority A-B'!K135&amp;""</f>
        <v>1</v>
      </c>
      <c r="C45" s="31" t="str">
        <f>'Majority A-B'!K135&amp;'Majority A-B'!L135</f>
        <v>11</v>
      </c>
      <c r="D45" s="5">
        <v>2</v>
      </c>
      <c r="E45" s="27"/>
      <c r="F45" s="8" t="s">
        <v>33</v>
      </c>
      <c r="G45" s="5">
        <f>'Majority A-B'!K135</f>
        <v>1</v>
      </c>
      <c r="H45" s="5">
        <f>'Majority A-B'!K135*2+'Majority A-B'!L135</f>
        <v>3</v>
      </c>
      <c r="I45" s="5">
        <v>2</v>
      </c>
      <c r="J45" s="27"/>
      <c r="K45" s="27"/>
    </row>
    <row r="46" spans="1:1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 ht="30" customHeight="1">
      <c r="A49" s="35" t="s">
        <v>139</v>
      </c>
      <c r="B49" s="35"/>
      <c r="C49" s="35"/>
      <c r="D49" s="35"/>
      <c r="E49" s="27"/>
      <c r="F49" s="35" t="s">
        <v>140</v>
      </c>
      <c r="G49" s="35"/>
      <c r="H49" s="35"/>
      <c r="I49" s="35"/>
      <c r="J49" s="27"/>
      <c r="K49" s="27"/>
    </row>
    <row r="50" spans="1:11" ht="43.95" customHeight="1">
      <c r="A50" s="2" t="s">
        <v>3</v>
      </c>
      <c r="B50" s="2" t="s">
        <v>89</v>
      </c>
      <c r="C50" s="2" t="s">
        <v>118</v>
      </c>
      <c r="D50" s="2" t="s">
        <v>10</v>
      </c>
      <c r="E50" s="27"/>
      <c r="F50" s="2" t="s">
        <v>3</v>
      </c>
      <c r="G50" s="2" t="s">
        <v>89</v>
      </c>
      <c r="H50" s="2" t="s">
        <v>118</v>
      </c>
      <c r="I50" s="2" t="s">
        <v>10</v>
      </c>
      <c r="J50" s="27"/>
      <c r="K50" s="27"/>
    </row>
    <row r="51" spans="1:11" ht="25.05" customHeight="1">
      <c r="A51" s="6" t="s">
        <v>13</v>
      </c>
      <c r="B51" s="6" t="str">
        <f>'Majority A-B'!K171&amp;""</f>
        <v>1</v>
      </c>
      <c r="C51" s="29" t="str">
        <f>'Majority A-B'!K171&amp;'Majority A-B'!L171</f>
        <v>11</v>
      </c>
      <c r="D51" s="3">
        <v>1</v>
      </c>
      <c r="E51" s="27"/>
      <c r="F51" s="6" t="s">
        <v>13</v>
      </c>
      <c r="G51" s="3">
        <f>'Majority A-B'!K171</f>
        <v>1</v>
      </c>
      <c r="H51" s="3">
        <f>'Majority A-B'!K171*2+'Majority A-B'!L171</f>
        <v>3</v>
      </c>
      <c r="I51" s="3">
        <v>1</v>
      </c>
      <c r="J51" s="27"/>
      <c r="K51" s="27"/>
    </row>
    <row r="52" spans="1:11" ht="25.05" customHeight="1">
      <c r="A52" s="7" t="s">
        <v>15</v>
      </c>
      <c r="B52" s="7" t="str">
        <f>'Majority A-B'!K172&amp;""</f>
        <v>1</v>
      </c>
      <c r="C52" s="30" t="str">
        <f>'Majority A-B'!K172&amp;'Majority A-B'!L172</f>
        <v>11</v>
      </c>
      <c r="D52" s="4">
        <v>1</v>
      </c>
      <c r="E52" s="27"/>
      <c r="F52" s="7" t="s">
        <v>15</v>
      </c>
      <c r="G52" s="4">
        <f>'Majority A-B'!K172</f>
        <v>1</v>
      </c>
      <c r="H52" s="4">
        <f>'Majority A-B'!K172*2+'Majority A-B'!L172</f>
        <v>3</v>
      </c>
      <c r="I52" s="4">
        <v>1</v>
      </c>
      <c r="J52" s="27"/>
      <c r="K52" s="27"/>
    </row>
    <row r="53" spans="1:11" ht="25.05" customHeight="1">
      <c r="A53" s="6" t="s">
        <v>17</v>
      </c>
      <c r="B53" s="6" t="str">
        <f>'Majority A-B'!K173&amp;""</f>
        <v>1</v>
      </c>
      <c r="C53" s="29" t="str">
        <f>'Majority A-B'!K173&amp;'Majority A-B'!L173</f>
        <v>11</v>
      </c>
      <c r="D53" s="3">
        <v>2</v>
      </c>
      <c r="E53" s="27"/>
      <c r="F53" s="6" t="s">
        <v>17</v>
      </c>
      <c r="G53" s="3">
        <f>'Majority A-B'!K173</f>
        <v>1</v>
      </c>
      <c r="H53" s="3">
        <f>'Majority A-B'!K173*2+'Majority A-B'!L173</f>
        <v>3</v>
      </c>
      <c r="I53" s="3">
        <v>2</v>
      </c>
      <c r="J53" s="27"/>
      <c r="K53" s="27"/>
    </row>
    <row r="54" spans="1:11" ht="25.05" customHeight="1">
      <c r="A54" s="7" t="s">
        <v>19</v>
      </c>
      <c r="B54" s="7" t="str">
        <f>'Majority A-B'!K174&amp;""</f>
        <v>1</v>
      </c>
      <c r="C54" s="30" t="str">
        <f>'Majority A-B'!K174&amp;'Majority A-B'!L174</f>
        <v>11</v>
      </c>
      <c r="D54" s="4">
        <v>1</v>
      </c>
      <c r="E54" s="27"/>
      <c r="F54" s="7" t="s">
        <v>19</v>
      </c>
      <c r="G54" s="4">
        <f>'Majority A-B'!K174</f>
        <v>1</v>
      </c>
      <c r="H54" s="4">
        <f>'Majority A-B'!K174*2+'Majority A-B'!L174</f>
        <v>3</v>
      </c>
      <c r="I54" s="4">
        <v>1</v>
      </c>
      <c r="J54" s="27"/>
      <c r="K54" s="27"/>
    </row>
    <row r="55" spans="1:11" ht="25.05" customHeight="1">
      <c r="A55" s="6" t="s">
        <v>21</v>
      </c>
      <c r="B55" s="6" t="str">
        <f>'Majority A-B'!K175&amp;""</f>
        <v>1</v>
      </c>
      <c r="C55" s="29" t="str">
        <f>'Majority A-B'!K175&amp;'Majority A-B'!L175</f>
        <v>11</v>
      </c>
      <c r="D55" s="3">
        <v>2</v>
      </c>
      <c r="E55" s="27"/>
      <c r="F55" s="6" t="s">
        <v>21</v>
      </c>
      <c r="G55" s="3">
        <f>'Majority A-B'!K175</f>
        <v>1</v>
      </c>
      <c r="H55" s="3">
        <f>'Majority A-B'!K175*2+'Majority A-B'!L175</f>
        <v>3</v>
      </c>
      <c r="I55" s="3">
        <v>2</v>
      </c>
      <c r="J55" s="27"/>
      <c r="K55" s="27"/>
    </row>
    <row r="56" spans="1:11" ht="25.05" customHeight="1">
      <c r="A56" s="7" t="s">
        <v>23</v>
      </c>
      <c r="B56" s="7" t="str">
        <f>'Majority A-B'!K176&amp;""</f>
        <v>1</v>
      </c>
      <c r="C56" s="30" t="str">
        <f>'Majority A-B'!K176&amp;'Majority A-B'!L176</f>
        <v>11</v>
      </c>
      <c r="D56" s="4">
        <v>1</v>
      </c>
      <c r="E56" s="27"/>
      <c r="F56" s="7" t="s">
        <v>23</v>
      </c>
      <c r="G56" s="4">
        <f>'Majority A-B'!K176</f>
        <v>1</v>
      </c>
      <c r="H56" s="4">
        <f>'Majority A-B'!K176*2+'Majority A-B'!L176</f>
        <v>3</v>
      </c>
      <c r="I56" s="4">
        <v>1</v>
      </c>
      <c r="J56" s="27"/>
      <c r="K56" s="27"/>
    </row>
    <row r="57" spans="1:11" ht="25.05" customHeight="1">
      <c r="A57" s="6" t="s">
        <v>26</v>
      </c>
      <c r="B57" s="6" t="str">
        <f>'Majority A-B'!K177&amp;""</f>
        <v>1</v>
      </c>
      <c r="C57" s="29" t="str">
        <f>'Majority A-B'!K177&amp;'Majority A-B'!L177</f>
        <v>11</v>
      </c>
      <c r="D57" s="3">
        <v>1</v>
      </c>
      <c r="E57" s="27"/>
      <c r="F57" s="6" t="s">
        <v>26</v>
      </c>
      <c r="G57" s="3">
        <f>'Majority A-B'!K177</f>
        <v>1</v>
      </c>
      <c r="H57" s="3">
        <f>'Majority A-B'!K177*2+'Majority A-B'!L177</f>
        <v>3</v>
      </c>
      <c r="I57" s="3">
        <v>1</v>
      </c>
      <c r="J57" s="27"/>
      <c r="K57" s="27"/>
    </row>
    <row r="58" spans="1:11" ht="25.05" customHeight="1">
      <c r="A58" s="7" t="s">
        <v>29</v>
      </c>
      <c r="B58" s="7" t="str">
        <f>'Majority A-B'!K178&amp;""</f>
        <v>1</v>
      </c>
      <c r="C58" s="30" t="str">
        <f>'Majority A-B'!K178&amp;'Majority A-B'!L178</f>
        <v>11</v>
      </c>
      <c r="D58" s="4">
        <v>1</v>
      </c>
      <c r="E58" s="27"/>
      <c r="F58" s="7" t="s">
        <v>29</v>
      </c>
      <c r="G58" s="4">
        <f>'Majority A-B'!K178</f>
        <v>1</v>
      </c>
      <c r="H58" s="4">
        <f>'Majority A-B'!K178*2+'Majority A-B'!L178</f>
        <v>3</v>
      </c>
      <c r="I58" s="4">
        <v>1</v>
      </c>
      <c r="J58" s="27"/>
      <c r="K58" s="27"/>
    </row>
    <row r="59" spans="1:11" ht="25.05" customHeight="1">
      <c r="A59" s="6" t="s">
        <v>32</v>
      </c>
      <c r="B59" s="6" t="str">
        <f>'Majority A-B'!K179&amp;""</f>
        <v>1</v>
      </c>
      <c r="C59" s="29" t="str">
        <f>'Majority A-B'!K179&amp;'Majority A-B'!L179</f>
        <v>11</v>
      </c>
      <c r="D59" s="3">
        <v>2</v>
      </c>
      <c r="E59" s="27"/>
      <c r="F59" s="6" t="s">
        <v>32</v>
      </c>
      <c r="G59" s="3">
        <f>'Majority A-B'!K179</f>
        <v>1</v>
      </c>
      <c r="H59" s="3">
        <f>'Majority A-B'!K179*2+'Majority A-B'!L179</f>
        <v>3</v>
      </c>
      <c r="I59" s="3">
        <v>2</v>
      </c>
      <c r="J59" s="27"/>
      <c r="K59" s="27"/>
    </row>
    <row r="60" spans="1:11" ht="25.05" customHeight="1">
      <c r="A60" s="8" t="s">
        <v>33</v>
      </c>
      <c r="B60" s="8" t="str">
        <f>'Majority A-B'!K180&amp;""</f>
        <v>1</v>
      </c>
      <c r="C60" s="31" t="str">
        <f>'Majority A-B'!K180&amp;'Majority A-B'!L180</f>
        <v>11</v>
      </c>
      <c r="D60" s="5">
        <v>2</v>
      </c>
      <c r="E60" s="27"/>
      <c r="F60" s="8" t="s">
        <v>33</v>
      </c>
      <c r="G60" s="5">
        <f>'Majority A-B'!K180</f>
        <v>1</v>
      </c>
      <c r="H60" s="5">
        <f>'Majority A-B'!K180*2+'Majority A-B'!L180</f>
        <v>3</v>
      </c>
      <c r="I60" s="5">
        <v>2</v>
      </c>
      <c r="J60" s="27"/>
      <c r="K60" s="27"/>
    </row>
    <row r="61" spans="1:1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 spans="1:1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1:11" ht="30" customHeight="1">
      <c r="A64" s="35" t="s">
        <v>141</v>
      </c>
      <c r="B64" s="35"/>
      <c r="C64" s="35"/>
      <c r="D64" s="35"/>
      <c r="E64" s="27"/>
      <c r="F64" s="35" t="s">
        <v>142</v>
      </c>
      <c r="G64" s="35"/>
      <c r="H64" s="35"/>
      <c r="I64" s="35"/>
      <c r="J64" s="27"/>
      <c r="K64" s="27"/>
    </row>
    <row r="65" spans="1:11" ht="43.95" customHeight="1">
      <c r="A65" s="2" t="s">
        <v>3</v>
      </c>
      <c r="B65" s="2" t="s">
        <v>89</v>
      </c>
      <c r="C65" s="2" t="s">
        <v>118</v>
      </c>
      <c r="D65" s="2" t="s">
        <v>10</v>
      </c>
      <c r="E65" s="27"/>
      <c r="F65" s="2" t="s">
        <v>3</v>
      </c>
      <c r="G65" s="2" t="s">
        <v>89</v>
      </c>
      <c r="H65" s="2" t="s">
        <v>118</v>
      </c>
      <c r="I65" s="2" t="s">
        <v>10</v>
      </c>
      <c r="J65" s="27"/>
      <c r="K65" s="27"/>
    </row>
    <row r="66" spans="1:11" ht="25.05" customHeight="1">
      <c r="A66" s="6" t="s">
        <v>13</v>
      </c>
      <c r="B66" s="6" t="str">
        <f>'Majority A-B'!K216&amp;""</f>
        <v>1</v>
      </c>
      <c r="C66" s="29" t="str">
        <f>'Majority A-B'!K216&amp;'Majority A-B'!L216</f>
        <v>11</v>
      </c>
      <c r="D66" s="3">
        <v>1</v>
      </c>
      <c r="E66" s="27"/>
      <c r="F66" s="6" t="s">
        <v>13</v>
      </c>
      <c r="G66" s="3">
        <f>'Majority A-B'!K216</f>
        <v>1</v>
      </c>
      <c r="H66" s="3">
        <f>'Majority A-B'!K216*2+'Majority A-B'!L216</f>
        <v>3</v>
      </c>
      <c r="I66" s="3">
        <v>1</v>
      </c>
      <c r="J66" s="27"/>
      <c r="K66" s="27"/>
    </row>
    <row r="67" spans="1:11" ht="25.05" customHeight="1">
      <c r="A67" s="7" t="s">
        <v>15</v>
      </c>
      <c r="B67" s="7" t="str">
        <f>'Majority A-B'!K217&amp;""</f>
        <v>1</v>
      </c>
      <c r="C67" s="30" t="str">
        <f>'Majority A-B'!K217&amp;'Majority A-B'!L217</f>
        <v>11</v>
      </c>
      <c r="D67" s="4">
        <v>1</v>
      </c>
      <c r="E67" s="27"/>
      <c r="F67" s="7" t="s">
        <v>15</v>
      </c>
      <c r="G67" s="4">
        <f>'Majority A-B'!K217</f>
        <v>1</v>
      </c>
      <c r="H67" s="4">
        <f>'Majority A-B'!K217*2+'Majority A-B'!L217</f>
        <v>3</v>
      </c>
      <c r="I67" s="4">
        <v>1</v>
      </c>
      <c r="J67" s="27"/>
      <c r="K67" s="27"/>
    </row>
    <row r="68" spans="1:11" ht="25.05" customHeight="1">
      <c r="A68" s="6" t="s">
        <v>17</v>
      </c>
      <c r="B68" s="6" t="str">
        <f>'Majority A-B'!K218&amp;""</f>
        <v>1</v>
      </c>
      <c r="C68" s="29" t="str">
        <f>'Majority A-B'!K218&amp;'Majority A-B'!L218</f>
        <v>11</v>
      </c>
      <c r="D68" s="3">
        <v>2</v>
      </c>
      <c r="E68" s="27"/>
      <c r="F68" s="6" t="s">
        <v>17</v>
      </c>
      <c r="G68" s="3">
        <f>'Majority A-B'!K218</f>
        <v>1</v>
      </c>
      <c r="H68" s="3">
        <f>'Majority A-B'!K218*2+'Majority A-B'!L218</f>
        <v>3</v>
      </c>
      <c r="I68" s="3">
        <v>2</v>
      </c>
      <c r="J68" s="27"/>
      <c r="K68" s="27"/>
    </row>
    <row r="69" spans="1:11" ht="25.05" customHeight="1">
      <c r="A69" s="7" t="s">
        <v>19</v>
      </c>
      <c r="B69" s="7" t="str">
        <f>'Majority A-B'!K219&amp;""</f>
        <v>1</v>
      </c>
      <c r="C69" s="30" t="str">
        <f>'Majority A-B'!K219&amp;'Majority A-B'!L219</f>
        <v>11</v>
      </c>
      <c r="D69" s="4">
        <v>1</v>
      </c>
      <c r="E69" s="27"/>
      <c r="F69" s="7" t="s">
        <v>19</v>
      </c>
      <c r="G69" s="4">
        <f>'Majority A-B'!K219</f>
        <v>1</v>
      </c>
      <c r="H69" s="4">
        <f>'Majority A-B'!K219*2+'Majority A-B'!L219</f>
        <v>3</v>
      </c>
      <c r="I69" s="4">
        <v>1</v>
      </c>
      <c r="J69" s="27"/>
      <c r="K69" s="27"/>
    </row>
    <row r="70" spans="1:11" ht="25.05" customHeight="1">
      <c r="A70" s="6" t="s">
        <v>21</v>
      </c>
      <c r="B70" s="6" t="str">
        <f>'Majority A-B'!K220&amp;""</f>
        <v>1</v>
      </c>
      <c r="C70" s="29" t="str">
        <f>'Majority A-B'!K220&amp;'Majority A-B'!L220</f>
        <v>11</v>
      </c>
      <c r="D70" s="3">
        <v>2</v>
      </c>
      <c r="E70" s="27"/>
      <c r="F70" s="6" t="s">
        <v>21</v>
      </c>
      <c r="G70" s="3">
        <f>'Majority A-B'!K220</f>
        <v>1</v>
      </c>
      <c r="H70" s="3">
        <f>'Majority A-B'!K220*2+'Majority A-B'!L220</f>
        <v>3</v>
      </c>
      <c r="I70" s="3">
        <v>2</v>
      </c>
      <c r="J70" s="27"/>
      <c r="K70" s="27"/>
    </row>
    <row r="71" spans="1:11" ht="25.05" customHeight="1">
      <c r="A71" s="7" t="s">
        <v>23</v>
      </c>
      <c r="B71" s="7" t="str">
        <f>'Majority A-B'!K221&amp;""</f>
        <v>1</v>
      </c>
      <c r="C71" s="30" t="str">
        <f>'Majority A-B'!K221&amp;'Majority A-B'!L221</f>
        <v>11</v>
      </c>
      <c r="D71" s="4">
        <v>1</v>
      </c>
      <c r="E71" s="27"/>
      <c r="F71" s="7" t="s">
        <v>23</v>
      </c>
      <c r="G71" s="4">
        <f>'Majority A-B'!K221</f>
        <v>1</v>
      </c>
      <c r="H71" s="4">
        <f>'Majority A-B'!K221*2+'Majority A-B'!L221</f>
        <v>3</v>
      </c>
      <c r="I71" s="4">
        <v>1</v>
      </c>
      <c r="J71" s="27"/>
      <c r="K71" s="27"/>
    </row>
    <row r="72" spans="1:11" ht="25.05" customHeight="1">
      <c r="A72" s="6" t="s">
        <v>26</v>
      </c>
      <c r="B72" s="6" t="str">
        <f>'Majority A-B'!K222&amp;""</f>
        <v>1</v>
      </c>
      <c r="C72" s="29" t="str">
        <f>'Majority A-B'!K222&amp;'Majority A-B'!L222</f>
        <v>11</v>
      </c>
      <c r="D72" s="3">
        <v>1</v>
      </c>
      <c r="E72" s="27"/>
      <c r="F72" s="6" t="s">
        <v>26</v>
      </c>
      <c r="G72" s="3">
        <f>'Majority A-B'!K222</f>
        <v>1</v>
      </c>
      <c r="H72" s="3">
        <f>'Majority A-B'!K222*2+'Majority A-B'!L222</f>
        <v>3</v>
      </c>
      <c r="I72" s="3">
        <v>1</v>
      </c>
      <c r="J72" s="27"/>
      <c r="K72" s="27"/>
    </row>
    <row r="73" spans="1:11" ht="25.05" customHeight="1">
      <c r="A73" s="7" t="s">
        <v>29</v>
      </c>
      <c r="B73" s="7" t="str">
        <f>'Majority A-B'!K223&amp;""</f>
        <v>1</v>
      </c>
      <c r="C73" s="30" t="str">
        <f>'Majority A-B'!K223&amp;'Majority A-B'!L223</f>
        <v>11</v>
      </c>
      <c r="D73" s="4">
        <v>1</v>
      </c>
      <c r="E73" s="27"/>
      <c r="F73" s="7" t="s">
        <v>29</v>
      </c>
      <c r="G73" s="4">
        <f>'Majority A-B'!K223</f>
        <v>1</v>
      </c>
      <c r="H73" s="4">
        <f>'Majority A-B'!K223*2+'Majority A-B'!L223</f>
        <v>3</v>
      </c>
      <c r="I73" s="4">
        <v>1</v>
      </c>
      <c r="J73" s="27"/>
      <c r="K73" s="27"/>
    </row>
    <row r="74" spans="1:11" ht="25.05" customHeight="1">
      <c r="A74" s="6" t="s">
        <v>32</v>
      </c>
      <c r="B74" s="6" t="str">
        <f>'Majority A-B'!K224&amp;""</f>
        <v>1</v>
      </c>
      <c r="C74" s="29" t="str">
        <f>'Majority A-B'!K224&amp;'Majority A-B'!L224</f>
        <v>11</v>
      </c>
      <c r="D74" s="3">
        <v>2</v>
      </c>
      <c r="E74" s="27"/>
      <c r="F74" s="6" t="s">
        <v>32</v>
      </c>
      <c r="G74" s="3">
        <f>'Majority A-B'!K224</f>
        <v>1</v>
      </c>
      <c r="H74" s="3">
        <f>'Majority A-B'!K224*2+'Majority A-B'!L224</f>
        <v>3</v>
      </c>
      <c r="I74" s="3">
        <v>2</v>
      </c>
      <c r="J74" s="27"/>
      <c r="K74" s="27"/>
    </row>
    <row r="75" spans="1:11" ht="25.05" customHeight="1">
      <c r="A75" s="8" t="s">
        <v>33</v>
      </c>
      <c r="B75" s="8" t="str">
        <f>'Majority A-B'!K225&amp;""</f>
        <v>1</v>
      </c>
      <c r="C75" s="31" t="str">
        <f>'Majority A-B'!K225&amp;'Majority A-B'!L225</f>
        <v>11</v>
      </c>
      <c r="D75" s="5">
        <v>2</v>
      </c>
      <c r="E75" s="27"/>
      <c r="F75" s="8" t="s">
        <v>33</v>
      </c>
      <c r="G75" s="5">
        <f>'Majority A-B'!K225</f>
        <v>1</v>
      </c>
      <c r="H75" s="5">
        <f>'Majority A-B'!K225*2+'Majority A-B'!L225</f>
        <v>3</v>
      </c>
      <c r="I75" s="5">
        <v>2</v>
      </c>
      <c r="J75" s="27"/>
      <c r="K75" s="27"/>
    </row>
    <row r="76" spans="1:1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spans="1:1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spans="1:11" ht="30" customHeight="1">
      <c r="A79" s="35" t="s">
        <v>143</v>
      </c>
      <c r="B79" s="35"/>
      <c r="C79" s="35"/>
      <c r="D79" s="35"/>
      <c r="E79" s="27"/>
      <c r="F79" s="35" t="s">
        <v>144</v>
      </c>
      <c r="G79" s="35"/>
      <c r="H79" s="35"/>
      <c r="I79" s="35"/>
      <c r="J79" s="27"/>
      <c r="K79" s="27"/>
    </row>
    <row r="80" spans="1:11" ht="43.95" customHeight="1">
      <c r="A80" s="2" t="s">
        <v>3</v>
      </c>
      <c r="B80" s="2" t="s">
        <v>89</v>
      </c>
      <c r="C80" s="2" t="s">
        <v>118</v>
      </c>
      <c r="D80" s="2" t="s">
        <v>10</v>
      </c>
      <c r="E80" s="27"/>
      <c r="F80" s="2" t="s">
        <v>3</v>
      </c>
      <c r="G80" s="2" t="s">
        <v>89</v>
      </c>
      <c r="H80" s="2" t="s">
        <v>118</v>
      </c>
      <c r="I80" s="2" t="s">
        <v>10</v>
      </c>
      <c r="J80" s="27"/>
      <c r="K80" s="27"/>
    </row>
    <row r="81" spans="1:11" ht="25.05" customHeight="1">
      <c r="A81" s="6" t="s">
        <v>13</v>
      </c>
      <c r="B81" s="6" t="str">
        <f>'Majority A-B'!K261&amp;""</f>
        <v>1</v>
      </c>
      <c r="C81" s="29" t="str">
        <f>'Majority A-B'!K261&amp;'Majority A-B'!L261</f>
        <v>11</v>
      </c>
      <c r="D81" s="3">
        <v>1</v>
      </c>
      <c r="E81" s="27"/>
      <c r="F81" s="6" t="s">
        <v>13</v>
      </c>
      <c r="G81" s="3">
        <f>'Majority A-B'!K261</f>
        <v>1</v>
      </c>
      <c r="H81" s="3">
        <f>'Majority A-B'!K261*2+'Majority A-B'!L261</f>
        <v>3</v>
      </c>
      <c r="I81" s="3">
        <v>1</v>
      </c>
      <c r="J81" s="27"/>
      <c r="K81" s="27"/>
    </row>
    <row r="82" spans="1:11" ht="25.05" customHeight="1">
      <c r="A82" s="7" t="s">
        <v>15</v>
      </c>
      <c r="B82" s="7" t="str">
        <f>'Majority A-B'!K262&amp;""</f>
        <v>1</v>
      </c>
      <c r="C82" s="30" t="str">
        <f>'Majority A-B'!K262&amp;'Majority A-B'!L262</f>
        <v>11</v>
      </c>
      <c r="D82" s="4">
        <v>1</v>
      </c>
      <c r="E82" s="27"/>
      <c r="F82" s="7" t="s">
        <v>15</v>
      </c>
      <c r="G82" s="4">
        <f>'Majority A-B'!K262</f>
        <v>1</v>
      </c>
      <c r="H82" s="4">
        <f>'Majority A-B'!K262*2+'Majority A-B'!L262</f>
        <v>3</v>
      </c>
      <c r="I82" s="4">
        <v>1</v>
      </c>
      <c r="J82" s="27"/>
      <c r="K82" s="27"/>
    </row>
    <row r="83" spans="1:11" ht="25.05" customHeight="1">
      <c r="A83" s="6" t="s">
        <v>17</v>
      </c>
      <c r="B83" s="6" t="str">
        <f>'Majority A-B'!K263&amp;""</f>
        <v>1</v>
      </c>
      <c r="C83" s="29" t="str">
        <f>'Majority A-B'!K263&amp;'Majority A-B'!L263</f>
        <v>11</v>
      </c>
      <c r="D83" s="3">
        <v>2</v>
      </c>
      <c r="E83" s="27"/>
      <c r="F83" s="6" t="s">
        <v>17</v>
      </c>
      <c r="G83" s="3">
        <f>'Majority A-B'!K263</f>
        <v>1</v>
      </c>
      <c r="H83" s="3">
        <f>'Majority A-B'!K263*2+'Majority A-B'!L263</f>
        <v>3</v>
      </c>
      <c r="I83" s="3">
        <v>2</v>
      </c>
      <c r="J83" s="27"/>
      <c r="K83" s="27"/>
    </row>
    <row r="84" spans="1:11" ht="25.05" customHeight="1">
      <c r="A84" s="7" t="s">
        <v>19</v>
      </c>
      <c r="B84" s="7" t="str">
        <f>'Majority A-B'!K264&amp;""</f>
        <v>1</v>
      </c>
      <c r="C84" s="30" t="str">
        <f>'Majority A-B'!K264&amp;'Majority A-B'!L264</f>
        <v>11</v>
      </c>
      <c r="D84" s="4">
        <v>1</v>
      </c>
      <c r="E84" s="27"/>
      <c r="F84" s="7" t="s">
        <v>19</v>
      </c>
      <c r="G84" s="4">
        <f>'Majority A-B'!K264</f>
        <v>1</v>
      </c>
      <c r="H84" s="4">
        <f>'Majority A-B'!K264*2+'Majority A-B'!L264</f>
        <v>3</v>
      </c>
      <c r="I84" s="4">
        <v>1</v>
      </c>
      <c r="J84" s="27"/>
      <c r="K84" s="27"/>
    </row>
    <row r="85" spans="1:11" ht="25.05" customHeight="1">
      <c r="A85" s="6" t="s">
        <v>21</v>
      </c>
      <c r="B85" s="6" t="str">
        <f>'Majority A-B'!K265&amp;""</f>
        <v>1</v>
      </c>
      <c r="C85" s="29" t="str">
        <f>'Majority A-B'!K265&amp;'Majority A-B'!L265</f>
        <v>11</v>
      </c>
      <c r="D85" s="3">
        <v>2</v>
      </c>
      <c r="E85" s="27"/>
      <c r="F85" s="6" t="s">
        <v>21</v>
      </c>
      <c r="G85" s="3">
        <f>'Majority A-B'!K265</f>
        <v>1</v>
      </c>
      <c r="H85" s="3">
        <f>'Majority A-B'!K265*2+'Majority A-B'!L265</f>
        <v>3</v>
      </c>
      <c r="I85" s="3">
        <v>2</v>
      </c>
      <c r="J85" s="27"/>
      <c r="K85" s="27"/>
    </row>
    <row r="86" spans="1:11" ht="25.05" customHeight="1">
      <c r="A86" s="7" t="s">
        <v>23</v>
      </c>
      <c r="B86" s="7" t="str">
        <f>'Majority A-B'!K266&amp;""</f>
        <v>1</v>
      </c>
      <c r="C86" s="30" t="str">
        <f>'Majority A-B'!K266&amp;'Majority A-B'!L266</f>
        <v>11</v>
      </c>
      <c r="D86" s="4">
        <v>1</v>
      </c>
      <c r="E86" s="27"/>
      <c r="F86" s="7" t="s">
        <v>23</v>
      </c>
      <c r="G86" s="4">
        <f>'Majority A-B'!K266</f>
        <v>1</v>
      </c>
      <c r="H86" s="4">
        <f>'Majority A-B'!K266*2+'Majority A-B'!L266</f>
        <v>3</v>
      </c>
      <c r="I86" s="4">
        <v>1</v>
      </c>
      <c r="J86" s="27"/>
      <c r="K86" s="27"/>
    </row>
    <row r="87" spans="1:11" ht="25.05" customHeight="1">
      <c r="A87" s="6" t="s">
        <v>26</v>
      </c>
      <c r="B87" s="6" t="str">
        <f>'Majority A-B'!K267&amp;""</f>
        <v>1</v>
      </c>
      <c r="C87" s="29" t="str">
        <f>'Majority A-B'!K267&amp;'Majority A-B'!L267</f>
        <v>11</v>
      </c>
      <c r="D87" s="3">
        <v>1</v>
      </c>
      <c r="E87" s="27"/>
      <c r="F87" s="6" t="s">
        <v>26</v>
      </c>
      <c r="G87" s="3">
        <f>'Majority A-B'!K267</f>
        <v>1</v>
      </c>
      <c r="H87" s="3">
        <f>'Majority A-B'!K267*2+'Majority A-B'!L267</f>
        <v>3</v>
      </c>
      <c r="I87" s="3">
        <v>1</v>
      </c>
      <c r="J87" s="27"/>
      <c r="K87" s="27"/>
    </row>
    <row r="88" spans="1:11" ht="25.05" customHeight="1">
      <c r="A88" s="7" t="s">
        <v>29</v>
      </c>
      <c r="B88" s="7" t="str">
        <f>'Majority A-B'!K268&amp;""</f>
        <v>1</v>
      </c>
      <c r="C88" s="30" t="str">
        <f>'Majority A-B'!K268&amp;'Majority A-B'!L268</f>
        <v>11</v>
      </c>
      <c r="D88" s="4">
        <v>1</v>
      </c>
      <c r="E88" s="27"/>
      <c r="F88" s="7" t="s">
        <v>29</v>
      </c>
      <c r="G88" s="4">
        <f>'Majority A-B'!K268</f>
        <v>1</v>
      </c>
      <c r="H88" s="4">
        <f>'Majority A-B'!K268*2+'Majority A-B'!L268</f>
        <v>3</v>
      </c>
      <c r="I88" s="4">
        <v>1</v>
      </c>
      <c r="J88" s="27"/>
      <c r="K88" s="27"/>
    </row>
    <row r="89" spans="1:11" ht="25.05" customHeight="1">
      <c r="A89" s="6" t="s">
        <v>32</v>
      </c>
      <c r="B89" s="6" t="str">
        <f>'Majority A-B'!K269&amp;""</f>
        <v>1</v>
      </c>
      <c r="C89" s="29" t="str">
        <f>'Majority A-B'!K269&amp;'Majority A-B'!L269</f>
        <v>11</v>
      </c>
      <c r="D89" s="3">
        <v>2</v>
      </c>
      <c r="E89" s="27"/>
      <c r="F89" s="6" t="s">
        <v>32</v>
      </c>
      <c r="G89" s="3">
        <f>'Majority A-B'!K269</f>
        <v>1</v>
      </c>
      <c r="H89" s="3">
        <f>'Majority A-B'!K269*2+'Majority A-B'!L269</f>
        <v>3</v>
      </c>
      <c r="I89" s="3">
        <v>2</v>
      </c>
      <c r="J89" s="27"/>
      <c r="K89" s="27"/>
    </row>
    <row r="90" spans="1:11" ht="25.05" customHeight="1">
      <c r="A90" s="8" t="s">
        <v>33</v>
      </c>
      <c r="B90" s="8" t="str">
        <f>'Majority A-B'!K270&amp;""</f>
        <v>1</v>
      </c>
      <c r="C90" s="31" t="str">
        <f>'Majority A-B'!K270&amp;'Majority A-B'!L270</f>
        <v>11</v>
      </c>
      <c r="D90" s="5">
        <v>2</v>
      </c>
      <c r="E90" s="27"/>
      <c r="F90" s="8" t="s">
        <v>33</v>
      </c>
      <c r="G90" s="5">
        <f>'Majority A-B'!K270</f>
        <v>1</v>
      </c>
      <c r="H90" s="5">
        <f>'Majority A-B'!K270*2+'Majority A-B'!L270</f>
        <v>3</v>
      </c>
      <c r="I90" s="5">
        <v>2</v>
      </c>
      <c r="J90" s="27"/>
      <c r="K90" s="27"/>
    </row>
    <row r="91" spans="1:1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spans="1:1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 spans="1:1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 spans="1:11" ht="30" customHeight="1">
      <c r="A94" s="35" t="s">
        <v>145</v>
      </c>
      <c r="B94" s="35"/>
      <c r="C94" s="35"/>
      <c r="D94" s="35"/>
      <c r="E94" s="27"/>
      <c r="F94" s="35" t="s">
        <v>146</v>
      </c>
      <c r="G94" s="35"/>
      <c r="H94" s="35"/>
      <c r="I94" s="35"/>
      <c r="J94" s="27"/>
      <c r="K94" s="27"/>
    </row>
    <row r="95" spans="1:11" ht="43.95" customHeight="1">
      <c r="A95" s="2" t="s">
        <v>3</v>
      </c>
      <c r="B95" s="2" t="s">
        <v>89</v>
      </c>
      <c r="C95" s="2" t="s">
        <v>118</v>
      </c>
      <c r="D95" s="2" t="s">
        <v>10</v>
      </c>
      <c r="E95" s="27"/>
      <c r="F95" s="2" t="s">
        <v>3</v>
      </c>
      <c r="G95" s="2" t="s">
        <v>89</v>
      </c>
      <c r="H95" s="2" t="s">
        <v>118</v>
      </c>
      <c r="I95" s="2" t="s">
        <v>10</v>
      </c>
      <c r="J95" s="27"/>
      <c r="K95" s="27"/>
    </row>
    <row r="96" spans="1:11" ht="25.05" customHeight="1">
      <c r="A96" s="6" t="s">
        <v>13</v>
      </c>
      <c r="B96" s="6" t="str">
        <f>'Majority A-B'!K306&amp;""</f>
        <v>1</v>
      </c>
      <c r="C96" s="29" t="str">
        <f>'Majority A-B'!K306&amp;'Majority A-B'!L306</f>
        <v>11</v>
      </c>
      <c r="D96" s="3">
        <v>1</v>
      </c>
      <c r="E96" s="27"/>
      <c r="F96" s="6" t="s">
        <v>13</v>
      </c>
      <c r="G96" s="3">
        <f>'Majority A-B'!K306</f>
        <v>1</v>
      </c>
      <c r="H96" s="3">
        <f>'Majority A-B'!K306*2+'Majority A-B'!L306</f>
        <v>3</v>
      </c>
      <c r="I96" s="3">
        <v>1</v>
      </c>
      <c r="J96" s="27"/>
      <c r="K96" s="27"/>
    </row>
    <row r="97" spans="1:11" ht="25.05" customHeight="1">
      <c r="A97" s="7" t="s">
        <v>15</v>
      </c>
      <c r="B97" s="7" t="str">
        <f>'Majority A-B'!K307&amp;""</f>
        <v>1</v>
      </c>
      <c r="C97" s="30" t="str">
        <f>'Majority A-B'!K307&amp;'Majority A-B'!L307</f>
        <v>10</v>
      </c>
      <c r="D97" s="4">
        <v>1</v>
      </c>
      <c r="E97" s="27"/>
      <c r="F97" s="7" t="s">
        <v>15</v>
      </c>
      <c r="G97" s="4">
        <f>'Majority A-B'!K307</f>
        <v>1</v>
      </c>
      <c r="H97" s="4">
        <f>'Majority A-B'!K307*2+'Majority A-B'!L307</f>
        <v>2</v>
      </c>
      <c r="I97" s="4">
        <v>1</v>
      </c>
      <c r="J97" s="27"/>
      <c r="K97" s="27"/>
    </row>
    <row r="98" spans="1:11" ht="25.05" customHeight="1">
      <c r="A98" s="6" t="s">
        <v>17</v>
      </c>
      <c r="B98" s="6" t="str">
        <f>'Majority A-B'!K308&amp;""</f>
        <v>1</v>
      </c>
      <c r="C98" s="29" t="str">
        <f>'Majority A-B'!K308&amp;'Majority A-B'!L308</f>
        <v>11</v>
      </c>
      <c r="D98" s="3">
        <v>2</v>
      </c>
      <c r="E98" s="27"/>
      <c r="F98" s="6" t="s">
        <v>17</v>
      </c>
      <c r="G98" s="3">
        <f>'Majority A-B'!K308</f>
        <v>1</v>
      </c>
      <c r="H98" s="3">
        <f>'Majority A-B'!K308*2+'Majority A-B'!L308</f>
        <v>3</v>
      </c>
      <c r="I98" s="3">
        <v>2</v>
      </c>
      <c r="J98" s="27"/>
      <c r="K98" s="27"/>
    </row>
    <row r="99" spans="1:11" ht="25.05" customHeight="1">
      <c r="A99" s="7" t="s">
        <v>19</v>
      </c>
      <c r="B99" s="7" t="str">
        <f>'Majority A-B'!K309&amp;""</f>
        <v>1</v>
      </c>
      <c r="C99" s="30" t="str">
        <f>'Majority A-B'!K309&amp;'Majority A-B'!L309</f>
        <v>11</v>
      </c>
      <c r="D99" s="4">
        <v>1</v>
      </c>
      <c r="E99" s="27"/>
      <c r="F99" s="7" t="s">
        <v>19</v>
      </c>
      <c r="G99" s="4">
        <f>'Majority A-B'!K309</f>
        <v>1</v>
      </c>
      <c r="H99" s="4">
        <f>'Majority A-B'!K309*2+'Majority A-B'!L309</f>
        <v>3</v>
      </c>
      <c r="I99" s="4">
        <v>1</v>
      </c>
      <c r="J99" s="27"/>
      <c r="K99" s="27"/>
    </row>
    <row r="100" spans="1:11" ht="25.05" customHeight="1">
      <c r="A100" s="6" t="s">
        <v>21</v>
      </c>
      <c r="B100" s="6" t="str">
        <f>'Majority A-B'!K310&amp;""</f>
        <v>1</v>
      </c>
      <c r="C100" s="29" t="str">
        <f>'Majority A-B'!K310&amp;'Majority A-B'!L310</f>
        <v>11</v>
      </c>
      <c r="D100" s="3">
        <v>2</v>
      </c>
      <c r="E100" s="27"/>
      <c r="F100" s="6" t="s">
        <v>21</v>
      </c>
      <c r="G100" s="3">
        <f>'Majority A-B'!K310</f>
        <v>1</v>
      </c>
      <c r="H100" s="3">
        <f>'Majority A-B'!K310*2+'Majority A-B'!L310</f>
        <v>3</v>
      </c>
      <c r="I100" s="3">
        <v>2</v>
      </c>
      <c r="J100" s="27"/>
      <c r="K100" s="27"/>
    </row>
    <row r="101" spans="1:11" ht="25.05" customHeight="1">
      <c r="A101" s="7" t="s">
        <v>23</v>
      </c>
      <c r="B101" s="7" t="str">
        <f>'Majority A-B'!K311&amp;""</f>
        <v>1</v>
      </c>
      <c r="C101" s="30" t="str">
        <f>'Majority A-B'!K311&amp;'Majority A-B'!L311</f>
        <v>11</v>
      </c>
      <c r="D101" s="4">
        <v>1</v>
      </c>
      <c r="E101" s="27"/>
      <c r="F101" s="7" t="s">
        <v>23</v>
      </c>
      <c r="G101" s="4">
        <f>'Majority A-B'!K311</f>
        <v>1</v>
      </c>
      <c r="H101" s="4">
        <f>'Majority A-B'!K311*2+'Majority A-B'!L311</f>
        <v>3</v>
      </c>
      <c r="I101" s="4">
        <v>1</v>
      </c>
      <c r="J101" s="27"/>
      <c r="K101" s="27"/>
    </row>
    <row r="102" spans="1:11" ht="25.05" customHeight="1">
      <c r="A102" s="6" t="s">
        <v>26</v>
      </c>
      <c r="B102" s="6" t="str">
        <f>'Majority A-B'!K312&amp;""</f>
        <v>1</v>
      </c>
      <c r="C102" s="29" t="str">
        <f>'Majority A-B'!K312&amp;'Majority A-B'!L312</f>
        <v>11</v>
      </c>
      <c r="D102" s="3">
        <v>1</v>
      </c>
      <c r="E102" s="27"/>
      <c r="F102" s="6" t="s">
        <v>26</v>
      </c>
      <c r="G102" s="3">
        <f>'Majority A-B'!K312</f>
        <v>1</v>
      </c>
      <c r="H102" s="3">
        <f>'Majority A-B'!K312*2+'Majority A-B'!L312</f>
        <v>3</v>
      </c>
      <c r="I102" s="3">
        <v>1</v>
      </c>
      <c r="J102" s="27"/>
      <c r="K102" s="27"/>
    </row>
    <row r="103" spans="1:11" ht="25.05" customHeight="1">
      <c r="A103" s="7" t="s">
        <v>29</v>
      </c>
      <c r="B103" s="7" t="str">
        <f>'Majority A-B'!K313&amp;""</f>
        <v>1</v>
      </c>
      <c r="C103" s="30" t="str">
        <f>'Majority A-B'!K313&amp;'Majority A-B'!L313</f>
        <v>11</v>
      </c>
      <c r="D103" s="4">
        <v>1</v>
      </c>
      <c r="E103" s="27"/>
      <c r="F103" s="7" t="s">
        <v>29</v>
      </c>
      <c r="G103" s="4">
        <f>'Majority A-B'!K313</f>
        <v>1</v>
      </c>
      <c r="H103" s="4">
        <f>'Majority A-B'!K313*2+'Majority A-B'!L313</f>
        <v>3</v>
      </c>
      <c r="I103" s="4">
        <v>1</v>
      </c>
      <c r="J103" s="27"/>
      <c r="K103" s="27"/>
    </row>
    <row r="104" spans="1:11" ht="25.05" customHeight="1">
      <c r="A104" s="6" t="s">
        <v>32</v>
      </c>
      <c r="B104" s="6" t="str">
        <f>'Majority A-B'!K314&amp;""</f>
        <v>1</v>
      </c>
      <c r="C104" s="29" t="str">
        <f>'Majority A-B'!K314&amp;'Majority A-B'!L314</f>
        <v>11</v>
      </c>
      <c r="D104" s="3">
        <v>2</v>
      </c>
      <c r="E104" s="27"/>
      <c r="F104" s="6" t="s">
        <v>32</v>
      </c>
      <c r="G104" s="3">
        <f>'Majority A-B'!K314</f>
        <v>1</v>
      </c>
      <c r="H104" s="3">
        <f>'Majority A-B'!K314*2+'Majority A-B'!L314</f>
        <v>3</v>
      </c>
      <c r="I104" s="3">
        <v>2</v>
      </c>
      <c r="J104" s="27"/>
      <c r="K104" s="27"/>
    </row>
    <row r="105" spans="1:11" ht="25.05" customHeight="1">
      <c r="A105" s="8" t="s">
        <v>33</v>
      </c>
      <c r="B105" s="8" t="str">
        <f>'Majority A-B'!K315&amp;""</f>
        <v>1</v>
      </c>
      <c r="C105" s="31" t="str">
        <f>'Majority A-B'!K315&amp;'Majority A-B'!L315</f>
        <v>11</v>
      </c>
      <c r="D105" s="5">
        <v>2</v>
      </c>
      <c r="E105" s="27"/>
      <c r="F105" s="8" t="s">
        <v>33</v>
      </c>
      <c r="G105" s="5">
        <f>'Majority A-B'!K315</f>
        <v>1</v>
      </c>
      <c r="H105" s="5">
        <f>'Majority A-B'!K315*2+'Majority A-B'!L315</f>
        <v>3</v>
      </c>
      <c r="I105" s="5">
        <v>2</v>
      </c>
      <c r="J105" s="27"/>
      <c r="K105" s="27"/>
    </row>
    <row r="106" spans="1:1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spans="1:1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spans="1:1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 spans="1:11" ht="30" customHeight="1">
      <c r="A109" s="35" t="s">
        <v>147</v>
      </c>
      <c r="B109" s="35"/>
      <c r="C109" s="35"/>
      <c r="D109" s="35"/>
      <c r="E109" s="27"/>
      <c r="F109" s="35" t="s">
        <v>148</v>
      </c>
      <c r="G109" s="35"/>
      <c r="H109" s="35"/>
      <c r="I109" s="35"/>
      <c r="J109" s="27"/>
      <c r="K109" s="27"/>
    </row>
    <row r="110" spans="1:11" ht="43.95" customHeight="1">
      <c r="A110" s="2" t="s">
        <v>3</v>
      </c>
      <c r="B110" s="2" t="s">
        <v>89</v>
      </c>
      <c r="C110" s="2" t="s">
        <v>118</v>
      </c>
      <c r="D110" s="2" t="s">
        <v>10</v>
      </c>
      <c r="E110" s="27"/>
      <c r="F110" s="2" t="s">
        <v>3</v>
      </c>
      <c r="G110" s="2" t="s">
        <v>89</v>
      </c>
      <c r="H110" s="2" t="s">
        <v>118</v>
      </c>
      <c r="I110" s="2" t="s">
        <v>10</v>
      </c>
      <c r="J110" s="27"/>
      <c r="K110" s="27"/>
    </row>
    <row r="111" spans="1:11" ht="25.05" customHeight="1">
      <c r="A111" s="6" t="s">
        <v>13</v>
      </c>
      <c r="B111" s="6" t="str">
        <f>'Majority A-B'!K351&amp;""</f>
        <v>1</v>
      </c>
      <c r="C111" s="29" t="str">
        <f>'Majority A-B'!K351&amp;'Majority A-B'!L351</f>
        <v>11</v>
      </c>
      <c r="D111" s="3">
        <v>1</v>
      </c>
      <c r="E111" s="27"/>
      <c r="F111" s="6" t="s">
        <v>13</v>
      </c>
      <c r="G111" s="3">
        <f>'Majority A-B'!K351</f>
        <v>1</v>
      </c>
      <c r="H111" s="3">
        <f>'Majority A-B'!K351*2+'Majority A-B'!L351</f>
        <v>3</v>
      </c>
      <c r="I111" s="3">
        <v>1</v>
      </c>
      <c r="J111" s="27"/>
      <c r="K111" s="27"/>
    </row>
    <row r="112" spans="1:11" ht="25.05" customHeight="1">
      <c r="A112" s="7" t="s">
        <v>15</v>
      </c>
      <c r="B112" s="7" t="str">
        <f>'Majority A-B'!K352&amp;""</f>
        <v>1</v>
      </c>
      <c r="C112" s="30" t="str">
        <f>'Majority A-B'!K352&amp;'Majority A-B'!L352</f>
        <v>11</v>
      </c>
      <c r="D112" s="4">
        <v>1</v>
      </c>
      <c r="E112" s="27"/>
      <c r="F112" s="7" t="s">
        <v>15</v>
      </c>
      <c r="G112" s="4">
        <f>'Majority A-B'!K352</f>
        <v>1</v>
      </c>
      <c r="H112" s="4">
        <f>'Majority A-B'!K352*2+'Majority A-B'!L352</f>
        <v>3</v>
      </c>
      <c r="I112" s="4">
        <v>1</v>
      </c>
      <c r="J112" s="27"/>
      <c r="K112" s="27"/>
    </row>
    <row r="113" spans="1:11" ht="25.05" customHeight="1">
      <c r="A113" s="6" t="s">
        <v>17</v>
      </c>
      <c r="B113" s="6" t="str">
        <f>'Majority A-B'!K353&amp;""</f>
        <v>1</v>
      </c>
      <c r="C113" s="29" t="str">
        <f>'Majority A-B'!K353&amp;'Majority A-B'!L353</f>
        <v>11</v>
      </c>
      <c r="D113" s="3">
        <v>2</v>
      </c>
      <c r="E113" s="27"/>
      <c r="F113" s="6" t="s">
        <v>17</v>
      </c>
      <c r="G113" s="3">
        <f>'Majority A-B'!K353</f>
        <v>1</v>
      </c>
      <c r="H113" s="3">
        <f>'Majority A-B'!K353*2+'Majority A-B'!L353</f>
        <v>3</v>
      </c>
      <c r="I113" s="3">
        <v>2</v>
      </c>
      <c r="J113" s="27"/>
      <c r="K113" s="27"/>
    </row>
    <row r="114" spans="1:11" ht="25.05" customHeight="1">
      <c r="A114" s="7" t="s">
        <v>19</v>
      </c>
      <c r="B114" s="7" t="str">
        <f>'Majority A-B'!K354&amp;""</f>
        <v>1</v>
      </c>
      <c r="C114" s="30" t="str">
        <f>'Majority A-B'!K354&amp;'Majority A-B'!L354</f>
        <v>11</v>
      </c>
      <c r="D114" s="4">
        <v>1</v>
      </c>
      <c r="E114" s="27"/>
      <c r="F114" s="7" t="s">
        <v>19</v>
      </c>
      <c r="G114" s="4">
        <f>'Majority A-B'!K354</f>
        <v>1</v>
      </c>
      <c r="H114" s="4">
        <f>'Majority A-B'!K354*2+'Majority A-B'!L354</f>
        <v>3</v>
      </c>
      <c r="I114" s="4">
        <v>1</v>
      </c>
      <c r="J114" s="27"/>
      <c r="K114" s="27"/>
    </row>
    <row r="115" spans="1:11" ht="25.05" customHeight="1">
      <c r="A115" s="6" t="s">
        <v>21</v>
      </c>
      <c r="B115" s="6" t="str">
        <f>'Majority A-B'!K355&amp;""</f>
        <v>1</v>
      </c>
      <c r="C115" s="29" t="str">
        <f>'Majority A-B'!K355&amp;'Majority A-B'!L355</f>
        <v>11</v>
      </c>
      <c r="D115" s="3">
        <v>2</v>
      </c>
      <c r="E115" s="27"/>
      <c r="F115" s="6" t="s">
        <v>21</v>
      </c>
      <c r="G115" s="3">
        <f>'Majority A-B'!K355</f>
        <v>1</v>
      </c>
      <c r="H115" s="3">
        <f>'Majority A-B'!K355*2+'Majority A-B'!L355</f>
        <v>3</v>
      </c>
      <c r="I115" s="3">
        <v>2</v>
      </c>
      <c r="J115" s="27"/>
      <c r="K115" s="27"/>
    </row>
    <row r="116" spans="1:11" ht="25.05" customHeight="1">
      <c r="A116" s="7" t="s">
        <v>23</v>
      </c>
      <c r="B116" s="7" t="str">
        <f>'Majority A-B'!K356&amp;""</f>
        <v>1</v>
      </c>
      <c r="C116" s="30" t="str">
        <f>'Majority A-B'!K356&amp;'Majority A-B'!L356</f>
        <v>11</v>
      </c>
      <c r="D116" s="4">
        <v>1</v>
      </c>
      <c r="E116" s="27"/>
      <c r="F116" s="7" t="s">
        <v>23</v>
      </c>
      <c r="G116" s="4">
        <f>'Majority A-B'!K356</f>
        <v>1</v>
      </c>
      <c r="H116" s="4">
        <f>'Majority A-B'!K356*2+'Majority A-B'!L356</f>
        <v>3</v>
      </c>
      <c r="I116" s="4">
        <v>1</v>
      </c>
      <c r="J116" s="27"/>
      <c r="K116" s="27"/>
    </row>
    <row r="117" spans="1:11" ht="25.05" customHeight="1">
      <c r="A117" s="6" t="s">
        <v>26</v>
      </c>
      <c r="B117" s="6" t="str">
        <f>'Majority A-B'!K357&amp;""</f>
        <v>1</v>
      </c>
      <c r="C117" s="29" t="str">
        <f>'Majority A-B'!K357&amp;'Majority A-B'!L357</f>
        <v>11</v>
      </c>
      <c r="D117" s="3">
        <v>1</v>
      </c>
      <c r="E117" s="27"/>
      <c r="F117" s="6" t="s">
        <v>26</v>
      </c>
      <c r="G117" s="3">
        <f>'Majority A-B'!K357</f>
        <v>1</v>
      </c>
      <c r="H117" s="3">
        <f>'Majority A-B'!K357*2+'Majority A-B'!L357</f>
        <v>3</v>
      </c>
      <c r="I117" s="3">
        <v>1</v>
      </c>
      <c r="J117" s="27"/>
      <c r="K117" s="27"/>
    </row>
    <row r="118" spans="1:11" ht="25.05" customHeight="1">
      <c r="A118" s="7" t="s">
        <v>29</v>
      </c>
      <c r="B118" s="7" t="str">
        <f>'Majority A-B'!K358&amp;""</f>
        <v>1</v>
      </c>
      <c r="C118" s="30" t="str">
        <f>'Majority A-B'!K358&amp;'Majority A-B'!L358</f>
        <v>11</v>
      </c>
      <c r="D118" s="4">
        <v>1</v>
      </c>
      <c r="E118" s="27"/>
      <c r="F118" s="7" t="s">
        <v>29</v>
      </c>
      <c r="G118" s="4">
        <f>'Majority A-B'!K358</f>
        <v>1</v>
      </c>
      <c r="H118" s="4">
        <f>'Majority A-B'!K358*2+'Majority A-B'!L358</f>
        <v>3</v>
      </c>
      <c r="I118" s="4">
        <v>1</v>
      </c>
      <c r="J118" s="27"/>
      <c r="K118" s="27"/>
    </row>
    <row r="119" spans="1:11" ht="25.05" customHeight="1">
      <c r="A119" s="6" t="s">
        <v>32</v>
      </c>
      <c r="B119" s="6" t="str">
        <f>'Majority A-B'!K359&amp;""</f>
        <v>1</v>
      </c>
      <c r="C119" s="29" t="str">
        <f>'Majority A-B'!K359&amp;'Majority A-B'!L359</f>
        <v>11</v>
      </c>
      <c r="D119" s="3">
        <v>2</v>
      </c>
      <c r="E119" s="27"/>
      <c r="F119" s="6" t="s">
        <v>32</v>
      </c>
      <c r="G119" s="3">
        <f>'Majority A-B'!K359</f>
        <v>1</v>
      </c>
      <c r="H119" s="3">
        <f>'Majority A-B'!K359*2+'Majority A-B'!L359</f>
        <v>3</v>
      </c>
      <c r="I119" s="3">
        <v>2</v>
      </c>
      <c r="J119" s="27"/>
      <c r="K119" s="27"/>
    </row>
    <row r="120" spans="1:11" ht="25.05" customHeight="1">
      <c r="A120" s="8" t="s">
        <v>33</v>
      </c>
      <c r="B120" s="8" t="str">
        <f>'Majority A-B'!K360&amp;""</f>
        <v>1</v>
      </c>
      <c r="C120" s="31" t="str">
        <f>'Majority A-B'!K360&amp;'Majority A-B'!L360</f>
        <v>11</v>
      </c>
      <c r="D120" s="5">
        <v>2</v>
      </c>
      <c r="E120" s="27"/>
      <c r="F120" s="8" t="s">
        <v>33</v>
      </c>
      <c r="G120" s="5">
        <f>'Majority A-B'!K360</f>
        <v>1</v>
      </c>
      <c r="H120" s="5">
        <f>'Majority A-B'!K360*2+'Majority A-B'!L360</f>
        <v>3</v>
      </c>
      <c r="I120" s="5">
        <v>2</v>
      </c>
      <c r="J120" s="27"/>
      <c r="K120" s="27"/>
    </row>
  </sheetData>
  <mergeCells count="17">
    <mergeCell ref="A94:D94"/>
    <mergeCell ref="F94:I94"/>
    <mergeCell ref="A109:D109"/>
    <mergeCell ref="F109:I109"/>
    <mergeCell ref="A2:I2"/>
    <mergeCell ref="A49:D49"/>
    <mergeCell ref="F49:I49"/>
    <mergeCell ref="A64:D64"/>
    <mergeCell ref="F64:I64"/>
    <mergeCell ref="A79:D79"/>
    <mergeCell ref="F79:I79"/>
    <mergeCell ref="A4:D4"/>
    <mergeCell ref="F4:I4"/>
    <mergeCell ref="A19:D19"/>
    <mergeCell ref="F19:I19"/>
    <mergeCell ref="A34:D34"/>
    <mergeCell ref="F34:I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46A98"/>
  </sheetPr>
  <dimension ref="A2:K118"/>
  <sheetViews>
    <sheetView showGridLines="0" workbookViewId="0">
      <pane ySplit="5" topLeftCell="A109" activePane="bottomLeft" state="frozen"/>
      <selection pane="bottomLeft" activeCell="E9" sqref="E9"/>
    </sheetView>
  </sheetViews>
  <sheetFormatPr defaultRowHeight="13.8"/>
  <cols>
    <col min="1" max="4" width="18" customWidth="1"/>
    <col min="5" max="6" width="25" customWidth="1"/>
    <col min="7" max="7" width="18" customWidth="1"/>
    <col min="8" max="8" width="25" customWidth="1"/>
    <col min="9" max="9" width="18" customWidth="1"/>
    <col min="10" max="10" width="24" customWidth="1"/>
    <col min="11" max="11" width="18" customWidth="1"/>
  </cols>
  <sheetData>
    <row r="2" spans="1:11" ht="36" customHeight="1">
      <c r="A2" s="34" t="s">
        <v>149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150</v>
      </c>
      <c r="B4" s="35"/>
      <c r="C4" s="35"/>
      <c r="D4" s="35"/>
      <c r="E4" s="27"/>
      <c r="F4" s="27"/>
      <c r="G4" s="27"/>
      <c r="H4" s="27"/>
      <c r="I4" s="27"/>
      <c r="J4" s="27"/>
      <c r="K4" s="27"/>
    </row>
    <row r="5" spans="1:11" ht="43.95" customHeight="1">
      <c r="A5" s="2" t="s">
        <v>100</v>
      </c>
      <c r="B5" s="2" t="s">
        <v>30</v>
      </c>
      <c r="C5" s="2" t="s">
        <v>151</v>
      </c>
      <c r="D5" s="2" t="s">
        <v>152</v>
      </c>
      <c r="E5" s="27"/>
      <c r="F5" s="27"/>
      <c r="G5" s="27"/>
      <c r="H5" s="27"/>
      <c r="I5" s="27"/>
      <c r="J5" s="27"/>
      <c r="K5" s="27"/>
    </row>
    <row r="6" spans="1:11" ht="25.05" customHeight="1">
      <c r="A6" s="6" t="s">
        <v>126</v>
      </c>
      <c r="B6" s="6" t="s">
        <v>153</v>
      </c>
      <c r="C6" s="11">
        <f>Stability!F6</f>
        <v>0.5</v>
      </c>
      <c r="D6" s="11">
        <f>Stability!F7</f>
        <v>0.5</v>
      </c>
      <c r="E6" s="27"/>
      <c r="F6" s="27"/>
      <c r="G6" s="27"/>
      <c r="H6" s="27"/>
      <c r="I6" s="27"/>
      <c r="J6" s="27"/>
      <c r="K6" s="27"/>
    </row>
    <row r="7" spans="1:11" ht="25.05" customHeight="1">
      <c r="A7" s="7" t="s">
        <v>127</v>
      </c>
      <c r="B7" s="7" t="s">
        <v>153</v>
      </c>
      <c r="C7" s="12">
        <f>Stability!F12</f>
        <v>0.61428571428571421</v>
      </c>
      <c r="D7" s="12">
        <f>Stability!F13</f>
        <v>0.61428571428571421</v>
      </c>
      <c r="E7" s="27"/>
      <c r="F7" s="27"/>
      <c r="G7" s="27"/>
      <c r="H7" s="27"/>
      <c r="I7" s="27"/>
      <c r="J7" s="27"/>
      <c r="K7" s="27"/>
    </row>
    <row r="8" spans="1:11" ht="25.05" customHeight="1">
      <c r="A8" s="6" t="s">
        <v>128</v>
      </c>
      <c r="B8" s="6" t="s">
        <v>153</v>
      </c>
      <c r="C8" s="11">
        <f>Stability!F18</f>
        <v>0.5</v>
      </c>
      <c r="D8" s="11">
        <f>Stability!F19</f>
        <v>0.5</v>
      </c>
      <c r="E8" s="27"/>
      <c r="F8" s="27"/>
      <c r="G8" s="27"/>
      <c r="H8" s="27"/>
      <c r="I8" s="27"/>
      <c r="J8" s="27"/>
      <c r="K8" s="27"/>
    </row>
    <row r="9" spans="1:11" ht="25.05" customHeight="1">
      <c r="A9" s="7" t="s">
        <v>129</v>
      </c>
      <c r="B9" s="7" t="s">
        <v>153</v>
      </c>
      <c r="C9" s="12">
        <f>Stability!F24</f>
        <v>0.5</v>
      </c>
      <c r="D9" s="12">
        <f>Stability!F25</f>
        <v>0.5</v>
      </c>
      <c r="E9" s="27"/>
      <c r="F9" s="27"/>
      <c r="G9" s="27"/>
      <c r="H9" s="27"/>
      <c r="I9" s="27"/>
      <c r="J9" s="27"/>
      <c r="K9" s="27"/>
    </row>
    <row r="10" spans="1:11" ht="25.05" customHeight="1">
      <c r="A10" s="6" t="s">
        <v>126</v>
      </c>
      <c r="B10" s="6" t="s">
        <v>154</v>
      </c>
      <c r="C10" s="11">
        <f>Stability!F30</f>
        <v>0.5</v>
      </c>
      <c r="D10" s="11">
        <f>Stability!F31</f>
        <v>0.5</v>
      </c>
      <c r="E10" s="27"/>
      <c r="F10" s="27"/>
      <c r="G10" s="27"/>
      <c r="H10" s="27"/>
      <c r="I10" s="27"/>
      <c r="J10" s="27"/>
      <c r="K10" s="27"/>
    </row>
    <row r="11" spans="1:11" ht="25.05" customHeight="1">
      <c r="A11" s="7" t="s">
        <v>127</v>
      </c>
      <c r="B11" s="7" t="s">
        <v>154</v>
      </c>
      <c r="C11" s="12">
        <f>Stability!F36</f>
        <v>0.5</v>
      </c>
      <c r="D11" s="12">
        <f>Stability!F37</f>
        <v>0.5</v>
      </c>
      <c r="E11" s="27"/>
      <c r="F11" s="27"/>
      <c r="G11" s="27"/>
      <c r="H11" s="27"/>
      <c r="I11" s="27"/>
      <c r="J11" s="27"/>
      <c r="K11" s="27"/>
    </row>
    <row r="12" spans="1:11" ht="25.05" customHeight="1">
      <c r="A12" s="6" t="s">
        <v>128</v>
      </c>
      <c r="B12" s="6" t="s">
        <v>154</v>
      </c>
      <c r="C12" s="11">
        <f>Stability!F42</f>
        <v>0.5</v>
      </c>
      <c r="D12" s="11">
        <f>Stability!F43</f>
        <v>0.59090909090909083</v>
      </c>
      <c r="E12" s="27"/>
      <c r="F12" s="27"/>
      <c r="G12" s="27"/>
      <c r="H12" s="27"/>
      <c r="I12" s="27"/>
      <c r="J12" s="27"/>
      <c r="K12" s="27"/>
    </row>
    <row r="13" spans="1:11" ht="25.05" customHeight="1">
      <c r="A13" s="8" t="s">
        <v>129</v>
      </c>
      <c r="B13" s="8" t="s">
        <v>154</v>
      </c>
      <c r="C13" s="13">
        <f>Stability!F48</f>
        <v>0.5</v>
      </c>
      <c r="D13" s="13">
        <f>Stability!F49</f>
        <v>0.5</v>
      </c>
      <c r="E13" s="27"/>
      <c r="F13" s="27"/>
      <c r="G13" s="27"/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30" customHeight="1">
      <c r="A17" s="35" t="s">
        <v>155</v>
      </c>
      <c r="B17" s="35"/>
      <c r="C17" s="35"/>
      <c r="D17" s="35"/>
      <c r="E17" s="35"/>
      <c r="F17" s="35"/>
      <c r="G17" s="27"/>
      <c r="H17" s="27"/>
      <c r="I17" s="27"/>
      <c r="J17" s="27"/>
      <c r="K17" s="27"/>
    </row>
    <row r="18" spans="1:11" ht="43.95" customHeight="1">
      <c r="A18" s="2" t="s">
        <v>100</v>
      </c>
      <c r="B18" s="2" t="s">
        <v>30</v>
      </c>
      <c r="C18" s="2" t="s">
        <v>156</v>
      </c>
      <c r="D18" s="2" t="s">
        <v>157</v>
      </c>
      <c r="E18" s="2" t="s">
        <v>158</v>
      </c>
      <c r="F18" s="2" t="s">
        <v>123</v>
      </c>
      <c r="G18" s="27"/>
      <c r="H18" s="27"/>
      <c r="I18" s="27"/>
      <c r="J18" s="27"/>
      <c r="K18" s="27"/>
    </row>
    <row r="19" spans="1:11" ht="37.950000000000003" customHeight="1">
      <c r="A19" s="6" t="s">
        <v>126</v>
      </c>
      <c r="B19" s="6" t="s">
        <v>153</v>
      </c>
      <c r="C19" s="3">
        <f>2</f>
        <v>2</v>
      </c>
      <c r="D19" s="11">
        <f t="shared" ref="D19:D26" si="0">AVERAGE(C6:D6)</f>
        <v>0.5</v>
      </c>
      <c r="E19" s="11">
        <f t="shared" ref="E19:E26" si="1">1-D19</f>
        <v>0.5</v>
      </c>
      <c r="F19" s="20" t="str">
        <f t="shared" ref="F19:F26" si="2">IF(E19=0,"Minimal complexity (completely stable separation)",IF(E19&lt;=0.25,"Simple classification task",IF(E19&lt;0.5,"Difficult classification task","Maximal ambiguity (no stable separation)")))</f>
        <v>Maximal ambiguity (no stable separation)</v>
      </c>
      <c r="G19" s="27"/>
      <c r="H19" s="27"/>
      <c r="I19" s="27"/>
      <c r="J19" s="27"/>
      <c r="K19" s="27"/>
    </row>
    <row r="20" spans="1:11" ht="37.950000000000003" customHeight="1">
      <c r="A20" s="7" t="s">
        <v>127</v>
      </c>
      <c r="B20" s="7" t="s">
        <v>153</v>
      </c>
      <c r="C20" s="4">
        <f>2</f>
        <v>2</v>
      </c>
      <c r="D20" s="12">
        <f t="shared" si="0"/>
        <v>0.61428571428571421</v>
      </c>
      <c r="E20" s="12">
        <f t="shared" si="1"/>
        <v>0.38571428571428579</v>
      </c>
      <c r="F20" s="21" t="str">
        <f t="shared" si="2"/>
        <v>Difficult classification task</v>
      </c>
      <c r="G20" s="27"/>
      <c r="H20" s="27"/>
      <c r="I20" s="27"/>
      <c r="J20" s="27"/>
      <c r="K20" s="27"/>
    </row>
    <row r="21" spans="1:11" ht="37.950000000000003" customHeight="1">
      <c r="A21" s="6" t="s">
        <v>128</v>
      </c>
      <c r="B21" s="6" t="s">
        <v>153</v>
      </c>
      <c r="C21" s="3">
        <f>2</f>
        <v>2</v>
      </c>
      <c r="D21" s="11">
        <f t="shared" si="0"/>
        <v>0.5</v>
      </c>
      <c r="E21" s="11">
        <f t="shared" si="1"/>
        <v>0.5</v>
      </c>
      <c r="F21" s="20" t="str">
        <f t="shared" si="2"/>
        <v>Maximal ambiguity (no stable separation)</v>
      </c>
      <c r="G21" s="27"/>
      <c r="H21" s="27"/>
      <c r="I21" s="27"/>
      <c r="J21" s="27"/>
      <c r="K21" s="27"/>
    </row>
    <row r="22" spans="1:11" ht="37.950000000000003" customHeight="1">
      <c r="A22" s="7" t="s">
        <v>129</v>
      </c>
      <c r="B22" s="7" t="s">
        <v>153</v>
      </c>
      <c r="C22" s="4">
        <f>2</f>
        <v>2</v>
      </c>
      <c r="D22" s="12">
        <f t="shared" si="0"/>
        <v>0.5</v>
      </c>
      <c r="E22" s="12">
        <f t="shared" si="1"/>
        <v>0.5</v>
      </c>
      <c r="F22" s="21" t="str">
        <f t="shared" si="2"/>
        <v>Maximal ambiguity (no stable separation)</v>
      </c>
      <c r="G22" s="27"/>
      <c r="H22" s="27"/>
      <c r="I22" s="27"/>
      <c r="J22" s="27"/>
      <c r="K22" s="27"/>
    </row>
    <row r="23" spans="1:11" ht="37.950000000000003" customHeight="1">
      <c r="A23" s="6" t="s">
        <v>126</v>
      </c>
      <c r="B23" s="6" t="s">
        <v>154</v>
      </c>
      <c r="C23" s="3">
        <f>2</f>
        <v>2</v>
      </c>
      <c r="D23" s="11">
        <f t="shared" si="0"/>
        <v>0.5</v>
      </c>
      <c r="E23" s="11">
        <f t="shared" si="1"/>
        <v>0.5</v>
      </c>
      <c r="F23" s="20" t="str">
        <f t="shared" si="2"/>
        <v>Maximal ambiguity (no stable separation)</v>
      </c>
      <c r="G23" s="27"/>
      <c r="H23" s="27"/>
      <c r="I23" s="27"/>
      <c r="J23" s="27"/>
      <c r="K23" s="27"/>
    </row>
    <row r="24" spans="1:11" ht="37.950000000000003" customHeight="1">
      <c r="A24" s="7" t="s">
        <v>127</v>
      </c>
      <c r="B24" s="7" t="s">
        <v>154</v>
      </c>
      <c r="C24" s="4">
        <f>2</f>
        <v>2</v>
      </c>
      <c r="D24" s="12">
        <f t="shared" si="0"/>
        <v>0.5</v>
      </c>
      <c r="E24" s="12">
        <f t="shared" si="1"/>
        <v>0.5</v>
      </c>
      <c r="F24" s="21" t="str">
        <f t="shared" si="2"/>
        <v>Maximal ambiguity (no stable separation)</v>
      </c>
      <c r="G24" s="27"/>
      <c r="H24" s="27"/>
      <c r="I24" s="27"/>
      <c r="J24" s="27"/>
      <c r="K24" s="27"/>
    </row>
    <row r="25" spans="1:11" ht="37.950000000000003" customHeight="1">
      <c r="A25" s="6" t="s">
        <v>128</v>
      </c>
      <c r="B25" s="6" t="s">
        <v>154</v>
      </c>
      <c r="C25" s="3">
        <f>2</f>
        <v>2</v>
      </c>
      <c r="D25" s="11">
        <f t="shared" si="0"/>
        <v>0.54545454545454541</v>
      </c>
      <c r="E25" s="11">
        <f t="shared" si="1"/>
        <v>0.45454545454545459</v>
      </c>
      <c r="F25" s="20" t="str">
        <f t="shared" si="2"/>
        <v>Difficult classification task</v>
      </c>
      <c r="G25" s="27"/>
      <c r="H25" s="27"/>
      <c r="I25" s="27"/>
      <c r="J25" s="27"/>
      <c r="K25" s="27"/>
    </row>
    <row r="26" spans="1:11" ht="37.950000000000003" customHeight="1">
      <c r="A26" s="8" t="s">
        <v>129</v>
      </c>
      <c r="B26" s="8" t="s">
        <v>154</v>
      </c>
      <c r="C26" s="5">
        <f>2</f>
        <v>2</v>
      </c>
      <c r="D26" s="13">
        <f t="shared" si="0"/>
        <v>0.5</v>
      </c>
      <c r="E26" s="13">
        <f t="shared" si="1"/>
        <v>0.5</v>
      </c>
      <c r="F26" s="22" t="str">
        <f t="shared" si="2"/>
        <v>Maximal ambiguity (no stable separation)</v>
      </c>
      <c r="G26" s="27"/>
      <c r="H26" s="27"/>
      <c r="I26" s="27"/>
      <c r="J26" s="27"/>
      <c r="K26" s="27"/>
    </row>
    <row r="27" spans="1:1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30" customHeight="1">
      <c r="A30" s="35" t="s">
        <v>159</v>
      </c>
      <c r="B30" s="35"/>
      <c r="C30" s="35"/>
      <c r="D30" s="35"/>
      <c r="E30" s="35"/>
      <c r="F30" s="35"/>
      <c r="G30" s="35"/>
      <c r="H30" s="35"/>
      <c r="I30" s="35"/>
      <c r="J30" s="35"/>
      <c r="K30" s="27"/>
    </row>
    <row r="31" spans="1:11" ht="43.95" customHeight="1">
      <c r="A31" s="2" t="s">
        <v>100</v>
      </c>
      <c r="B31" s="2" t="s">
        <v>156</v>
      </c>
      <c r="C31" s="2" t="s">
        <v>160</v>
      </c>
      <c r="D31" s="2" t="s">
        <v>161</v>
      </c>
      <c r="E31" s="2" t="s">
        <v>162</v>
      </c>
      <c r="F31" s="2" t="s">
        <v>163</v>
      </c>
      <c r="G31" s="2" t="s">
        <v>164</v>
      </c>
      <c r="H31" s="2" t="s">
        <v>165</v>
      </c>
      <c r="I31" s="2" t="s">
        <v>166</v>
      </c>
      <c r="J31" s="2" t="s">
        <v>167</v>
      </c>
      <c r="K31" s="27"/>
    </row>
    <row r="32" spans="1:11" ht="54" customHeight="1">
      <c r="A32" s="6" t="s">
        <v>110</v>
      </c>
      <c r="B32" s="3">
        <f t="shared" ref="B32:E35" si="3">C19</f>
        <v>2</v>
      </c>
      <c r="C32" s="11">
        <f t="shared" si="3"/>
        <v>0.5</v>
      </c>
      <c r="D32" s="11">
        <f t="shared" si="3"/>
        <v>0.5</v>
      </c>
      <c r="E32" s="20" t="str">
        <f t="shared" si="3"/>
        <v>Maximal ambiguity (no stable separation)</v>
      </c>
      <c r="F32" s="11">
        <f t="shared" ref="F32:H35" si="4">D23</f>
        <v>0.5</v>
      </c>
      <c r="G32" s="11">
        <f t="shared" si="4"/>
        <v>0.5</v>
      </c>
      <c r="H32" s="20" t="str">
        <f t="shared" si="4"/>
        <v>Maximal ambiguity (no stable separation)</v>
      </c>
      <c r="I32" s="23">
        <f>G32-D32</f>
        <v>0</v>
      </c>
      <c r="J32" s="20" t="str">
        <f>IF(I32&gt;0,"MinMax increased complexity",IF(I32&lt;0,"MinMax reduced complexity","No meaningful change"))</f>
        <v>No meaningful change</v>
      </c>
      <c r="K32" s="27"/>
    </row>
    <row r="33" spans="1:11" ht="54" customHeight="1">
      <c r="A33" s="7" t="s">
        <v>111</v>
      </c>
      <c r="B33" s="4">
        <f t="shared" si="3"/>
        <v>2</v>
      </c>
      <c r="C33" s="12">
        <f t="shared" si="3"/>
        <v>0.61428571428571421</v>
      </c>
      <c r="D33" s="12">
        <f t="shared" si="3"/>
        <v>0.38571428571428579</v>
      </c>
      <c r="E33" s="21" t="str">
        <f t="shared" si="3"/>
        <v>Difficult classification task</v>
      </c>
      <c r="F33" s="12">
        <f t="shared" si="4"/>
        <v>0.5</v>
      </c>
      <c r="G33" s="12">
        <f t="shared" si="4"/>
        <v>0.5</v>
      </c>
      <c r="H33" s="21" t="str">
        <f t="shared" si="4"/>
        <v>Maximal ambiguity (no stable separation)</v>
      </c>
      <c r="I33" s="24">
        <f>G33-D33</f>
        <v>0.11428571428571421</v>
      </c>
      <c r="J33" s="21" t="str">
        <f>IF(I33&gt;0,"MinMax increased complexity",IF(I33&lt;0,"MinMax reduced complexity","No meaningful change"))</f>
        <v>MinMax increased complexity</v>
      </c>
      <c r="K33" s="27"/>
    </row>
    <row r="34" spans="1:11" ht="54" customHeight="1">
      <c r="A34" s="6" t="s">
        <v>112</v>
      </c>
      <c r="B34" s="3">
        <f t="shared" si="3"/>
        <v>2</v>
      </c>
      <c r="C34" s="11">
        <f t="shared" si="3"/>
        <v>0.5</v>
      </c>
      <c r="D34" s="11">
        <f t="shared" si="3"/>
        <v>0.5</v>
      </c>
      <c r="E34" s="20" t="str">
        <f t="shared" si="3"/>
        <v>Maximal ambiguity (no stable separation)</v>
      </c>
      <c r="F34" s="11">
        <f t="shared" si="4"/>
        <v>0.54545454545454541</v>
      </c>
      <c r="G34" s="11">
        <f t="shared" si="4"/>
        <v>0.45454545454545459</v>
      </c>
      <c r="H34" s="20" t="str">
        <f t="shared" si="4"/>
        <v>Difficult classification task</v>
      </c>
      <c r="I34" s="23">
        <f>G34-D34</f>
        <v>-4.5454545454545414E-2</v>
      </c>
      <c r="J34" s="20" t="str">
        <f>IF(I34&gt;0,"MinMax increased complexity",IF(I34&lt;0,"MinMax reduced complexity","No meaningful change"))</f>
        <v>MinMax reduced complexity</v>
      </c>
      <c r="K34" s="27"/>
    </row>
    <row r="35" spans="1:11" ht="54" customHeight="1">
      <c r="A35" s="8" t="s">
        <v>113</v>
      </c>
      <c r="B35" s="5">
        <f t="shared" si="3"/>
        <v>2</v>
      </c>
      <c r="C35" s="13">
        <f t="shared" si="3"/>
        <v>0.5</v>
      </c>
      <c r="D35" s="13">
        <f t="shared" si="3"/>
        <v>0.5</v>
      </c>
      <c r="E35" s="22" t="str">
        <f t="shared" si="3"/>
        <v>Maximal ambiguity (no stable separation)</v>
      </c>
      <c r="F35" s="13">
        <f t="shared" si="4"/>
        <v>0.5</v>
      </c>
      <c r="G35" s="13">
        <f t="shared" si="4"/>
        <v>0.5</v>
      </c>
      <c r="H35" s="22" t="str">
        <f t="shared" si="4"/>
        <v>Maximal ambiguity (no stable separation)</v>
      </c>
      <c r="I35" s="25">
        <f>G35-D35</f>
        <v>0</v>
      </c>
      <c r="J35" s="22" t="str">
        <f>IF(I35&gt;0,"MinMax increased complexity",IF(I35&lt;0,"MinMax reduced complexity","No meaningful change"))</f>
        <v>No meaningful change</v>
      </c>
      <c r="K35" s="27"/>
    </row>
    <row r="36" spans="1:1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1:11" ht="30" customHeight="1">
      <c r="A40" s="35" t="s">
        <v>168</v>
      </c>
      <c r="B40" s="35"/>
      <c r="C40" s="35"/>
      <c r="D40" s="35"/>
      <c r="E40" s="27"/>
      <c r="F40" s="27"/>
      <c r="G40" s="27"/>
      <c r="H40" s="27"/>
      <c r="I40" s="27"/>
      <c r="J40" s="27"/>
      <c r="K40" s="27"/>
    </row>
    <row r="41" spans="1:11" ht="43.95" customHeight="1">
      <c r="A41" s="2" t="s">
        <v>100</v>
      </c>
      <c r="B41" s="2" t="s">
        <v>169</v>
      </c>
      <c r="C41" s="2" t="s">
        <v>170</v>
      </c>
      <c r="D41" s="2" t="s">
        <v>171</v>
      </c>
      <c r="E41" s="27"/>
      <c r="F41" s="27"/>
      <c r="G41" s="27"/>
      <c r="H41" s="27"/>
      <c r="I41" s="27"/>
      <c r="J41" s="27"/>
      <c r="K41" s="27"/>
    </row>
    <row r="42" spans="1:11" ht="25.05" customHeight="1">
      <c r="A42" s="6" t="s">
        <v>126</v>
      </c>
      <c r="B42" s="11">
        <v>-4.0406101782087998E-2</v>
      </c>
      <c r="C42" s="11">
        <v>0</v>
      </c>
      <c r="D42" s="17">
        <v>1</v>
      </c>
      <c r="E42" s="27"/>
      <c r="F42" s="27"/>
      <c r="G42" s="27"/>
      <c r="H42" s="27"/>
      <c r="I42" s="27"/>
      <c r="J42" s="27"/>
      <c r="K42" s="27"/>
    </row>
    <row r="43" spans="1:11" ht="25.05" customHeight="1">
      <c r="A43" s="7" t="s">
        <v>127</v>
      </c>
      <c r="B43" s="12">
        <v>0.121218305346265</v>
      </c>
      <c r="C43" s="12">
        <v>0</v>
      </c>
      <c r="D43" s="26">
        <v>1</v>
      </c>
      <c r="E43" s="27"/>
      <c r="F43" s="27"/>
      <c r="G43" s="27"/>
      <c r="H43" s="27"/>
      <c r="I43" s="27"/>
      <c r="J43" s="27"/>
      <c r="K43" s="27"/>
    </row>
    <row r="44" spans="1:11" ht="25.05" customHeight="1">
      <c r="A44" s="6" t="s">
        <v>128</v>
      </c>
      <c r="B44" s="11">
        <v>-4.0406101782087998E-2</v>
      </c>
      <c r="C44" s="11">
        <v>0</v>
      </c>
      <c r="D44" s="17">
        <v>1</v>
      </c>
      <c r="E44" s="27"/>
      <c r="F44" s="27"/>
      <c r="G44" s="27"/>
      <c r="H44" s="27"/>
      <c r="I44" s="27"/>
      <c r="J44" s="27"/>
      <c r="K44" s="27"/>
    </row>
    <row r="45" spans="1:11" ht="25.05" customHeight="1">
      <c r="A45" s="8" t="s">
        <v>129</v>
      </c>
      <c r="B45" s="13">
        <v>-4.0406101782087998E-2</v>
      </c>
      <c r="C45" s="13">
        <v>0</v>
      </c>
      <c r="D45" s="18">
        <v>1</v>
      </c>
      <c r="E45" s="27"/>
      <c r="F45" s="27"/>
      <c r="G45" s="27"/>
      <c r="H45" s="27"/>
      <c r="I45" s="27"/>
      <c r="J45" s="27"/>
      <c r="K45" s="27"/>
    </row>
    <row r="46" spans="1:1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1:1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 spans="1:1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 spans="1:1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 spans="1:1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 spans="1:1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 spans="1:1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 spans="1:1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 spans="1:1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 spans="1:1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spans="1:1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 spans="1:1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 spans="1:1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 spans="1:1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 spans="1:1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 spans="1:1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 spans="1:11" ht="31.95" customHeight="1">
      <c r="A62" s="36" t="s">
        <v>172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</row>
    <row r="63" spans="1:1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 spans="1:1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</row>
    <row r="65" spans="1:1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 spans="1:11" ht="30" customHeight="1">
      <c r="A66" s="35" t="s">
        <v>173</v>
      </c>
      <c r="B66" s="35"/>
      <c r="C66" s="35"/>
      <c r="D66" s="35"/>
      <c r="E66" s="27"/>
      <c r="F66" s="27"/>
      <c r="G66" s="27"/>
      <c r="H66" s="27"/>
      <c r="I66" s="27"/>
      <c r="J66" s="27"/>
      <c r="K66" s="27"/>
    </row>
    <row r="67" spans="1:11" ht="43.95" customHeight="1">
      <c r="A67" s="2" t="s">
        <v>100</v>
      </c>
      <c r="B67" s="2" t="s">
        <v>169</v>
      </c>
      <c r="C67" s="2" t="s">
        <v>170</v>
      </c>
      <c r="D67" s="2" t="s">
        <v>171</v>
      </c>
      <c r="E67" s="27"/>
      <c r="F67" s="27"/>
      <c r="G67" s="27"/>
      <c r="H67" s="27"/>
      <c r="I67" s="27"/>
      <c r="J67" s="27"/>
      <c r="K67" s="27"/>
    </row>
    <row r="68" spans="1:11" ht="25.05" customHeight="1">
      <c r="A68" s="6" t="s">
        <v>126</v>
      </c>
      <c r="B68" s="11">
        <v>-2.2727272727272999E-2</v>
      </c>
      <c r="C68" s="11">
        <v>0</v>
      </c>
      <c r="D68" s="17">
        <v>1</v>
      </c>
      <c r="E68" s="27"/>
      <c r="F68" s="27"/>
      <c r="G68" s="27"/>
      <c r="H68" s="27"/>
      <c r="I68" s="27"/>
      <c r="J68" s="27"/>
      <c r="K68" s="27"/>
    </row>
    <row r="69" spans="1:11" ht="25.05" customHeight="1">
      <c r="A69" s="7" t="s">
        <v>127</v>
      </c>
      <c r="B69" s="12">
        <v>-2.2727272727272999E-2</v>
      </c>
      <c r="C69" s="12">
        <v>0</v>
      </c>
      <c r="D69" s="26">
        <v>1</v>
      </c>
      <c r="E69" s="27"/>
      <c r="F69" s="27"/>
      <c r="G69" s="27"/>
      <c r="H69" s="27"/>
      <c r="I69" s="27"/>
      <c r="J69" s="27"/>
      <c r="K69" s="27"/>
    </row>
    <row r="70" spans="1:11" ht="25.05" customHeight="1">
      <c r="A70" s="6" t="s">
        <v>128</v>
      </c>
      <c r="B70" s="11">
        <v>6.8181818181817996E-2</v>
      </c>
      <c r="C70" s="11">
        <v>0</v>
      </c>
      <c r="D70" s="17">
        <v>1</v>
      </c>
      <c r="E70" s="27"/>
      <c r="F70" s="27"/>
      <c r="G70" s="27"/>
      <c r="H70" s="27"/>
      <c r="I70" s="27"/>
      <c r="J70" s="27"/>
      <c r="K70" s="27"/>
    </row>
    <row r="71" spans="1:11" ht="25.05" customHeight="1">
      <c r="A71" s="8" t="s">
        <v>129</v>
      </c>
      <c r="B71" s="13">
        <v>-2.2727272727272999E-2</v>
      </c>
      <c r="C71" s="13">
        <v>0</v>
      </c>
      <c r="D71" s="18">
        <v>1</v>
      </c>
      <c r="E71" s="27"/>
      <c r="F71" s="27"/>
      <c r="G71" s="27"/>
      <c r="H71" s="27"/>
      <c r="I71" s="27"/>
      <c r="J71" s="27"/>
      <c r="K71" s="27"/>
    </row>
    <row r="72" spans="1:1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 spans="1:1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 spans="1:1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 spans="1:1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 spans="1:1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 spans="1:1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 spans="1:1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 spans="1:1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 spans="1:1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 spans="1:1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 spans="1:1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 spans="1:1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 spans="1:1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 spans="1:1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 spans="1:1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 spans="1:1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 spans="1:11" ht="31.95" customHeight="1">
      <c r="A88" s="36" t="s">
        <v>172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 spans="1:1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 spans="1:1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 spans="1:1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 spans="1:11" ht="30" customHeight="1">
      <c r="A92" s="35" t="s">
        <v>174</v>
      </c>
      <c r="B92" s="35"/>
      <c r="C92" s="35"/>
      <c r="D92" s="35"/>
      <c r="E92" s="35"/>
      <c r="F92" s="27"/>
      <c r="G92" s="27"/>
      <c r="H92" s="27"/>
      <c r="I92" s="27"/>
      <c r="J92" s="27"/>
      <c r="K92" s="27"/>
    </row>
    <row r="93" spans="1:11" ht="43.95" customHeight="1">
      <c r="A93" s="2" t="s">
        <v>100</v>
      </c>
      <c r="B93" s="2" t="s">
        <v>30</v>
      </c>
      <c r="C93" s="2" t="s">
        <v>169</v>
      </c>
      <c r="D93" s="2" t="s">
        <v>170</v>
      </c>
      <c r="E93" s="2" t="s">
        <v>171</v>
      </c>
      <c r="F93" s="27"/>
      <c r="G93" s="27"/>
      <c r="H93" s="27"/>
      <c r="I93" s="27"/>
      <c r="J93" s="27"/>
      <c r="K93" s="27"/>
    </row>
    <row r="94" spans="1:11" ht="25.05" customHeight="1">
      <c r="A94" s="6" t="s">
        <v>126</v>
      </c>
      <c r="B94" s="6" t="s">
        <v>153</v>
      </c>
      <c r="C94" s="11">
        <v>-2.8961580395578002E-2</v>
      </c>
      <c r="D94" s="11">
        <v>4.8163972403510004E-3</v>
      </c>
      <c r="E94" s="17">
        <v>1</v>
      </c>
      <c r="F94" s="27"/>
      <c r="G94" s="27"/>
      <c r="H94" s="27"/>
      <c r="I94" s="27"/>
      <c r="J94" s="27"/>
      <c r="K94" s="27"/>
    </row>
    <row r="95" spans="1:11" ht="25.05" customHeight="1">
      <c r="A95" s="7" t="s">
        <v>126</v>
      </c>
      <c r="B95" s="7" t="s">
        <v>154</v>
      </c>
      <c r="C95" s="12">
        <v>-2.8961580395578002E-2</v>
      </c>
      <c r="D95" s="12">
        <v>4.8163972403510004E-3</v>
      </c>
      <c r="E95" s="26">
        <v>1</v>
      </c>
      <c r="F95" s="27"/>
      <c r="G95" s="27"/>
      <c r="H95" s="27"/>
      <c r="I95" s="27"/>
      <c r="J95" s="27"/>
      <c r="K95" s="27"/>
    </row>
    <row r="96" spans="1:11" ht="25.05" customHeight="1">
      <c r="A96" s="6" t="s">
        <v>127</v>
      </c>
      <c r="B96" s="6" t="s">
        <v>153</v>
      </c>
      <c r="C96" s="11">
        <v>0.131642381792031</v>
      </c>
      <c r="D96" s="11">
        <v>2.2949690080671999E-2</v>
      </c>
      <c r="E96" s="17">
        <v>1</v>
      </c>
      <c r="F96" s="27"/>
      <c r="G96" s="27"/>
      <c r="H96" s="27"/>
      <c r="I96" s="27"/>
      <c r="J96" s="27"/>
      <c r="K96" s="27"/>
    </row>
    <row r="97" spans="1:11" ht="25.05" customHeight="1">
      <c r="A97" s="7" t="s">
        <v>127</v>
      </c>
      <c r="B97" s="7" t="s">
        <v>154</v>
      </c>
      <c r="C97" s="12">
        <v>-2.8961580395578002E-2</v>
      </c>
      <c r="D97" s="12">
        <v>4.8163972403510004E-3</v>
      </c>
      <c r="E97" s="26">
        <v>1</v>
      </c>
      <c r="F97" s="27"/>
      <c r="G97" s="27"/>
      <c r="H97" s="27"/>
      <c r="I97" s="27"/>
      <c r="J97" s="27"/>
      <c r="K97" s="27"/>
    </row>
    <row r="98" spans="1:11" ht="25.05" customHeight="1">
      <c r="A98" s="6" t="s">
        <v>128</v>
      </c>
      <c r="B98" s="6" t="s">
        <v>153</v>
      </c>
      <c r="C98" s="11">
        <v>-2.8961580395578002E-2</v>
      </c>
      <c r="D98" s="11">
        <v>4.8163972403510004E-3</v>
      </c>
      <c r="E98" s="17">
        <v>1</v>
      </c>
      <c r="F98" s="27"/>
      <c r="G98" s="27"/>
      <c r="H98" s="27"/>
      <c r="I98" s="27"/>
      <c r="J98" s="27"/>
      <c r="K98" s="27"/>
    </row>
    <row r="99" spans="1:11" ht="25.05" customHeight="1">
      <c r="A99" s="7" t="s">
        <v>128</v>
      </c>
      <c r="B99" s="7" t="s">
        <v>154</v>
      </c>
      <c r="C99" s="12">
        <v>4.2127100581439002E-2</v>
      </c>
      <c r="D99" s="12">
        <v>-5.1848073522774998E-2</v>
      </c>
      <c r="E99" s="26">
        <v>1</v>
      </c>
      <c r="F99" s="27"/>
      <c r="G99" s="27"/>
      <c r="H99" s="27"/>
      <c r="I99" s="27"/>
      <c r="J99" s="27"/>
      <c r="K99" s="27"/>
    </row>
    <row r="100" spans="1:11" ht="25.05" customHeight="1">
      <c r="A100" s="6" t="s">
        <v>129</v>
      </c>
      <c r="B100" s="6" t="s">
        <v>153</v>
      </c>
      <c r="C100" s="11">
        <v>-2.8961580395578002E-2</v>
      </c>
      <c r="D100" s="11">
        <v>4.8163972403510004E-3</v>
      </c>
      <c r="E100" s="17">
        <v>1</v>
      </c>
      <c r="F100" s="27"/>
      <c r="G100" s="27"/>
      <c r="H100" s="27"/>
      <c r="I100" s="27"/>
      <c r="J100" s="27"/>
      <c r="K100" s="27"/>
    </row>
    <row r="101" spans="1:11" ht="25.05" customHeight="1">
      <c r="A101" s="8" t="s">
        <v>129</v>
      </c>
      <c r="B101" s="8" t="s">
        <v>154</v>
      </c>
      <c r="C101" s="13">
        <v>-2.8961580395578002E-2</v>
      </c>
      <c r="D101" s="13">
        <v>4.8163972403510004E-3</v>
      </c>
      <c r="E101" s="18">
        <v>1</v>
      </c>
      <c r="F101" s="27"/>
      <c r="G101" s="27"/>
      <c r="H101" s="27"/>
      <c r="I101" s="27"/>
      <c r="J101" s="27"/>
      <c r="K101" s="27"/>
    </row>
    <row r="102" spans="1:1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 spans="1:1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 spans="1:1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 spans="1:1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 spans="1:1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 spans="1:1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 spans="1:1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 spans="1:1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</row>
    <row r="110" spans="1:1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</row>
    <row r="111" spans="1: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</row>
    <row r="112" spans="1:1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3" spans="1:1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 spans="1:11" ht="31.95" customHeight="1">
      <c r="A114" s="36" t="s">
        <v>175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 spans="1:1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 spans="1:1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</row>
    <row r="117" spans="1:11" ht="31.95" customHeight="1">
      <c r="A117" s="36" t="s">
        <v>176</v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 spans="1:11" ht="31.95" customHeight="1">
      <c r="A118" s="36" t="s">
        <v>177</v>
      </c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</sheetData>
  <mergeCells count="12">
    <mergeCell ref="A117:K117"/>
    <mergeCell ref="A118:K118"/>
    <mergeCell ref="A62:K62"/>
    <mergeCell ref="A66:D66"/>
    <mergeCell ref="A88:K88"/>
    <mergeCell ref="A92:E92"/>
    <mergeCell ref="A114:K114"/>
    <mergeCell ref="A2:K2"/>
    <mergeCell ref="A4:D4"/>
    <mergeCell ref="A17:F17"/>
    <mergeCell ref="A30:J30"/>
    <mergeCell ref="A40:D4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0344B"/>
  </sheetPr>
  <dimension ref="A2:K18"/>
  <sheetViews>
    <sheetView showGridLines="0" tabSelected="1" workbookViewId="0"/>
  </sheetViews>
  <sheetFormatPr defaultRowHeight="13.8"/>
  <cols>
    <col min="1" max="7" width="20" customWidth="1"/>
    <col min="8" max="11" width="16" customWidth="1"/>
  </cols>
  <sheetData>
    <row r="2" spans="1:11" ht="36" customHeight="1">
      <c r="A2" s="34" t="s">
        <v>178</v>
      </c>
      <c r="B2" s="34"/>
      <c r="C2" s="34"/>
      <c r="D2" s="34"/>
      <c r="E2" s="34"/>
      <c r="F2" s="34"/>
      <c r="G2" s="34"/>
      <c r="H2" s="1"/>
      <c r="I2" s="1"/>
      <c r="J2" s="1"/>
      <c r="K2" s="1"/>
    </row>
    <row r="3" spans="1:1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ht="30" customHeight="1">
      <c r="A4" s="35" t="s">
        <v>179</v>
      </c>
      <c r="B4" s="35"/>
      <c r="C4" s="35"/>
      <c r="D4" s="35"/>
      <c r="E4" s="35"/>
      <c r="F4" s="35"/>
      <c r="G4" s="35"/>
      <c r="H4" s="27"/>
      <c r="I4" s="27"/>
      <c r="J4" s="27"/>
      <c r="K4" s="27"/>
    </row>
    <row r="5" spans="1:11" ht="43.95" customHeight="1">
      <c r="A5" s="2" t="s">
        <v>100</v>
      </c>
      <c r="B5" s="2" t="s">
        <v>30</v>
      </c>
      <c r="C5" s="2" t="s">
        <v>106</v>
      </c>
      <c r="D5" s="2" t="s">
        <v>101</v>
      </c>
      <c r="E5" s="2" t="s">
        <v>102</v>
      </c>
      <c r="F5" s="2" t="s">
        <v>105</v>
      </c>
      <c r="G5" s="2" t="s">
        <v>107</v>
      </c>
      <c r="H5" s="27"/>
      <c r="I5" s="27"/>
      <c r="J5" s="27"/>
      <c r="K5" s="27"/>
    </row>
    <row r="6" spans="1:11" ht="25.05" customHeight="1">
      <c r="A6" s="6" t="s">
        <v>112</v>
      </c>
      <c r="B6" s="6" t="s">
        <v>153</v>
      </c>
      <c r="C6" s="3">
        <f>Statistics!G17</f>
        <v>1</v>
      </c>
      <c r="D6" s="29" t="str">
        <f t="shared" ref="D6:D13" si="0">IF(E6&lt;2,"0","1")&amp;MOD(E6,2)</f>
        <v>11</v>
      </c>
      <c r="E6" s="3">
        <f>Statistics!C17</f>
        <v>3</v>
      </c>
      <c r="F6" s="3">
        <f>Statistics!F17</f>
        <v>10</v>
      </c>
      <c r="G6" s="17">
        <f>Statistics!H17</f>
        <v>0.6</v>
      </c>
      <c r="H6" s="27"/>
      <c r="I6" s="27"/>
      <c r="J6" s="27"/>
      <c r="K6" s="27"/>
    </row>
    <row r="7" spans="1:11" ht="25.05" customHeight="1">
      <c r="A7" s="7" t="s">
        <v>111</v>
      </c>
      <c r="B7" s="7" t="s">
        <v>153</v>
      </c>
      <c r="C7" s="4">
        <f>INDEX(Statistics!$G$11:$G$12,MATCH(1,Statistics!$J$11:$J$12,0))</f>
        <v>2</v>
      </c>
      <c r="D7" s="30" t="str">
        <f t="shared" si="0"/>
        <v>01</v>
      </c>
      <c r="E7" s="4">
        <f>INDEX(Statistics!$C$11:$C$12,MATCH(1,Statistics!$J$11:$J$12,0))</f>
        <v>1</v>
      </c>
      <c r="F7" s="4">
        <f>INDEX(Statistics!$F$11:$F$12,MATCH(1,Statistics!$J$11:$J$12,0))</f>
        <v>1</v>
      </c>
      <c r="G7" s="26">
        <f>INDEX(Statistics!$H$11:$H$12,MATCH(1,Statistics!$J$11:$J$12,0))</f>
        <v>1</v>
      </c>
      <c r="H7" s="27"/>
      <c r="I7" s="27"/>
      <c r="J7" s="27"/>
      <c r="K7" s="27"/>
    </row>
    <row r="8" spans="1:11" ht="25.05" customHeight="1">
      <c r="A8" s="6" t="s">
        <v>110</v>
      </c>
      <c r="B8" s="6" t="s">
        <v>153</v>
      </c>
      <c r="C8" s="3">
        <f>Statistics!G6</f>
        <v>1</v>
      </c>
      <c r="D8" s="29" t="str">
        <f t="shared" si="0"/>
        <v>11</v>
      </c>
      <c r="E8" s="3">
        <f>Statistics!C6</f>
        <v>3</v>
      </c>
      <c r="F8" s="3">
        <f>Statistics!F6</f>
        <v>10</v>
      </c>
      <c r="G8" s="17">
        <f>Statistics!H6</f>
        <v>0.6</v>
      </c>
      <c r="H8" s="27"/>
      <c r="I8" s="27"/>
      <c r="J8" s="27"/>
      <c r="K8" s="27"/>
    </row>
    <row r="9" spans="1:11" ht="25.05" customHeight="1">
      <c r="A9" s="7" t="s">
        <v>113</v>
      </c>
      <c r="B9" s="7" t="s">
        <v>153</v>
      </c>
      <c r="C9" s="4">
        <f>Statistics!G22</f>
        <v>1</v>
      </c>
      <c r="D9" s="30" t="str">
        <f t="shared" si="0"/>
        <v>11</v>
      </c>
      <c r="E9" s="4">
        <f>Statistics!C22</f>
        <v>3</v>
      </c>
      <c r="F9" s="4">
        <f>Statistics!F22</f>
        <v>10</v>
      </c>
      <c r="G9" s="26">
        <f>Statistics!H22</f>
        <v>0.6</v>
      </c>
      <c r="H9" s="27"/>
      <c r="I9" s="27"/>
      <c r="J9" s="27"/>
      <c r="K9" s="27"/>
    </row>
    <row r="10" spans="1:11" ht="25.05" customHeight="1">
      <c r="A10" s="6" t="s">
        <v>112</v>
      </c>
      <c r="B10" s="6" t="s">
        <v>154</v>
      </c>
      <c r="C10" s="3">
        <f>INDEX(Statistics!$G$37:$G$38,MATCH(1,Statistics!$J$37:$J$38,0))</f>
        <v>1</v>
      </c>
      <c r="D10" s="29" t="str">
        <f t="shared" si="0"/>
        <v>10</v>
      </c>
      <c r="E10" s="3">
        <f>INDEX(Statistics!$C$37:$C$38,MATCH(1,Statistics!$J$37:$J$38,0))</f>
        <v>2</v>
      </c>
      <c r="F10" s="3">
        <f>INDEX(Statistics!$F$37:$F$38,MATCH(1,Statistics!$J$37:$J$38,0))</f>
        <v>1</v>
      </c>
      <c r="G10" s="17">
        <f>INDEX(Statistics!$H$37:$H$38,MATCH(1,Statistics!$J$37:$J$38,0))</f>
        <v>1</v>
      </c>
      <c r="H10" s="27"/>
      <c r="I10" s="27"/>
      <c r="J10" s="27"/>
      <c r="K10" s="27"/>
    </row>
    <row r="11" spans="1:11" ht="25.05" customHeight="1">
      <c r="A11" s="7" t="s">
        <v>111</v>
      </c>
      <c r="B11" s="7" t="s">
        <v>154</v>
      </c>
      <c r="C11" s="4">
        <f>Statistics!G32</f>
        <v>1</v>
      </c>
      <c r="D11" s="30" t="str">
        <f t="shared" si="0"/>
        <v>11</v>
      </c>
      <c r="E11" s="4">
        <f>Statistics!C32</f>
        <v>3</v>
      </c>
      <c r="F11" s="4">
        <f>Statistics!F32</f>
        <v>10</v>
      </c>
      <c r="G11" s="26">
        <f>Statistics!H32</f>
        <v>0.6</v>
      </c>
      <c r="H11" s="27"/>
      <c r="I11" s="27"/>
      <c r="J11" s="27"/>
      <c r="K11" s="27"/>
    </row>
    <row r="12" spans="1:11" ht="25.05" customHeight="1">
      <c r="A12" s="6" t="s">
        <v>110</v>
      </c>
      <c r="B12" s="6" t="s">
        <v>154</v>
      </c>
      <c r="C12" s="3">
        <f>Statistics!G27</f>
        <v>1</v>
      </c>
      <c r="D12" s="29" t="str">
        <f t="shared" si="0"/>
        <v>11</v>
      </c>
      <c r="E12" s="3">
        <f>Statistics!C27</f>
        <v>3</v>
      </c>
      <c r="F12" s="3">
        <f>Statistics!F27</f>
        <v>10</v>
      </c>
      <c r="G12" s="17">
        <f>Statistics!H27</f>
        <v>0.6</v>
      </c>
      <c r="H12" s="27"/>
      <c r="I12" s="27"/>
      <c r="J12" s="27"/>
      <c r="K12" s="27"/>
    </row>
    <row r="13" spans="1:11" ht="25.05" customHeight="1">
      <c r="A13" s="8" t="s">
        <v>113</v>
      </c>
      <c r="B13" s="8" t="s">
        <v>154</v>
      </c>
      <c r="C13" s="5">
        <f>Statistics!G43</f>
        <v>1</v>
      </c>
      <c r="D13" s="31" t="str">
        <f t="shared" si="0"/>
        <v>11</v>
      </c>
      <c r="E13" s="5">
        <f>Statistics!C43</f>
        <v>3</v>
      </c>
      <c r="F13" s="5">
        <f>Statistics!F43</f>
        <v>10</v>
      </c>
      <c r="G13" s="18">
        <f>Statistics!H43</f>
        <v>0.6</v>
      </c>
      <c r="H13" s="27"/>
      <c r="I13" s="27"/>
      <c r="J13" s="27"/>
      <c r="K13" s="27"/>
    </row>
    <row r="14" spans="1:1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31.95" customHeight="1">
      <c r="A16" s="36" t="s">
        <v>180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ht="31.95" customHeight="1">
      <c r="A17" s="36" t="s">
        <v>181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spans="1:11" ht="31.95" customHeight="1">
      <c r="A18" s="36" t="s">
        <v>182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</row>
  </sheetData>
  <mergeCells count="5">
    <mergeCell ref="A4:G4"/>
    <mergeCell ref="A16:K16"/>
    <mergeCell ref="A17:K17"/>
    <mergeCell ref="A18:K18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Dataset</vt:lpstr>
      <vt:lpstr>Distances</vt:lpstr>
      <vt:lpstr>Neighbors</vt:lpstr>
      <vt:lpstr>Majority A-B</vt:lpstr>
      <vt:lpstr>Statistics</vt:lpstr>
      <vt:lpstr>Membership</vt:lpstr>
      <vt:lpstr>Stability</vt:lpstr>
      <vt:lpstr>Stability Plot</vt:lpstr>
      <vt:lpstr>Synthetic Features Space</vt:lpstr>
      <vt:lpstr>Meta Objects</vt:lpstr>
      <vt:lpstr>Final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Kudratillo Tuhtabayev</cp:lastModifiedBy>
  <dcterms:modified xsi:type="dcterms:W3CDTF">2026-09-08T10:10:52Z</dcterms:modified>
</cp:coreProperties>
</file>